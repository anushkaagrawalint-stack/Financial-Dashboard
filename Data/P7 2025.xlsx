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F4402700-C98F-497D-8E69-FFE1F8806B61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Z442" i="7"/>
  <c r="AA442" i="7" s="1"/>
  <c r="T442" i="7"/>
  <c r="U442" i="7" s="1"/>
  <c r="Q442" i="7"/>
  <c r="R442" i="7" s="1"/>
  <c r="K442" i="7"/>
  <c r="L442" i="7" s="1"/>
  <c r="H442" i="7"/>
  <c r="I442" i="7" s="1"/>
  <c r="E442" i="7"/>
  <c r="F442" i="7" s="1"/>
  <c r="B442" i="7"/>
  <c r="C442" i="7" s="1"/>
  <c r="Z441" i="7"/>
  <c r="AA441" i="7" s="1"/>
  <c r="T441" i="7"/>
  <c r="W441" i="7" s="1"/>
  <c r="X441" i="7" s="1"/>
  <c r="Q441" i="7"/>
  <c r="R441" i="7" s="1"/>
  <c r="K441" i="7"/>
  <c r="L441" i="7" s="1"/>
  <c r="E441" i="7"/>
  <c r="F441" i="7" s="1"/>
  <c r="B441" i="7"/>
  <c r="AC440" i="7"/>
  <c r="AD440" i="7" s="1"/>
  <c r="AA440" i="7"/>
  <c r="X440" i="7"/>
  <c r="W440" i="7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W439" i="7"/>
  <c r="X439" i="7" s="1"/>
  <c r="U439" i="7"/>
  <c r="R439" i="7"/>
  <c r="N439" i="7"/>
  <c r="O439" i="7" s="1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W437" i="7"/>
  <c r="X437" i="7" s="1"/>
  <c r="U437" i="7"/>
  <c r="R437" i="7"/>
  <c r="N437" i="7"/>
  <c r="O437" i="7" s="1"/>
  <c r="L437" i="7"/>
  <c r="I437" i="7"/>
  <c r="H437" i="7"/>
  <c r="F437" i="7"/>
  <c r="C437" i="7"/>
  <c r="AC436" i="7"/>
  <c r="AD436" i="7" s="1"/>
  <c r="AA436" i="7"/>
  <c r="X436" i="7"/>
  <c r="W436" i="7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W435" i="7"/>
  <c r="X435" i="7" s="1"/>
  <c r="U435" i="7"/>
  <c r="R435" i="7"/>
  <c r="N435" i="7"/>
  <c r="O435" i="7" s="1"/>
  <c r="L435" i="7"/>
  <c r="H435" i="7"/>
  <c r="I435" i="7" s="1"/>
  <c r="F435" i="7"/>
  <c r="C435" i="7"/>
  <c r="AD434" i="7"/>
  <c r="AC434" i="7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W433" i="7"/>
  <c r="X433" i="7" s="1"/>
  <c r="U433" i="7"/>
  <c r="R433" i="7"/>
  <c r="N433" i="7"/>
  <c r="O433" i="7" s="1"/>
  <c r="L433" i="7"/>
  <c r="I433" i="7"/>
  <c r="H433" i="7"/>
  <c r="F433" i="7"/>
  <c r="C433" i="7"/>
  <c r="AC432" i="7"/>
  <c r="AD432" i="7" s="1"/>
  <c r="AA432" i="7"/>
  <c r="X432" i="7"/>
  <c r="W432" i="7"/>
  <c r="U432" i="7"/>
  <c r="R432" i="7"/>
  <c r="O432" i="7"/>
  <c r="N432" i="7"/>
  <c r="L432" i="7"/>
  <c r="H432" i="7"/>
  <c r="I432" i="7" s="1"/>
  <c r="F432" i="7"/>
  <c r="C432" i="7"/>
  <c r="AC429" i="7"/>
  <c r="AD429" i="7" s="1"/>
  <c r="Z429" i="7"/>
  <c r="AA429" i="7" s="1"/>
  <c r="U429" i="7"/>
  <c r="T429" i="7"/>
  <c r="Q429" i="7"/>
  <c r="K429" i="7"/>
  <c r="L429" i="7" s="1"/>
  <c r="E429" i="7"/>
  <c r="F429" i="7" s="1"/>
  <c r="B429" i="7"/>
  <c r="C429" i="7" s="1"/>
  <c r="AA428" i="7"/>
  <c r="Z428" i="7"/>
  <c r="W428" i="7"/>
  <c r="X428" i="7" s="1"/>
  <c r="T428" i="7"/>
  <c r="U428" i="7" s="1"/>
  <c r="Q428" i="7"/>
  <c r="R428" i="7" s="1"/>
  <c r="K428" i="7"/>
  <c r="L428" i="7" s="1"/>
  <c r="E428" i="7"/>
  <c r="H428" i="7" s="1"/>
  <c r="I428" i="7" s="1"/>
  <c r="C428" i="7"/>
  <c r="B428" i="7"/>
  <c r="N428" i="7" s="1"/>
  <c r="O428" i="7" s="1"/>
  <c r="AC427" i="7"/>
  <c r="AD427" i="7" s="1"/>
  <c r="AA427" i="7"/>
  <c r="W427" i="7"/>
  <c r="X427" i="7" s="1"/>
  <c r="U427" i="7"/>
  <c r="R427" i="7"/>
  <c r="N427" i="7"/>
  <c r="O427" i="7" s="1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N426" i="7"/>
  <c r="O426" i="7" s="1"/>
  <c r="L426" i="7"/>
  <c r="H426" i="7"/>
  <c r="I426" i="7" s="1"/>
  <c r="F426" i="7"/>
  <c r="C426" i="7"/>
  <c r="AC425" i="7"/>
  <c r="AD425" i="7" s="1"/>
  <c r="AA425" i="7"/>
  <c r="W425" i="7"/>
  <c r="X425" i="7" s="1"/>
  <c r="U425" i="7"/>
  <c r="R425" i="7"/>
  <c r="N425" i="7"/>
  <c r="O425" i="7" s="1"/>
  <c r="L425" i="7"/>
  <c r="I425" i="7"/>
  <c r="H425" i="7"/>
  <c r="F425" i="7"/>
  <c r="C425" i="7"/>
  <c r="AC424" i="7"/>
  <c r="AD424" i="7" s="1"/>
  <c r="AA424" i="7"/>
  <c r="W424" i="7"/>
  <c r="X424" i="7" s="1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W423" i="7"/>
  <c r="X423" i="7" s="1"/>
  <c r="U423" i="7"/>
  <c r="R423" i="7"/>
  <c r="N423" i="7"/>
  <c r="O423" i="7" s="1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N422" i="7"/>
  <c r="O422" i="7" s="1"/>
  <c r="L422" i="7"/>
  <c r="H422" i="7"/>
  <c r="I422" i="7" s="1"/>
  <c r="F422" i="7"/>
  <c r="C422" i="7"/>
  <c r="AC421" i="7"/>
  <c r="AD421" i="7" s="1"/>
  <c r="AA421" i="7"/>
  <c r="W421" i="7"/>
  <c r="X421" i="7" s="1"/>
  <c r="U421" i="7"/>
  <c r="R421" i="7"/>
  <c r="N421" i="7"/>
  <c r="O421" i="7" s="1"/>
  <c r="L421" i="7"/>
  <c r="I421" i="7"/>
  <c r="H421" i="7"/>
  <c r="F421" i="7"/>
  <c r="C421" i="7"/>
  <c r="AC420" i="7"/>
  <c r="AD420" i="7" s="1"/>
  <c r="AA420" i="7"/>
  <c r="W420" i="7"/>
  <c r="X420" i="7" s="1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W419" i="7"/>
  <c r="X419" i="7" s="1"/>
  <c r="U419" i="7"/>
  <c r="R419" i="7"/>
  <c r="N419" i="7"/>
  <c r="O419" i="7" s="1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N418" i="7"/>
  <c r="O418" i="7" s="1"/>
  <c r="L418" i="7"/>
  <c r="H418" i="7"/>
  <c r="I418" i="7" s="1"/>
  <c r="F418" i="7"/>
  <c r="C418" i="7"/>
  <c r="AC417" i="7"/>
  <c r="AD417" i="7" s="1"/>
  <c r="AA417" i="7"/>
  <c r="W417" i="7"/>
  <c r="X417" i="7" s="1"/>
  <c r="U417" i="7"/>
  <c r="R417" i="7"/>
  <c r="N417" i="7"/>
  <c r="O417" i="7" s="1"/>
  <c r="L417" i="7"/>
  <c r="I417" i="7"/>
  <c r="H417" i="7"/>
  <c r="F417" i="7"/>
  <c r="C417" i="7"/>
  <c r="AC416" i="7"/>
  <c r="AD416" i="7" s="1"/>
  <c r="AA416" i="7"/>
  <c r="W416" i="7"/>
  <c r="X416" i="7" s="1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W415" i="7"/>
  <c r="X415" i="7" s="1"/>
  <c r="U415" i="7"/>
  <c r="R415" i="7"/>
  <c r="N415" i="7"/>
  <c r="O415" i="7" s="1"/>
  <c r="L415" i="7"/>
  <c r="H415" i="7"/>
  <c r="I415" i="7" s="1"/>
  <c r="F415" i="7"/>
  <c r="C415" i="7"/>
  <c r="AD414" i="7"/>
  <c r="AC414" i="7"/>
  <c r="AA414" i="7"/>
  <c r="X414" i="7"/>
  <c r="W414" i="7"/>
  <c r="U414" i="7"/>
  <c r="R414" i="7"/>
  <c r="N414" i="7"/>
  <c r="O414" i="7" s="1"/>
  <c r="L414" i="7"/>
  <c r="H414" i="7"/>
  <c r="I414" i="7" s="1"/>
  <c r="F414" i="7"/>
  <c r="C414" i="7"/>
  <c r="AC413" i="7"/>
  <c r="AD413" i="7" s="1"/>
  <c r="AA413" i="7"/>
  <c r="W413" i="7"/>
  <c r="X413" i="7" s="1"/>
  <c r="U413" i="7"/>
  <c r="R413" i="7"/>
  <c r="N413" i="7"/>
  <c r="O413" i="7" s="1"/>
  <c r="L413" i="7"/>
  <c r="I413" i="7"/>
  <c r="H413" i="7"/>
  <c r="F413" i="7"/>
  <c r="C413" i="7"/>
  <c r="AC412" i="7"/>
  <c r="AD412" i="7" s="1"/>
  <c r="AA412" i="7"/>
  <c r="W412" i="7"/>
  <c r="X412" i="7" s="1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W411" i="7"/>
  <c r="X411" i="7" s="1"/>
  <c r="U411" i="7"/>
  <c r="R411" i="7"/>
  <c r="N411" i="7"/>
  <c r="O411" i="7" s="1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C409" i="7"/>
  <c r="AD409" i="7" s="1"/>
  <c r="AA409" i="7"/>
  <c r="W409" i="7"/>
  <c r="X409" i="7" s="1"/>
  <c r="U409" i="7"/>
  <c r="R409" i="7"/>
  <c r="N409" i="7"/>
  <c r="O409" i="7" s="1"/>
  <c r="L409" i="7"/>
  <c r="I409" i="7"/>
  <c r="H409" i="7"/>
  <c r="F409" i="7"/>
  <c r="C409" i="7"/>
  <c r="AD408" i="7"/>
  <c r="AC408" i="7"/>
  <c r="AA408" i="7"/>
  <c r="W408" i="7"/>
  <c r="X408" i="7" s="1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W407" i="7"/>
  <c r="X407" i="7" s="1"/>
  <c r="U407" i="7"/>
  <c r="R407" i="7"/>
  <c r="N407" i="7"/>
  <c r="O407" i="7" s="1"/>
  <c r="L407" i="7"/>
  <c r="I407" i="7"/>
  <c r="H407" i="7"/>
  <c r="F407" i="7"/>
  <c r="C407" i="7"/>
  <c r="Z403" i="7"/>
  <c r="AA403" i="7" s="1"/>
  <c r="T403" i="7"/>
  <c r="U403" i="7" s="1"/>
  <c r="Q403" i="7"/>
  <c r="R403" i="7" s="1"/>
  <c r="L403" i="7"/>
  <c r="K403" i="7"/>
  <c r="H403" i="7"/>
  <c r="I403" i="7" s="1"/>
  <c r="E403" i="7"/>
  <c r="F403" i="7" s="1"/>
  <c r="B403" i="7"/>
  <c r="C403" i="7" s="1"/>
  <c r="AD402" i="7"/>
  <c r="AC402" i="7"/>
  <c r="AA402" i="7"/>
  <c r="X402" i="7"/>
  <c r="W402" i="7"/>
  <c r="U402" i="7"/>
  <c r="R402" i="7"/>
  <c r="N402" i="7"/>
  <c r="O402" i="7" s="1"/>
  <c r="L402" i="7"/>
  <c r="H402" i="7"/>
  <c r="I402" i="7" s="1"/>
  <c r="F402" i="7"/>
  <c r="C402" i="7"/>
  <c r="AC401" i="7"/>
  <c r="AD401" i="7" s="1"/>
  <c r="AA401" i="7"/>
  <c r="W401" i="7"/>
  <c r="X401" i="7" s="1"/>
  <c r="U401" i="7"/>
  <c r="R401" i="7"/>
  <c r="N401" i="7"/>
  <c r="O401" i="7" s="1"/>
  <c r="L401" i="7"/>
  <c r="I401" i="7"/>
  <c r="H401" i="7"/>
  <c r="F401" i="7"/>
  <c r="C401" i="7"/>
  <c r="AC400" i="7"/>
  <c r="AD400" i="7" s="1"/>
  <c r="AA400" i="7"/>
  <c r="W400" i="7"/>
  <c r="X400" i="7" s="1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W399" i="7"/>
  <c r="X399" i="7" s="1"/>
  <c r="U399" i="7"/>
  <c r="R399" i="7"/>
  <c r="N399" i="7"/>
  <c r="O399" i="7" s="1"/>
  <c r="L399" i="7"/>
  <c r="H399" i="7"/>
  <c r="I399" i="7" s="1"/>
  <c r="F399" i="7"/>
  <c r="C399" i="7"/>
  <c r="AD398" i="7"/>
  <c r="AC398" i="7"/>
  <c r="AA398" i="7"/>
  <c r="X398" i="7"/>
  <c r="W398" i="7"/>
  <c r="U398" i="7"/>
  <c r="R398" i="7"/>
  <c r="N398" i="7"/>
  <c r="O398" i="7" s="1"/>
  <c r="L398" i="7"/>
  <c r="H398" i="7"/>
  <c r="I398" i="7" s="1"/>
  <c r="F398" i="7"/>
  <c r="C398" i="7"/>
  <c r="AC397" i="7"/>
  <c r="AD397" i="7" s="1"/>
  <c r="AA397" i="7"/>
  <c r="W397" i="7"/>
  <c r="X397" i="7" s="1"/>
  <c r="U397" i="7"/>
  <c r="R397" i="7"/>
  <c r="N397" i="7"/>
  <c r="O397" i="7" s="1"/>
  <c r="L397" i="7"/>
  <c r="I397" i="7"/>
  <c r="H397" i="7"/>
  <c r="F397" i="7"/>
  <c r="C397" i="7"/>
  <c r="Z396" i="7"/>
  <c r="AA396" i="7" s="1"/>
  <c r="T396" i="7"/>
  <c r="U396" i="7" s="1"/>
  <c r="Q396" i="7"/>
  <c r="R396" i="7" s="1"/>
  <c r="L396" i="7"/>
  <c r="K396" i="7"/>
  <c r="H396" i="7"/>
  <c r="I396" i="7" s="1"/>
  <c r="E396" i="7"/>
  <c r="F396" i="7" s="1"/>
  <c r="B396" i="7"/>
  <c r="C396" i="7" s="1"/>
  <c r="AD395" i="7"/>
  <c r="AC395" i="7"/>
  <c r="AA395" i="7"/>
  <c r="X395" i="7"/>
  <c r="W395" i="7"/>
  <c r="U395" i="7"/>
  <c r="R395" i="7"/>
  <c r="N395" i="7"/>
  <c r="O395" i="7" s="1"/>
  <c r="L395" i="7"/>
  <c r="H395" i="7"/>
  <c r="I395" i="7" s="1"/>
  <c r="F395" i="7"/>
  <c r="C395" i="7"/>
  <c r="AC394" i="7"/>
  <c r="AD394" i="7" s="1"/>
  <c r="AA394" i="7"/>
  <c r="W394" i="7"/>
  <c r="X394" i="7" s="1"/>
  <c r="U394" i="7"/>
  <c r="R394" i="7"/>
  <c r="N394" i="7"/>
  <c r="O394" i="7" s="1"/>
  <c r="L394" i="7"/>
  <c r="I394" i="7"/>
  <c r="H394" i="7"/>
  <c r="F394" i="7"/>
  <c r="C394" i="7"/>
  <c r="Z393" i="7"/>
  <c r="AA393" i="7" s="1"/>
  <c r="T393" i="7"/>
  <c r="U393" i="7" s="1"/>
  <c r="Q393" i="7"/>
  <c r="R393" i="7" s="1"/>
  <c r="L393" i="7"/>
  <c r="K393" i="7"/>
  <c r="E393" i="7"/>
  <c r="F393" i="7" s="1"/>
  <c r="B393" i="7"/>
  <c r="AD392" i="7"/>
  <c r="AC392" i="7"/>
  <c r="AA392" i="7"/>
  <c r="X392" i="7"/>
  <c r="W392" i="7"/>
  <c r="U392" i="7"/>
  <c r="R392" i="7"/>
  <c r="N392" i="7"/>
  <c r="O392" i="7" s="1"/>
  <c r="L392" i="7"/>
  <c r="H392" i="7"/>
  <c r="I392" i="7" s="1"/>
  <c r="F392" i="7"/>
  <c r="C392" i="7"/>
  <c r="AC391" i="7"/>
  <c r="AD391" i="7" s="1"/>
  <c r="AA391" i="7"/>
  <c r="W391" i="7"/>
  <c r="X391" i="7" s="1"/>
  <c r="U391" i="7"/>
  <c r="R391" i="7"/>
  <c r="N391" i="7"/>
  <c r="O391" i="7" s="1"/>
  <c r="L391" i="7"/>
  <c r="I391" i="7"/>
  <c r="H391" i="7"/>
  <c r="F391" i="7"/>
  <c r="C391" i="7"/>
  <c r="AC390" i="7"/>
  <c r="AD390" i="7" s="1"/>
  <c r="AA390" i="7"/>
  <c r="W390" i="7"/>
  <c r="X390" i="7" s="1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W389" i="7"/>
  <c r="X389" i="7" s="1"/>
  <c r="U389" i="7"/>
  <c r="R389" i="7"/>
  <c r="N389" i="7"/>
  <c r="O389" i="7" s="1"/>
  <c r="L389" i="7"/>
  <c r="H389" i="7"/>
  <c r="I389" i="7" s="1"/>
  <c r="F389" i="7"/>
  <c r="C389" i="7"/>
  <c r="AD388" i="7"/>
  <c r="AC388" i="7"/>
  <c r="AA388" i="7"/>
  <c r="X388" i="7"/>
  <c r="W388" i="7"/>
  <c r="U388" i="7"/>
  <c r="R388" i="7"/>
  <c r="N388" i="7"/>
  <c r="O388" i="7" s="1"/>
  <c r="L388" i="7"/>
  <c r="H388" i="7"/>
  <c r="I388" i="7" s="1"/>
  <c r="F388" i="7"/>
  <c r="C388" i="7"/>
  <c r="AC386" i="7"/>
  <c r="AD386" i="7" s="1"/>
  <c r="AA386" i="7"/>
  <c r="W386" i="7"/>
  <c r="X386" i="7" s="1"/>
  <c r="U386" i="7"/>
  <c r="R386" i="7"/>
  <c r="N386" i="7"/>
  <c r="O386" i="7" s="1"/>
  <c r="L386" i="7"/>
  <c r="I386" i="7"/>
  <c r="H386" i="7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W383" i="7"/>
  <c r="X383" i="7" s="1"/>
  <c r="U383" i="7"/>
  <c r="R383" i="7"/>
  <c r="N383" i="7"/>
  <c r="O383" i="7" s="1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O382" i="7"/>
  <c r="N382" i="7"/>
  <c r="L382" i="7"/>
  <c r="I382" i="7"/>
  <c r="H382" i="7"/>
  <c r="F382" i="7"/>
  <c r="C382" i="7"/>
  <c r="AC381" i="7"/>
  <c r="AD381" i="7" s="1"/>
  <c r="AA381" i="7"/>
  <c r="W381" i="7"/>
  <c r="X381" i="7" s="1"/>
  <c r="U381" i="7"/>
  <c r="R381" i="7"/>
  <c r="N381" i="7"/>
  <c r="O381" i="7" s="1"/>
  <c r="L381" i="7"/>
  <c r="I381" i="7"/>
  <c r="H381" i="7"/>
  <c r="F381" i="7"/>
  <c r="C381" i="7"/>
  <c r="AC380" i="7"/>
  <c r="AD380" i="7" s="1"/>
  <c r="AA380" i="7"/>
  <c r="W380" i="7"/>
  <c r="X380" i="7" s="1"/>
  <c r="U380" i="7"/>
  <c r="R380" i="7"/>
  <c r="O380" i="7"/>
  <c r="N380" i="7"/>
  <c r="L380" i="7"/>
  <c r="I380" i="7"/>
  <c r="H380" i="7"/>
  <c r="F380" i="7"/>
  <c r="C380" i="7"/>
  <c r="AD379" i="7"/>
  <c r="AC379" i="7"/>
  <c r="AA379" i="7"/>
  <c r="W379" i="7"/>
  <c r="X379" i="7" s="1"/>
  <c r="U379" i="7"/>
  <c r="R379" i="7"/>
  <c r="N379" i="7"/>
  <c r="O379" i="7" s="1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N378" i="7"/>
  <c r="O378" i="7" s="1"/>
  <c r="L378" i="7"/>
  <c r="H378" i="7"/>
  <c r="I378" i="7" s="1"/>
  <c r="F378" i="7"/>
  <c r="C378" i="7"/>
  <c r="AC377" i="7"/>
  <c r="AD377" i="7" s="1"/>
  <c r="AA377" i="7"/>
  <c r="W377" i="7"/>
  <c r="X377" i="7" s="1"/>
  <c r="U377" i="7"/>
  <c r="R377" i="7"/>
  <c r="N377" i="7"/>
  <c r="O377" i="7" s="1"/>
  <c r="L377" i="7"/>
  <c r="I377" i="7"/>
  <c r="H377" i="7"/>
  <c r="F377" i="7"/>
  <c r="C377" i="7"/>
  <c r="AC376" i="7"/>
  <c r="AD376" i="7" s="1"/>
  <c r="AA376" i="7"/>
  <c r="W376" i="7"/>
  <c r="X376" i="7" s="1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W375" i="7"/>
  <c r="X375" i="7" s="1"/>
  <c r="U375" i="7"/>
  <c r="R375" i="7"/>
  <c r="N375" i="7"/>
  <c r="O375" i="7" s="1"/>
  <c r="L375" i="7"/>
  <c r="I375" i="7"/>
  <c r="H375" i="7"/>
  <c r="F375" i="7"/>
  <c r="C375" i="7"/>
  <c r="AD374" i="7"/>
  <c r="AC374" i="7"/>
  <c r="AA374" i="7"/>
  <c r="X374" i="7"/>
  <c r="W374" i="7"/>
  <c r="U374" i="7"/>
  <c r="R374" i="7"/>
  <c r="N374" i="7"/>
  <c r="O374" i="7" s="1"/>
  <c r="L374" i="7"/>
  <c r="I374" i="7"/>
  <c r="H374" i="7"/>
  <c r="F374" i="7"/>
  <c r="C374" i="7"/>
  <c r="AD373" i="7"/>
  <c r="AC373" i="7"/>
  <c r="AA373" i="7"/>
  <c r="W373" i="7"/>
  <c r="X373" i="7" s="1"/>
  <c r="U373" i="7"/>
  <c r="R373" i="7"/>
  <c r="N373" i="7"/>
  <c r="O373" i="7" s="1"/>
  <c r="L373" i="7"/>
  <c r="I373" i="7"/>
  <c r="H373" i="7"/>
  <c r="F373" i="7"/>
  <c r="C373" i="7"/>
  <c r="AD372" i="7"/>
  <c r="AC372" i="7"/>
  <c r="AA372" i="7"/>
  <c r="W372" i="7"/>
  <c r="X372" i="7" s="1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W371" i="7"/>
  <c r="X371" i="7" s="1"/>
  <c r="U371" i="7"/>
  <c r="R371" i="7"/>
  <c r="N371" i="7"/>
  <c r="O371" i="7" s="1"/>
  <c r="L371" i="7"/>
  <c r="I371" i="7"/>
  <c r="H371" i="7"/>
  <c r="F371" i="7"/>
  <c r="C371" i="7"/>
  <c r="AD370" i="7"/>
  <c r="AC370" i="7"/>
  <c r="AA370" i="7"/>
  <c r="X370" i="7"/>
  <c r="W370" i="7"/>
  <c r="U370" i="7"/>
  <c r="R370" i="7"/>
  <c r="N370" i="7"/>
  <c r="O370" i="7" s="1"/>
  <c r="L370" i="7"/>
  <c r="I370" i="7"/>
  <c r="H370" i="7"/>
  <c r="F370" i="7"/>
  <c r="C370" i="7"/>
  <c r="AD369" i="7"/>
  <c r="AC369" i="7"/>
  <c r="AA369" i="7"/>
  <c r="W369" i="7"/>
  <c r="X369" i="7" s="1"/>
  <c r="U369" i="7"/>
  <c r="R369" i="7"/>
  <c r="N369" i="7"/>
  <c r="O369" i="7" s="1"/>
  <c r="L369" i="7"/>
  <c r="I369" i="7"/>
  <c r="H369" i="7"/>
  <c r="F369" i="7"/>
  <c r="C369" i="7"/>
  <c r="AA368" i="7"/>
  <c r="Z368" i="7"/>
  <c r="T368" i="7"/>
  <c r="U368" i="7" s="1"/>
  <c r="R368" i="7"/>
  <c r="Q368" i="7"/>
  <c r="AC368" i="7" s="1"/>
  <c r="AD368" i="7" s="1"/>
  <c r="L368" i="7"/>
  <c r="K368" i="7"/>
  <c r="F368" i="7"/>
  <c r="E368" i="7"/>
  <c r="C368" i="7"/>
  <c r="B368" i="7"/>
  <c r="H368" i="7" s="1"/>
  <c r="I368" i="7" s="1"/>
  <c r="AD367" i="7"/>
  <c r="AC367" i="7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W366" i="7"/>
  <c r="X366" i="7" s="1"/>
  <c r="U366" i="7"/>
  <c r="R366" i="7"/>
  <c r="N366" i="7"/>
  <c r="O366" i="7" s="1"/>
  <c r="L366" i="7"/>
  <c r="I366" i="7"/>
  <c r="H366" i="7"/>
  <c r="F366" i="7"/>
  <c r="C366" i="7"/>
  <c r="AD365" i="7"/>
  <c r="AC365" i="7"/>
  <c r="AA365" i="7"/>
  <c r="W365" i="7"/>
  <c r="X365" i="7" s="1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W364" i="7"/>
  <c r="X364" i="7" s="1"/>
  <c r="U364" i="7"/>
  <c r="R364" i="7"/>
  <c r="N364" i="7"/>
  <c r="O364" i="7" s="1"/>
  <c r="L364" i="7"/>
  <c r="I364" i="7"/>
  <c r="H364" i="7"/>
  <c r="F364" i="7"/>
  <c r="C364" i="7"/>
  <c r="AD363" i="7"/>
  <c r="AC363" i="7"/>
  <c r="AA363" i="7"/>
  <c r="X363" i="7"/>
  <c r="W363" i="7"/>
  <c r="U363" i="7"/>
  <c r="R363" i="7"/>
  <c r="O363" i="7"/>
  <c r="N363" i="7"/>
  <c r="L363" i="7"/>
  <c r="I363" i="7"/>
  <c r="H363" i="7"/>
  <c r="F363" i="7"/>
  <c r="C363" i="7"/>
  <c r="AC362" i="7"/>
  <c r="AD362" i="7" s="1"/>
  <c r="AA362" i="7"/>
  <c r="W362" i="7"/>
  <c r="X362" i="7" s="1"/>
  <c r="U362" i="7"/>
  <c r="R362" i="7"/>
  <c r="N362" i="7"/>
  <c r="O362" i="7" s="1"/>
  <c r="L362" i="7"/>
  <c r="I362" i="7"/>
  <c r="H362" i="7"/>
  <c r="F362" i="7"/>
  <c r="C362" i="7"/>
  <c r="AD361" i="7"/>
  <c r="AC361" i="7"/>
  <c r="AA361" i="7"/>
  <c r="W361" i="7"/>
  <c r="X361" i="7" s="1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N360" i="7"/>
  <c r="O360" i="7" s="1"/>
  <c r="L360" i="7"/>
  <c r="I360" i="7"/>
  <c r="H360" i="7"/>
  <c r="F360" i="7"/>
  <c r="C360" i="7"/>
  <c r="Z358" i="7"/>
  <c r="AA358" i="7" s="1"/>
  <c r="U358" i="7"/>
  <c r="T358" i="7"/>
  <c r="R358" i="7"/>
  <c r="Q358" i="7"/>
  <c r="W358" i="7" s="1"/>
  <c r="X358" i="7" s="1"/>
  <c r="L358" i="7"/>
  <c r="K358" i="7"/>
  <c r="I358" i="7"/>
  <c r="H358" i="7"/>
  <c r="F358" i="7"/>
  <c r="E358" i="7"/>
  <c r="C358" i="7"/>
  <c r="B358" i="7"/>
  <c r="N358" i="7" s="1"/>
  <c r="O358" i="7" s="1"/>
  <c r="AD357" i="7"/>
  <c r="AC357" i="7"/>
  <c r="AA357" i="7"/>
  <c r="W357" i="7"/>
  <c r="X357" i="7" s="1"/>
  <c r="U357" i="7"/>
  <c r="R357" i="7"/>
  <c r="O357" i="7"/>
  <c r="N357" i="7"/>
  <c r="L357" i="7"/>
  <c r="I357" i="7"/>
  <c r="H357" i="7"/>
  <c r="F357" i="7"/>
  <c r="C357" i="7"/>
  <c r="AD356" i="7"/>
  <c r="AC356" i="7"/>
  <c r="AA356" i="7"/>
  <c r="W356" i="7"/>
  <c r="X356" i="7" s="1"/>
  <c r="U356" i="7"/>
  <c r="R356" i="7"/>
  <c r="N356" i="7"/>
  <c r="O356" i="7" s="1"/>
  <c r="L356" i="7"/>
  <c r="I356" i="7"/>
  <c r="H356" i="7"/>
  <c r="F356" i="7"/>
  <c r="C356" i="7"/>
  <c r="AD355" i="7"/>
  <c r="AC355" i="7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C354" i="7"/>
  <c r="AD354" i="7" s="1"/>
  <c r="AA354" i="7"/>
  <c r="W354" i="7"/>
  <c r="X354" i="7" s="1"/>
  <c r="U354" i="7"/>
  <c r="R354" i="7"/>
  <c r="N354" i="7"/>
  <c r="O354" i="7" s="1"/>
  <c r="L354" i="7"/>
  <c r="I354" i="7"/>
  <c r="H354" i="7"/>
  <c r="F354" i="7"/>
  <c r="C354" i="7"/>
  <c r="AD353" i="7"/>
  <c r="AC353" i="7"/>
  <c r="AA353" i="7"/>
  <c r="W353" i="7"/>
  <c r="X353" i="7" s="1"/>
  <c r="U353" i="7"/>
  <c r="R353" i="7"/>
  <c r="O353" i="7"/>
  <c r="N353" i="7"/>
  <c r="L353" i="7"/>
  <c r="I353" i="7"/>
  <c r="H353" i="7"/>
  <c r="F353" i="7"/>
  <c r="C353" i="7"/>
  <c r="AD352" i="7"/>
  <c r="AC352" i="7"/>
  <c r="AA352" i="7"/>
  <c r="W352" i="7"/>
  <c r="X352" i="7" s="1"/>
  <c r="U352" i="7"/>
  <c r="R352" i="7"/>
  <c r="N352" i="7"/>
  <c r="O352" i="7" s="1"/>
  <c r="L352" i="7"/>
  <c r="I352" i="7"/>
  <c r="H352" i="7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H351" i="7"/>
  <c r="I351" i="7" s="1"/>
  <c r="F351" i="7"/>
  <c r="C351" i="7"/>
  <c r="AD350" i="7"/>
  <c r="AC350" i="7"/>
  <c r="AA350" i="7"/>
  <c r="W350" i="7"/>
  <c r="X350" i="7" s="1"/>
  <c r="U350" i="7"/>
  <c r="R350" i="7"/>
  <c r="N350" i="7"/>
  <c r="O350" i="7" s="1"/>
  <c r="L350" i="7"/>
  <c r="I350" i="7"/>
  <c r="H350" i="7"/>
  <c r="F350" i="7"/>
  <c r="C350" i="7"/>
  <c r="AD349" i="7"/>
  <c r="AC349" i="7"/>
  <c r="AA349" i="7"/>
  <c r="W349" i="7"/>
  <c r="X349" i="7" s="1"/>
  <c r="U349" i="7"/>
  <c r="R349" i="7"/>
  <c r="O349" i="7"/>
  <c r="N349" i="7"/>
  <c r="L349" i="7"/>
  <c r="I349" i="7"/>
  <c r="H349" i="7"/>
  <c r="F349" i="7"/>
  <c r="C349" i="7"/>
  <c r="AD347" i="7"/>
  <c r="AC347" i="7"/>
  <c r="AA347" i="7"/>
  <c r="W347" i="7"/>
  <c r="X347" i="7" s="1"/>
  <c r="U347" i="7"/>
  <c r="R347" i="7"/>
  <c r="N347" i="7"/>
  <c r="O347" i="7" s="1"/>
  <c r="L347" i="7"/>
  <c r="I347" i="7"/>
  <c r="H347" i="7"/>
  <c r="F347" i="7"/>
  <c r="C347" i="7"/>
  <c r="Z344" i="7"/>
  <c r="AA344" i="7" s="1"/>
  <c r="U344" i="7"/>
  <c r="T344" i="7"/>
  <c r="R344" i="7"/>
  <c r="Q344" i="7"/>
  <c r="L344" i="7"/>
  <c r="K344" i="7"/>
  <c r="I344" i="7"/>
  <c r="H344" i="7"/>
  <c r="F344" i="7"/>
  <c r="E344" i="7"/>
  <c r="C344" i="7"/>
  <c r="B344" i="7"/>
  <c r="N344" i="7" s="1"/>
  <c r="O344" i="7" s="1"/>
  <c r="AA343" i="7"/>
  <c r="Z343" i="7"/>
  <c r="T343" i="7"/>
  <c r="R343" i="7"/>
  <c r="Q343" i="7"/>
  <c r="AC343" i="7" s="1"/>
  <c r="AD343" i="7" s="1"/>
  <c r="L343" i="7"/>
  <c r="K343" i="7"/>
  <c r="H343" i="7"/>
  <c r="I343" i="7" s="1"/>
  <c r="F343" i="7"/>
  <c r="E343" i="7"/>
  <c r="B343" i="7"/>
  <c r="C343" i="7" s="1"/>
  <c r="AA342" i="7"/>
  <c r="Z342" i="7"/>
  <c r="U342" i="7"/>
  <c r="T342" i="7"/>
  <c r="R342" i="7"/>
  <c r="Q342" i="7"/>
  <c r="L342" i="7"/>
  <c r="K342" i="7"/>
  <c r="F342" i="7"/>
  <c r="E342" i="7"/>
  <c r="B342" i="7"/>
  <c r="H342" i="7" s="1"/>
  <c r="I342" i="7" s="1"/>
  <c r="AD341" i="7"/>
  <c r="AC341" i="7"/>
  <c r="AA341" i="7"/>
  <c r="X341" i="7"/>
  <c r="W341" i="7"/>
  <c r="U341" i="7"/>
  <c r="R341" i="7"/>
  <c r="N341" i="7"/>
  <c r="O341" i="7" s="1"/>
  <c r="L341" i="7"/>
  <c r="I341" i="7"/>
  <c r="H341" i="7"/>
  <c r="F341" i="7"/>
  <c r="C341" i="7"/>
  <c r="AC340" i="7"/>
  <c r="AD340" i="7" s="1"/>
  <c r="AA340" i="7"/>
  <c r="W340" i="7"/>
  <c r="X340" i="7" s="1"/>
  <c r="U340" i="7"/>
  <c r="R340" i="7"/>
  <c r="N340" i="7"/>
  <c r="O340" i="7" s="1"/>
  <c r="L340" i="7"/>
  <c r="I340" i="7"/>
  <c r="H340" i="7"/>
  <c r="F340" i="7"/>
  <c r="C340" i="7"/>
  <c r="AD339" i="7"/>
  <c r="AC339" i="7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D338" i="7"/>
  <c r="AC338" i="7"/>
  <c r="AA338" i="7"/>
  <c r="W338" i="7"/>
  <c r="X338" i="7" s="1"/>
  <c r="U338" i="7"/>
  <c r="R338" i="7"/>
  <c r="N338" i="7"/>
  <c r="O338" i="7" s="1"/>
  <c r="L338" i="7"/>
  <c r="I338" i="7"/>
  <c r="H338" i="7"/>
  <c r="F338" i="7"/>
  <c r="C338" i="7"/>
  <c r="AD337" i="7"/>
  <c r="AC337" i="7"/>
  <c r="AA337" i="7"/>
  <c r="X337" i="7"/>
  <c r="W337" i="7"/>
  <c r="U337" i="7"/>
  <c r="R337" i="7"/>
  <c r="O337" i="7"/>
  <c r="N337" i="7"/>
  <c r="L337" i="7"/>
  <c r="I337" i="7"/>
  <c r="H337" i="7"/>
  <c r="F337" i="7"/>
  <c r="C337" i="7"/>
  <c r="AC335" i="7"/>
  <c r="AD335" i="7" s="1"/>
  <c r="AA335" i="7"/>
  <c r="W335" i="7"/>
  <c r="X335" i="7" s="1"/>
  <c r="U335" i="7"/>
  <c r="R335" i="7"/>
  <c r="N335" i="7"/>
  <c r="O335" i="7" s="1"/>
  <c r="L335" i="7"/>
  <c r="I335" i="7"/>
  <c r="H335" i="7"/>
  <c r="F335" i="7"/>
  <c r="C335" i="7"/>
  <c r="AD334" i="7"/>
  <c r="AC334" i="7"/>
  <c r="AA334" i="7"/>
  <c r="W334" i="7"/>
  <c r="X334" i="7" s="1"/>
  <c r="U334" i="7"/>
  <c r="R334" i="7"/>
  <c r="O334" i="7"/>
  <c r="N334" i="7"/>
  <c r="L334" i="7"/>
  <c r="I334" i="7"/>
  <c r="H334" i="7"/>
  <c r="F334" i="7"/>
  <c r="C334" i="7"/>
  <c r="AD333" i="7"/>
  <c r="AC333" i="7"/>
  <c r="AA333" i="7"/>
  <c r="W333" i="7"/>
  <c r="X333" i="7" s="1"/>
  <c r="U333" i="7"/>
  <c r="R333" i="7"/>
  <c r="N333" i="7"/>
  <c r="O333" i="7" s="1"/>
  <c r="L333" i="7"/>
  <c r="I333" i="7"/>
  <c r="H333" i="7"/>
  <c r="F333" i="7"/>
  <c r="C333" i="7"/>
  <c r="AD332" i="7"/>
  <c r="AC332" i="7"/>
  <c r="AA332" i="7"/>
  <c r="X332" i="7"/>
  <c r="W332" i="7"/>
  <c r="U332" i="7"/>
  <c r="R332" i="7"/>
  <c r="O332" i="7"/>
  <c r="N332" i="7"/>
  <c r="L332" i="7"/>
  <c r="I332" i="7"/>
  <c r="H332" i="7"/>
  <c r="F332" i="7"/>
  <c r="C332" i="7"/>
  <c r="AC331" i="7"/>
  <c r="AD331" i="7" s="1"/>
  <c r="AA331" i="7"/>
  <c r="W331" i="7"/>
  <c r="X331" i="7" s="1"/>
  <c r="U331" i="7"/>
  <c r="R331" i="7"/>
  <c r="N331" i="7"/>
  <c r="O331" i="7" s="1"/>
  <c r="L331" i="7"/>
  <c r="I331" i="7"/>
  <c r="H331" i="7"/>
  <c r="F331" i="7"/>
  <c r="C331" i="7"/>
  <c r="AD330" i="7"/>
  <c r="AC330" i="7"/>
  <c r="AA330" i="7"/>
  <c r="W330" i="7"/>
  <c r="X330" i="7" s="1"/>
  <c r="U330" i="7"/>
  <c r="R330" i="7"/>
  <c r="O330" i="7"/>
  <c r="N330" i="7"/>
  <c r="L330" i="7"/>
  <c r="I330" i="7"/>
  <c r="H330" i="7"/>
  <c r="F330" i="7"/>
  <c r="C330" i="7"/>
  <c r="AD329" i="7"/>
  <c r="AC329" i="7"/>
  <c r="AA329" i="7"/>
  <c r="W329" i="7"/>
  <c r="X329" i="7" s="1"/>
  <c r="U329" i="7"/>
  <c r="R329" i="7"/>
  <c r="N329" i="7"/>
  <c r="O329" i="7" s="1"/>
  <c r="L329" i="7"/>
  <c r="I329" i="7"/>
  <c r="H329" i="7"/>
  <c r="F329" i="7"/>
  <c r="C329" i="7"/>
  <c r="AD328" i="7"/>
  <c r="AC328" i="7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AA325" i="7"/>
  <c r="Z325" i="7"/>
  <c r="U325" i="7"/>
  <c r="T325" i="7"/>
  <c r="Q325" i="7"/>
  <c r="K325" i="7"/>
  <c r="L325" i="7" s="1"/>
  <c r="E325" i="7"/>
  <c r="F325" i="7" s="1"/>
  <c r="C325" i="7"/>
  <c r="B325" i="7"/>
  <c r="AC324" i="7"/>
  <c r="AD324" i="7" s="1"/>
  <c r="AA324" i="7"/>
  <c r="Z324" i="7"/>
  <c r="U324" i="7"/>
  <c r="T324" i="7"/>
  <c r="Q324" i="7"/>
  <c r="K324" i="7"/>
  <c r="L324" i="7" s="1"/>
  <c r="F324" i="7"/>
  <c r="E324" i="7"/>
  <c r="C324" i="7"/>
  <c r="B324" i="7"/>
  <c r="N324" i="7" s="1"/>
  <c r="O324" i="7" s="1"/>
  <c r="AD323" i="7"/>
  <c r="AC323" i="7"/>
  <c r="AA323" i="7"/>
  <c r="W323" i="7"/>
  <c r="X323" i="7" s="1"/>
  <c r="U323" i="7"/>
  <c r="R323" i="7"/>
  <c r="N323" i="7"/>
  <c r="O323" i="7" s="1"/>
  <c r="L323" i="7"/>
  <c r="I323" i="7"/>
  <c r="H323" i="7"/>
  <c r="F323" i="7"/>
  <c r="C323" i="7"/>
  <c r="AD322" i="7"/>
  <c r="AC322" i="7"/>
  <c r="AA322" i="7"/>
  <c r="W322" i="7"/>
  <c r="X322" i="7" s="1"/>
  <c r="U322" i="7"/>
  <c r="R322" i="7"/>
  <c r="O322" i="7"/>
  <c r="N322" i="7"/>
  <c r="L322" i="7"/>
  <c r="I322" i="7"/>
  <c r="H322" i="7"/>
  <c r="F322" i="7"/>
  <c r="C322" i="7"/>
  <c r="AC321" i="7"/>
  <c r="AD321" i="7" s="1"/>
  <c r="AA321" i="7"/>
  <c r="W321" i="7"/>
  <c r="X321" i="7" s="1"/>
  <c r="U321" i="7"/>
  <c r="R321" i="7"/>
  <c r="N321" i="7"/>
  <c r="O321" i="7" s="1"/>
  <c r="L321" i="7"/>
  <c r="I321" i="7"/>
  <c r="H321" i="7"/>
  <c r="F321" i="7"/>
  <c r="C321" i="7"/>
  <c r="AD320" i="7"/>
  <c r="AC320" i="7"/>
  <c r="AA320" i="7"/>
  <c r="X320" i="7"/>
  <c r="W320" i="7"/>
  <c r="U320" i="7"/>
  <c r="R320" i="7"/>
  <c r="N320" i="7"/>
  <c r="O320" i="7" s="1"/>
  <c r="L320" i="7"/>
  <c r="I320" i="7"/>
  <c r="H320" i="7"/>
  <c r="F320" i="7"/>
  <c r="C320" i="7"/>
  <c r="AD319" i="7"/>
  <c r="AC319" i="7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D318" i="7"/>
  <c r="AC318" i="7"/>
  <c r="AA318" i="7"/>
  <c r="W318" i="7"/>
  <c r="X318" i="7" s="1"/>
  <c r="U318" i="7"/>
  <c r="R318" i="7"/>
  <c r="O318" i="7"/>
  <c r="N318" i="7"/>
  <c r="L318" i="7"/>
  <c r="I318" i="7"/>
  <c r="H318" i="7"/>
  <c r="F318" i="7"/>
  <c r="C318" i="7"/>
  <c r="AD317" i="7"/>
  <c r="AC317" i="7"/>
  <c r="AA317" i="7"/>
  <c r="W317" i="7"/>
  <c r="X317" i="7" s="1"/>
  <c r="U317" i="7"/>
  <c r="R317" i="7"/>
  <c r="N317" i="7"/>
  <c r="O317" i="7" s="1"/>
  <c r="L317" i="7"/>
  <c r="I317" i="7"/>
  <c r="H317" i="7"/>
  <c r="F317" i="7"/>
  <c r="C317" i="7"/>
  <c r="AD316" i="7"/>
  <c r="AC316" i="7"/>
  <c r="AA316" i="7"/>
  <c r="X316" i="7"/>
  <c r="W316" i="7"/>
  <c r="U316" i="7"/>
  <c r="R316" i="7"/>
  <c r="N316" i="7"/>
  <c r="O316" i="7" s="1"/>
  <c r="L316" i="7"/>
  <c r="I316" i="7"/>
  <c r="H316" i="7"/>
  <c r="F316" i="7"/>
  <c r="C316" i="7"/>
  <c r="AD315" i="7"/>
  <c r="AC315" i="7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X314" i="7"/>
  <c r="W314" i="7"/>
  <c r="U314" i="7"/>
  <c r="R314" i="7"/>
  <c r="O314" i="7"/>
  <c r="N314" i="7"/>
  <c r="L314" i="7"/>
  <c r="H314" i="7"/>
  <c r="I314" i="7" s="1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I313" i="7"/>
  <c r="H313" i="7"/>
  <c r="F313" i="7"/>
  <c r="C313" i="7"/>
  <c r="AD312" i="7"/>
  <c r="AC312" i="7"/>
  <c r="AA312" i="7"/>
  <c r="X312" i="7"/>
  <c r="W312" i="7"/>
  <c r="U312" i="7"/>
  <c r="R312" i="7"/>
  <c r="N312" i="7"/>
  <c r="O312" i="7" s="1"/>
  <c r="L312" i="7"/>
  <c r="I312" i="7"/>
  <c r="H312" i="7"/>
  <c r="F312" i="7"/>
  <c r="C312" i="7"/>
  <c r="AD311" i="7"/>
  <c r="AC311" i="7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D310" i="7"/>
  <c r="AC310" i="7"/>
  <c r="AA310" i="7"/>
  <c r="W310" i="7"/>
  <c r="X310" i="7" s="1"/>
  <c r="U310" i="7"/>
  <c r="R310" i="7"/>
  <c r="N310" i="7"/>
  <c r="O310" i="7" s="1"/>
  <c r="L310" i="7"/>
  <c r="H310" i="7"/>
  <c r="I310" i="7" s="1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I309" i="7"/>
  <c r="H309" i="7"/>
  <c r="F309" i="7"/>
  <c r="C309" i="7"/>
  <c r="AD308" i="7"/>
  <c r="AC308" i="7"/>
  <c r="AA308" i="7"/>
  <c r="W308" i="7"/>
  <c r="X308" i="7" s="1"/>
  <c r="U308" i="7"/>
  <c r="R308" i="7"/>
  <c r="N308" i="7"/>
  <c r="O308" i="7" s="1"/>
  <c r="L308" i="7"/>
  <c r="I308" i="7"/>
  <c r="H308" i="7"/>
  <c r="F308" i="7"/>
  <c r="C308" i="7"/>
  <c r="AD307" i="7"/>
  <c r="AC307" i="7"/>
  <c r="AA307" i="7"/>
  <c r="W307" i="7"/>
  <c r="X307" i="7" s="1"/>
  <c r="U307" i="7"/>
  <c r="R307" i="7"/>
  <c r="N307" i="7"/>
  <c r="O307" i="7" s="1"/>
  <c r="L307" i="7"/>
  <c r="I307" i="7"/>
  <c r="H307" i="7"/>
  <c r="F307" i="7"/>
  <c r="C307" i="7"/>
  <c r="AD306" i="7"/>
  <c r="AC306" i="7"/>
  <c r="AA306" i="7"/>
  <c r="W306" i="7"/>
  <c r="X306" i="7" s="1"/>
  <c r="U306" i="7"/>
  <c r="R306" i="7"/>
  <c r="O306" i="7"/>
  <c r="N306" i="7"/>
  <c r="L306" i="7"/>
  <c r="I306" i="7"/>
  <c r="H306" i="7"/>
  <c r="F306" i="7"/>
  <c r="C306" i="7"/>
  <c r="AD305" i="7"/>
  <c r="AC305" i="7"/>
  <c r="AA305" i="7"/>
  <c r="W305" i="7"/>
  <c r="X305" i="7" s="1"/>
  <c r="U305" i="7"/>
  <c r="R305" i="7"/>
  <c r="N305" i="7"/>
  <c r="O305" i="7" s="1"/>
  <c r="L305" i="7"/>
  <c r="I305" i="7"/>
  <c r="H305" i="7"/>
  <c r="F305" i="7"/>
  <c r="C305" i="7"/>
  <c r="AD304" i="7"/>
  <c r="AC304" i="7"/>
  <c r="AA304" i="7"/>
  <c r="W304" i="7"/>
  <c r="X304" i="7" s="1"/>
  <c r="U304" i="7"/>
  <c r="R304" i="7"/>
  <c r="N304" i="7"/>
  <c r="O304" i="7" s="1"/>
  <c r="L304" i="7"/>
  <c r="I304" i="7"/>
  <c r="H304" i="7"/>
  <c r="F304" i="7"/>
  <c r="C304" i="7"/>
  <c r="AD303" i="7"/>
  <c r="AC303" i="7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D302" i="7"/>
  <c r="AC302" i="7"/>
  <c r="AA302" i="7"/>
  <c r="W302" i="7"/>
  <c r="X302" i="7" s="1"/>
  <c r="U302" i="7"/>
  <c r="R302" i="7"/>
  <c r="N302" i="7"/>
  <c r="O302" i="7" s="1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I301" i="7"/>
  <c r="H301" i="7"/>
  <c r="F301" i="7"/>
  <c r="C301" i="7"/>
  <c r="AD300" i="7"/>
  <c r="AC300" i="7"/>
  <c r="AA300" i="7"/>
  <c r="W300" i="7"/>
  <c r="X300" i="7" s="1"/>
  <c r="U300" i="7"/>
  <c r="R300" i="7"/>
  <c r="N300" i="7"/>
  <c r="O300" i="7" s="1"/>
  <c r="L300" i="7"/>
  <c r="I300" i="7"/>
  <c r="H300" i="7"/>
  <c r="F300" i="7"/>
  <c r="C300" i="7"/>
  <c r="AD299" i="7"/>
  <c r="AC299" i="7"/>
  <c r="AA299" i="7"/>
  <c r="W299" i="7"/>
  <c r="X299" i="7" s="1"/>
  <c r="U299" i="7"/>
  <c r="R299" i="7"/>
  <c r="N299" i="7"/>
  <c r="O299" i="7" s="1"/>
  <c r="L299" i="7"/>
  <c r="I299" i="7"/>
  <c r="H299" i="7"/>
  <c r="F299" i="7"/>
  <c r="C299" i="7"/>
  <c r="AD298" i="7"/>
  <c r="AC298" i="7"/>
  <c r="AA298" i="7"/>
  <c r="W298" i="7"/>
  <c r="X298" i="7" s="1"/>
  <c r="U298" i="7"/>
  <c r="R298" i="7"/>
  <c r="N298" i="7"/>
  <c r="O298" i="7" s="1"/>
  <c r="L298" i="7"/>
  <c r="I298" i="7"/>
  <c r="H298" i="7"/>
  <c r="F298" i="7"/>
  <c r="C298" i="7"/>
  <c r="AD297" i="7"/>
  <c r="AC297" i="7"/>
  <c r="AA297" i="7"/>
  <c r="W297" i="7"/>
  <c r="X297" i="7" s="1"/>
  <c r="U297" i="7"/>
  <c r="R297" i="7"/>
  <c r="N297" i="7"/>
  <c r="O297" i="7" s="1"/>
  <c r="L297" i="7"/>
  <c r="I297" i="7"/>
  <c r="H297" i="7"/>
  <c r="F297" i="7"/>
  <c r="C297" i="7"/>
  <c r="Z295" i="7"/>
  <c r="AA295" i="7" s="1"/>
  <c r="T295" i="7"/>
  <c r="U295" i="7" s="1"/>
  <c r="R295" i="7"/>
  <c r="Q295" i="7"/>
  <c r="L295" i="7"/>
  <c r="K295" i="7"/>
  <c r="H295" i="7"/>
  <c r="I295" i="7" s="1"/>
  <c r="F295" i="7"/>
  <c r="E295" i="7"/>
  <c r="B295" i="7"/>
  <c r="C295" i="7" s="1"/>
  <c r="AD294" i="7"/>
  <c r="AC294" i="7"/>
  <c r="AA294" i="7"/>
  <c r="X294" i="7"/>
  <c r="W294" i="7"/>
  <c r="U294" i="7"/>
  <c r="R294" i="7"/>
  <c r="O294" i="7"/>
  <c r="N294" i="7"/>
  <c r="L294" i="7"/>
  <c r="H294" i="7"/>
  <c r="I294" i="7" s="1"/>
  <c r="F294" i="7"/>
  <c r="C294" i="7"/>
  <c r="AC293" i="7"/>
  <c r="AD293" i="7" s="1"/>
  <c r="AA293" i="7"/>
  <c r="W293" i="7"/>
  <c r="X293" i="7" s="1"/>
  <c r="U293" i="7"/>
  <c r="R293" i="7"/>
  <c r="N293" i="7"/>
  <c r="O293" i="7" s="1"/>
  <c r="L293" i="7"/>
  <c r="I293" i="7"/>
  <c r="H293" i="7"/>
  <c r="F293" i="7"/>
  <c r="C293" i="7"/>
  <c r="AD292" i="7"/>
  <c r="AC292" i="7"/>
  <c r="AA292" i="7"/>
  <c r="W292" i="7"/>
  <c r="X292" i="7" s="1"/>
  <c r="U292" i="7"/>
  <c r="R292" i="7"/>
  <c r="N292" i="7"/>
  <c r="O292" i="7" s="1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N291" i="7"/>
  <c r="O291" i="7" s="1"/>
  <c r="L291" i="7"/>
  <c r="I291" i="7"/>
  <c r="H291" i="7"/>
  <c r="F291" i="7"/>
  <c r="C291" i="7"/>
  <c r="AD290" i="7"/>
  <c r="AC290" i="7"/>
  <c r="AA290" i="7"/>
  <c r="X290" i="7"/>
  <c r="W290" i="7"/>
  <c r="U290" i="7"/>
  <c r="R290" i="7"/>
  <c r="O290" i="7"/>
  <c r="N290" i="7"/>
  <c r="L290" i="7"/>
  <c r="H290" i="7"/>
  <c r="I290" i="7" s="1"/>
  <c r="F290" i="7"/>
  <c r="C290" i="7"/>
  <c r="AC289" i="7"/>
  <c r="AD289" i="7" s="1"/>
  <c r="AA289" i="7"/>
  <c r="W289" i="7"/>
  <c r="X289" i="7" s="1"/>
  <c r="U289" i="7"/>
  <c r="R289" i="7"/>
  <c r="N289" i="7"/>
  <c r="O289" i="7" s="1"/>
  <c r="L289" i="7"/>
  <c r="I289" i="7"/>
  <c r="H289" i="7"/>
  <c r="F289" i="7"/>
  <c r="C289" i="7"/>
  <c r="AD288" i="7"/>
  <c r="AC288" i="7"/>
  <c r="AA288" i="7"/>
  <c r="X288" i="7"/>
  <c r="W288" i="7"/>
  <c r="U288" i="7"/>
  <c r="R288" i="7"/>
  <c r="O288" i="7"/>
  <c r="N288" i="7"/>
  <c r="L288" i="7"/>
  <c r="H288" i="7"/>
  <c r="I288" i="7" s="1"/>
  <c r="F288" i="7"/>
  <c r="C288" i="7"/>
  <c r="AC287" i="7"/>
  <c r="AD287" i="7" s="1"/>
  <c r="AA287" i="7"/>
  <c r="W287" i="7"/>
  <c r="X287" i="7" s="1"/>
  <c r="U287" i="7"/>
  <c r="R287" i="7"/>
  <c r="N287" i="7"/>
  <c r="O287" i="7" s="1"/>
  <c r="L287" i="7"/>
  <c r="I287" i="7"/>
  <c r="H287" i="7"/>
  <c r="F287" i="7"/>
  <c r="C287" i="7"/>
  <c r="AD286" i="7"/>
  <c r="AC286" i="7"/>
  <c r="AA286" i="7"/>
  <c r="W286" i="7"/>
  <c r="X286" i="7" s="1"/>
  <c r="U286" i="7"/>
  <c r="R286" i="7"/>
  <c r="O286" i="7"/>
  <c r="N286" i="7"/>
  <c r="L286" i="7"/>
  <c r="I286" i="7"/>
  <c r="H286" i="7"/>
  <c r="F286" i="7"/>
  <c r="C286" i="7"/>
  <c r="AA284" i="7"/>
  <c r="Z284" i="7"/>
  <c r="X284" i="7"/>
  <c r="W284" i="7"/>
  <c r="U284" i="7"/>
  <c r="T284" i="7"/>
  <c r="Q284" i="7"/>
  <c r="R284" i="7" s="1"/>
  <c r="L284" i="7"/>
  <c r="K284" i="7"/>
  <c r="F284" i="7"/>
  <c r="E284" i="7"/>
  <c r="C284" i="7"/>
  <c r="B284" i="7"/>
  <c r="AC283" i="7"/>
  <c r="AD283" i="7" s="1"/>
  <c r="AA283" i="7"/>
  <c r="W283" i="7"/>
  <c r="X283" i="7" s="1"/>
  <c r="U283" i="7"/>
  <c r="R283" i="7"/>
  <c r="N283" i="7"/>
  <c r="O283" i="7" s="1"/>
  <c r="L283" i="7"/>
  <c r="I283" i="7"/>
  <c r="H283" i="7"/>
  <c r="F283" i="7"/>
  <c r="C283" i="7"/>
  <c r="AD282" i="7"/>
  <c r="AC282" i="7"/>
  <c r="AA282" i="7"/>
  <c r="X282" i="7"/>
  <c r="W282" i="7"/>
  <c r="U282" i="7"/>
  <c r="R282" i="7"/>
  <c r="O282" i="7"/>
  <c r="N282" i="7"/>
  <c r="L282" i="7"/>
  <c r="H282" i="7"/>
  <c r="I282" i="7" s="1"/>
  <c r="F282" i="7"/>
  <c r="C282" i="7"/>
  <c r="AC281" i="7"/>
  <c r="AD281" i="7" s="1"/>
  <c r="AA281" i="7"/>
  <c r="W281" i="7"/>
  <c r="X281" i="7" s="1"/>
  <c r="U281" i="7"/>
  <c r="R281" i="7"/>
  <c r="N281" i="7"/>
  <c r="O281" i="7" s="1"/>
  <c r="L281" i="7"/>
  <c r="I281" i="7"/>
  <c r="H281" i="7"/>
  <c r="F281" i="7"/>
  <c r="C281" i="7"/>
  <c r="AD280" i="7"/>
  <c r="AC280" i="7"/>
  <c r="AA280" i="7"/>
  <c r="W280" i="7"/>
  <c r="X280" i="7" s="1"/>
  <c r="U280" i="7"/>
  <c r="R280" i="7"/>
  <c r="O280" i="7"/>
  <c r="N280" i="7"/>
  <c r="L280" i="7"/>
  <c r="H280" i="7"/>
  <c r="I280" i="7" s="1"/>
  <c r="F280" i="7"/>
  <c r="C280" i="7"/>
  <c r="AD279" i="7"/>
  <c r="AC279" i="7"/>
  <c r="AA279" i="7"/>
  <c r="W279" i="7"/>
  <c r="X279" i="7" s="1"/>
  <c r="U279" i="7"/>
  <c r="R279" i="7"/>
  <c r="N279" i="7"/>
  <c r="O279" i="7" s="1"/>
  <c r="L279" i="7"/>
  <c r="I279" i="7"/>
  <c r="H279" i="7"/>
  <c r="F279" i="7"/>
  <c r="C279" i="7"/>
  <c r="AD278" i="7"/>
  <c r="AC278" i="7"/>
  <c r="AA278" i="7"/>
  <c r="X278" i="7"/>
  <c r="W278" i="7"/>
  <c r="U278" i="7"/>
  <c r="R278" i="7"/>
  <c r="N278" i="7"/>
  <c r="O278" i="7" s="1"/>
  <c r="L278" i="7"/>
  <c r="H278" i="7"/>
  <c r="I278" i="7" s="1"/>
  <c r="F278" i="7"/>
  <c r="C278" i="7"/>
  <c r="AD277" i="7"/>
  <c r="AC277" i="7"/>
  <c r="AA277" i="7"/>
  <c r="X277" i="7"/>
  <c r="W277" i="7"/>
  <c r="U277" i="7"/>
  <c r="R277" i="7"/>
  <c r="N277" i="7"/>
  <c r="O277" i="7" s="1"/>
  <c r="L277" i="7"/>
  <c r="H277" i="7"/>
  <c r="I277" i="7" s="1"/>
  <c r="F277" i="7"/>
  <c r="C277" i="7"/>
  <c r="AD276" i="7"/>
  <c r="AC276" i="7"/>
  <c r="AA276" i="7"/>
  <c r="X276" i="7"/>
  <c r="W276" i="7"/>
  <c r="U276" i="7"/>
  <c r="R276" i="7"/>
  <c r="O276" i="7"/>
  <c r="N276" i="7"/>
  <c r="L276" i="7"/>
  <c r="H276" i="7"/>
  <c r="I276" i="7" s="1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I275" i="7"/>
  <c r="H275" i="7"/>
  <c r="F275" i="7"/>
  <c r="C275" i="7"/>
  <c r="Z273" i="7"/>
  <c r="AA273" i="7" s="1"/>
  <c r="T273" i="7"/>
  <c r="U273" i="7" s="1"/>
  <c r="Q273" i="7"/>
  <c r="N273" i="7"/>
  <c r="O273" i="7" s="1"/>
  <c r="L273" i="7"/>
  <c r="K273" i="7"/>
  <c r="I273" i="7"/>
  <c r="H273" i="7"/>
  <c r="E273" i="7"/>
  <c r="F273" i="7" s="1"/>
  <c r="B273" i="7"/>
  <c r="C273" i="7" s="1"/>
  <c r="AD272" i="7"/>
  <c r="AC272" i="7"/>
  <c r="AA272" i="7"/>
  <c r="X272" i="7"/>
  <c r="W272" i="7"/>
  <c r="U272" i="7"/>
  <c r="R272" i="7"/>
  <c r="O272" i="7"/>
  <c r="N272" i="7"/>
  <c r="L272" i="7"/>
  <c r="H272" i="7"/>
  <c r="I272" i="7" s="1"/>
  <c r="F272" i="7"/>
  <c r="C272" i="7"/>
  <c r="AC271" i="7"/>
  <c r="AD271" i="7" s="1"/>
  <c r="AA271" i="7"/>
  <c r="W271" i="7"/>
  <c r="X271" i="7" s="1"/>
  <c r="U271" i="7"/>
  <c r="R271" i="7"/>
  <c r="N271" i="7"/>
  <c r="O271" i="7" s="1"/>
  <c r="L271" i="7"/>
  <c r="I271" i="7"/>
  <c r="H271" i="7"/>
  <c r="F271" i="7"/>
  <c r="C271" i="7"/>
  <c r="AD270" i="7"/>
  <c r="AC270" i="7"/>
  <c r="AA270" i="7"/>
  <c r="W270" i="7"/>
  <c r="X270" i="7" s="1"/>
  <c r="U270" i="7"/>
  <c r="R270" i="7"/>
  <c r="O270" i="7"/>
  <c r="N270" i="7"/>
  <c r="L270" i="7"/>
  <c r="I270" i="7"/>
  <c r="H270" i="7"/>
  <c r="F270" i="7"/>
  <c r="C270" i="7"/>
  <c r="AC269" i="7"/>
  <c r="AD269" i="7" s="1"/>
  <c r="AA269" i="7"/>
  <c r="W269" i="7"/>
  <c r="X269" i="7" s="1"/>
  <c r="U269" i="7"/>
  <c r="R269" i="7"/>
  <c r="N269" i="7"/>
  <c r="O269" i="7" s="1"/>
  <c r="L269" i="7"/>
  <c r="H269" i="7"/>
  <c r="I269" i="7" s="1"/>
  <c r="F269" i="7"/>
  <c r="C269" i="7"/>
  <c r="Z267" i="7"/>
  <c r="AA267" i="7" s="1"/>
  <c r="X267" i="7"/>
  <c r="W267" i="7"/>
  <c r="U267" i="7"/>
  <c r="T267" i="7"/>
  <c r="R267" i="7"/>
  <c r="Q267" i="7"/>
  <c r="L267" i="7"/>
  <c r="K267" i="7"/>
  <c r="N267" i="7" s="1"/>
  <c r="O267" i="7" s="1"/>
  <c r="I267" i="7"/>
  <c r="F267" i="7"/>
  <c r="E267" i="7"/>
  <c r="C267" i="7"/>
  <c r="B267" i="7"/>
  <c r="H267" i="7" s="1"/>
  <c r="AC266" i="7"/>
  <c r="AD266" i="7" s="1"/>
  <c r="AA266" i="7"/>
  <c r="W266" i="7"/>
  <c r="X266" i="7" s="1"/>
  <c r="U266" i="7"/>
  <c r="R266" i="7"/>
  <c r="O266" i="7"/>
  <c r="N266" i="7"/>
  <c r="L266" i="7"/>
  <c r="I266" i="7"/>
  <c r="H266" i="7"/>
  <c r="F266" i="7"/>
  <c r="C266" i="7"/>
  <c r="AC265" i="7"/>
  <c r="AD265" i="7" s="1"/>
  <c r="AA265" i="7"/>
  <c r="W265" i="7"/>
  <c r="X265" i="7" s="1"/>
  <c r="U265" i="7"/>
  <c r="R265" i="7"/>
  <c r="N265" i="7"/>
  <c r="O265" i="7" s="1"/>
  <c r="L265" i="7"/>
  <c r="I265" i="7"/>
  <c r="H265" i="7"/>
  <c r="F265" i="7"/>
  <c r="C265" i="7"/>
  <c r="AA263" i="7"/>
  <c r="Z263" i="7"/>
  <c r="X263" i="7"/>
  <c r="W263" i="7"/>
  <c r="U263" i="7"/>
  <c r="T263" i="7"/>
  <c r="R263" i="7"/>
  <c r="Q263" i="7"/>
  <c r="L263" i="7"/>
  <c r="K263" i="7"/>
  <c r="I263" i="7"/>
  <c r="H263" i="7"/>
  <c r="F263" i="7"/>
  <c r="E263" i="7"/>
  <c r="C263" i="7"/>
  <c r="B263" i="7"/>
  <c r="N263" i="7" s="1"/>
  <c r="O263" i="7" s="1"/>
  <c r="AD262" i="7"/>
  <c r="AC262" i="7"/>
  <c r="AA262" i="7"/>
  <c r="Z262" i="7"/>
  <c r="T262" i="7"/>
  <c r="U262" i="7" s="1"/>
  <c r="Q262" i="7"/>
  <c r="O262" i="7"/>
  <c r="N262" i="7"/>
  <c r="L262" i="7"/>
  <c r="K262" i="7"/>
  <c r="E262" i="7"/>
  <c r="F262" i="7" s="1"/>
  <c r="C262" i="7"/>
  <c r="B262" i="7"/>
  <c r="AD261" i="7"/>
  <c r="AC261" i="7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C260" i="7"/>
  <c r="AD260" i="7" s="1"/>
  <c r="AA260" i="7"/>
  <c r="W260" i="7"/>
  <c r="X260" i="7" s="1"/>
  <c r="U260" i="7"/>
  <c r="R260" i="7"/>
  <c r="N260" i="7"/>
  <c r="O260" i="7" s="1"/>
  <c r="L260" i="7"/>
  <c r="I260" i="7"/>
  <c r="H260" i="7"/>
  <c r="F260" i="7"/>
  <c r="C260" i="7"/>
  <c r="AD259" i="7"/>
  <c r="AC259" i="7"/>
  <c r="AA259" i="7"/>
  <c r="X259" i="7"/>
  <c r="W259" i="7"/>
  <c r="U259" i="7"/>
  <c r="R259" i="7"/>
  <c r="N259" i="7"/>
  <c r="O259" i="7" s="1"/>
  <c r="L259" i="7"/>
  <c r="I259" i="7"/>
  <c r="H259" i="7"/>
  <c r="F259" i="7"/>
  <c r="C259" i="7"/>
  <c r="AD258" i="7"/>
  <c r="AC258" i="7"/>
  <c r="AA258" i="7"/>
  <c r="W258" i="7"/>
  <c r="X258" i="7" s="1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N257" i="7"/>
  <c r="O257" i="7" s="1"/>
  <c r="L257" i="7"/>
  <c r="H257" i="7"/>
  <c r="I257" i="7" s="1"/>
  <c r="F257" i="7"/>
  <c r="C257" i="7"/>
  <c r="AC256" i="7"/>
  <c r="AD256" i="7" s="1"/>
  <c r="AA256" i="7"/>
  <c r="W256" i="7"/>
  <c r="X256" i="7" s="1"/>
  <c r="U256" i="7"/>
  <c r="R256" i="7"/>
  <c r="N256" i="7"/>
  <c r="O256" i="7" s="1"/>
  <c r="L256" i="7"/>
  <c r="I256" i="7"/>
  <c r="H256" i="7"/>
  <c r="F256" i="7"/>
  <c r="C256" i="7"/>
  <c r="AD255" i="7"/>
  <c r="AC255" i="7"/>
  <c r="AA255" i="7"/>
  <c r="W255" i="7"/>
  <c r="X255" i="7" s="1"/>
  <c r="U255" i="7"/>
  <c r="R255" i="7"/>
  <c r="N255" i="7"/>
  <c r="O255" i="7" s="1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N254" i="7"/>
  <c r="O254" i="7" s="1"/>
  <c r="L254" i="7"/>
  <c r="H254" i="7"/>
  <c r="I254" i="7" s="1"/>
  <c r="F254" i="7"/>
  <c r="C254" i="7"/>
  <c r="AD253" i="7"/>
  <c r="AC253" i="7"/>
  <c r="AA253" i="7"/>
  <c r="X253" i="7"/>
  <c r="W253" i="7"/>
  <c r="U253" i="7"/>
  <c r="R253" i="7"/>
  <c r="O253" i="7"/>
  <c r="N253" i="7"/>
  <c r="L253" i="7"/>
  <c r="H253" i="7"/>
  <c r="I253" i="7" s="1"/>
  <c r="F253" i="7"/>
  <c r="C253" i="7"/>
  <c r="AC252" i="7"/>
  <c r="AD252" i="7" s="1"/>
  <c r="AA252" i="7"/>
  <c r="W252" i="7"/>
  <c r="X252" i="7" s="1"/>
  <c r="U252" i="7"/>
  <c r="R252" i="7"/>
  <c r="O252" i="7"/>
  <c r="N252" i="7"/>
  <c r="L252" i="7"/>
  <c r="I252" i="7"/>
  <c r="H252" i="7"/>
  <c r="F252" i="7"/>
  <c r="C252" i="7"/>
  <c r="AC251" i="7"/>
  <c r="AD251" i="7" s="1"/>
  <c r="AA251" i="7"/>
  <c r="W251" i="7"/>
  <c r="X251" i="7" s="1"/>
  <c r="U251" i="7"/>
  <c r="R251" i="7"/>
  <c r="N251" i="7"/>
  <c r="O251" i="7" s="1"/>
  <c r="L251" i="7"/>
  <c r="I251" i="7"/>
  <c r="H251" i="7"/>
  <c r="F251" i="7"/>
  <c r="C251" i="7"/>
  <c r="AC250" i="7"/>
  <c r="AD250" i="7" s="1"/>
  <c r="AA250" i="7"/>
  <c r="W250" i="7"/>
  <c r="X250" i="7" s="1"/>
  <c r="U250" i="7"/>
  <c r="R250" i="7"/>
  <c r="N250" i="7"/>
  <c r="O250" i="7" s="1"/>
  <c r="L250" i="7"/>
  <c r="H250" i="7"/>
  <c r="I250" i="7" s="1"/>
  <c r="F250" i="7"/>
  <c r="C250" i="7"/>
  <c r="AD249" i="7"/>
  <c r="AC249" i="7"/>
  <c r="AA249" i="7"/>
  <c r="W249" i="7"/>
  <c r="X249" i="7" s="1"/>
  <c r="U249" i="7"/>
  <c r="R249" i="7"/>
  <c r="O249" i="7"/>
  <c r="N249" i="7"/>
  <c r="L249" i="7"/>
  <c r="H249" i="7"/>
  <c r="I249" i="7" s="1"/>
  <c r="F249" i="7"/>
  <c r="C249" i="7"/>
  <c r="AD248" i="7"/>
  <c r="AC248" i="7"/>
  <c r="AA248" i="7"/>
  <c r="W248" i="7"/>
  <c r="X248" i="7" s="1"/>
  <c r="U248" i="7"/>
  <c r="R248" i="7"/>
  <c r="N248" i="7"/>
  <c r="O248" i="7" s="1"/>
  <c r="L248" i="7"/>
  <c r="I248" i="7"/>
  <c r="H248" i="7"/>
  <c r="F248" i="7"/>
  <c r="C248" i="7"/>
  <c r="AC247" i="7"/>
  <c r="AD247" i="7" s="1"/>
  <c r="AA247" i="7"/>
  <c r="X247" i="7"/>
  <c r="W247" i="7"/>
  <c r="U247" i="7"/>
  <c r="R247" i="7"/>
  <c r="N247" i="7"/>
  <c r="O247" i="7" s="1"/>
  <c r="L247" i="7"/>
  <c r="H247" i="7"/>
  <c r="I247" i="7" s="1"/>
  <c r="F247" i="7"/>
  <c r="C247" i="7"/>
  <c r="AD246" i="7"/>
  <c r="AC246" i="7"/>
  <c r="AA246" i="7"/>
  <c r="W246" i="7"/>
  <c r="X246" i="7" s="1"/>
  <c r="U246" i="7"/>
  <c r="R246" i="7"/>
  <c r="N246" i="7"/>
  <c r="O246" i="7" s="1"/>
  <c r="L246" i="7"/>
  <c r="H246" i="7"/>
  <c r="I246" i="7" s="1"/>
  <c r="F246" i="7"/>
  <c r="C246" i="7"/>
  <c r="AD245" i="7"/>
  <c r="AC245" i="7"/>
  <c r="AA245" i="7"/>
  <c r="X245" i="7"/>
  <c r="W245" i="7"/>
  <c r="U245" i="7"/>
  <c r="R245" i="7"/>
  <c r="N245" i="7"/>
  <c r="O245" i="7" s="1"/>
  <c r="L245" i="7"/>
  <c r="H245" i="7"/>
  <c r="I245" i="7" s="1"/>
  <c r="F245" i="7"/>
  <c r="C245" i="7"/>
  <c r="AC244" i="7"/>
  <c r="AD244" i="7" s="1"/>
  <c r="AA244" i="7"/>
  <c r="W244" i="7"/>
  <c r="X244" i="7" s="1"/>
  <c r="U244" i="7"/>
  <c r="R244" i="7"/>
  <c r="N244" i="7"/>
  <c r="O244" i="7" s="1"/>
  <c r="L244" i="7"/>
  <c r="I244" i="7"/>
  <c r="H244" i="7"/>
  <c r="F244" i="7"/>
  <c r="C244" i="7"/>
  <c r="AD243" i="7"/>
  <c r="AC243" i="7"/>
  <c r="AA243" i="7"/>
  <c r="X243" i="7"/>
  <c r="W243" i="7"/>
  <c r="U243" i="7"/>
  <c r="R243" i="7"/>
  <c r="N243" i="7"/>
  <c r="O243" i="7" s="1"/>
  <c r="L243" i="7"/>
  <c r="I243" i="7"/>
  <c r="H243" i="7"/>
  <c r="F243" i="7"/>
  <c r="C243" i="7"/>
  <c r="AD242" i="7"/>
  <c r="AC242" i="7"/>
  <c r="AA242" i="7"/>
  <c r="W242" i="7"/>
  <c r="X242" i="7" s="1"/>
  <c r="U242" i="7"/>
  <c r="R242" i="7"/>
  <c r="N242" i="7"/>
  <c r="O242" i="7" s="1"/>
  <c r="L242" i="7"/>
  <c r="H242" i="7"/>
  <c r="I242" i="7" s="1"/>
  <c r="F242" i="7"/>
  <c r="C242" i="7"/>
  <c r="AD241" i="7"/>
  <c r="AC241" i="7"/>
  <c r="AA241" i="7"/>
  <c r="X241" i="7"/>
  <c r="W241" i="7"/>
  <c r="U241" i="7"/>
  <c r="R241" i="7"/>
  <c r="N241" i="7"/>
  <c r="O241" i="7" s="1"/>
  <c r="L241" i="7"/>
  <c r="H241" i="7"/>
  <c r="I241" i="7" s="1"/>
  <c r="F241" i="7"/>
  <c r="C241" i="7"/>
  <c r="AC240" i="7"/>
  <c r="AD240" i="7" s="1"/>
  <c r="AA240" i="7"/>
  <c r="W240" i="7"/>
  <c r="X240" i="7" s="1"/>
  <c r="U240" i="7"/>
  <c r="R240" i="7"/>
  <c r="N240" i="7"/>
  <c r="O240" i="7" s="1"/>
  <c r="L240" i="7"/>
  <c r="I240" i="7"/>
  <c r="H240" i="7"/>
  <c r="F240" i="7"/>
  <c r="C240" i="7"/>
  <c r="AD238" i="7"/>
  <c r="AC238" i="7"/>
  <c r="AA238" i="7"/>
  <c r="W238" i="7"/>
  <c r="X238" i="7" s="1"/>
  <c r="U238" i="7"/>
  <c r="R238" i="7"/>
  <c r="N238" i="7"/>
  <c r="O238" i="7" s="1"/>
  <c r="L238" i="7"/>
  <c r="I238" i="7"/>
  <c r="H238" i="7"/>
  <c r="F238" i="7"/>
  <c r="C238" i="7"/>
  <c r="AD236" i="7"/>
  <c r="AC236" i="7"/>
  <c r="AA236" i="7"/>
  <c r="Z236" i="7"/>
  <c r="U236" i="7"/>
  <c r="T236" i="7"/>
  <c r="Q236" i="7"/>
  <c r="W236" i="7" s="1"/>
  <c r="X236" i="7" s="1"/>
  <c r="L236" i="7"/>
  <c r="K236" i="7"/>
  <c r="E236" i="7"/>
  <c r="F236" i="7" s="1"/>
  <c r="B236" i="7"/>
  <c r="AC235" i="7"/>
  <c r="AD235" i="7" s="1"/>
  <c r="AA235" i="7"/>
  <c r="W235" i="7"/>
  <c r="X235" i="7" s="1"/>
  <c r="U235" i="7"/>
  <c r="R235" i="7"/>
  <c r="O235" i="7"/>
  <c r="N235" i="7"/>
  <c r="L235" i="7"/>
  <c r="I235" i="7"/>
  <c r="H235" i="7"/>
  <c r="F235" i="7"/>
  <c r="C235" i="7"/>
  <c r="AC234" i="7"/>
  <c r="AD234" i="7" s="1"/>
  <c r="AA234" i="7"/>
  <c r="W234" i="7"/>
  <c r="X234" i="7" s="1"/>
  <c r="U234" i="7"/>
  <c r="R234" i="7"/>
  <c r="N234" i="7"/>
  <c r="O234" i="7" s="1"/>
  <c r="L234" i="7"/>
  <c r="I234" i="7"/>
  <c r="H234" i="7"/>
  <c r="F234" i="7"/>
  <c r="C234" i="7"/>
  <c r="AD233" i="7"/>
  <c r="AC233" i="7"/>
  <c r="AA233" i="7"/>
  <c r="W233" i="7"/>
  <c r="X233" i="7" s="1"/>
  <c r="U233" i="7"/>
  <c r="R233" i="7"/>
  <c r="N233" i="7"/>
  <c r="O233" i="7" s="1"/>
  <c r="L233" i="7"/>
  <c r="I233" i="7"/>
  <c r="H233" i="7"/>
  <c r="F233" i="7"/>
  <c r="C233" i="7"/>
  <c r="AD232" i="7"/>
  <c r="AC232" i="7"/>
  <c r="AA232" i="7"/>
  <c r="W232" i="7"/>
  <c r="X232" i="7" s="1"/>
  <c r="U232" i="7"/>
  <c r="R232" i="7"/>
  <c r="O232" i="7"/>
  <c r="N232" i="7"/>
  <c r="L232" i="7"/>
  <c r="H232" i="7"/>
  <c r="I232" i="7" s="1"/>
  <c r="F232" i="7"/>
  <c r="C232" i="7"/>
  <c r="AD231" i="7"/>
  <c r="AC231" i="7"/>
  <c r="AA231" i="7"/>
  <c r="W231" i="7"/>
  <c r="X231" i="7" s="1"/>
  <c r="U231" i="7"/>
  <c r="R231" i="7"/>
  <c r="N231" i="7"/>
  <c r="O231" i="7" s="1"/>
  <c r="L231" i="7"/>
  <c r="I231" i="7"/>
  <c r="H231" i="7"/>
  <c r="F231" i="7"/>
  <c r="C231" i="7"/>
  <c r="AD230" i="7"/>
  <c r="AC230" i="7"/>
  <c r="AA230" i="7"/>
  <c r="X230" i="7"/>
  <c r="W230" i="7"/>
  <c r="U230" i="7"/>
  <c r="R230" i="7"/>
  <c r="N230" i="7"/>
  <c r="O230" i="7" s="1"/>
  <c r="L230" i="7"/>
  <c r="H230" i="7"/>
  <c r="I230" i="7" s="1"/>
  <c r="F230" i="7"/>
  <c r="C230" i="7"/>
  <c r="AD229" i="7"/>
  <c r="AC229" i="7"/>
  <c r="AA229" i="7"/>
  <c r="X229" i="7"/>
  <c r="W229" i="7"/>
  <c r="U229" i="7"/>
  <c r="R229" i="7"/>
  <c r="N229" i="7"/>
  <c r="O229" i="7" s="1"/>
  <c r="L229" i="7"/>
  <c r="H229" i="7"/>
  <c r="I229" i="7" s="1"/>
  <c r="F229" i="7"/>
  <c r="C229" i="7"/>
  <c r="AA227" i="7"/>
  <c r="Z227" i="7"/>
  <c r="X227" i="7"/>
  <c r="U227" i="7"/>
  <c r="T227" i="7"/>
  <c r="W227" i="7" s="1"/>
  <c r="R227" i="7"/>
  <c r="Q227" i="7"/>
  <c r="AC227" i="7" s="1"/>
  <c r="AD227" i="7" s="1"/>
  <c r="L227" i="7"/>
  <c r="K227" i="7"/>
  <c r="H227" i="7"/>
  <c r="I227" i="7" s="1"/>
  <c r="F227" i="7"/>
  <c r="E227" i="7"/>
  <c r="C227" i="7"/>
  <c r="B227" i="7"/>
  <c r="N227" i="7" s="1"/>
  <c r="O227" i="7" s="1"/>
  <c r="AD226" i="7"/>
  <c r="AC226" i="7"/>
  <c r="AA226" i="7"/>
  <c r="X226" i="7"/>
  <c r="W226" i="7"/>
  <c r="U226" i="7"/>
  <c r="R226" i="7"/>
  <c r="N226" i="7"/>
  <c r="O226" i="7" s="1"/>
  <c r="L226" i="7"/>
  <c r="I226" i="7"/>
  <c r="H226" i="7"/>
  <c r="F226" i="7"/>
  <c r="C226" i="7"/>
  <c r="AD225" i="7"/>
  <c r="AC225" i="7"/>
  <c r="AA225" i="7"/>
  <c r="W225" i="7"/>
  <c r="X225" i="7" s="1"/>
  <c r="U225" i="7"/>
  <c r="R225" i="7"/>
  <c r="N225" i="7"/>
  <c r="O225" i="7" s="1"/>
  <c r="L225" i="7"/>
  <c r="H225" i="7"/>
  <c r="I225" i="7" s="1"/>
  <c r="F225" i="7"/>
  <c r="C225" i="7"/>
  <c r="AD224" i="7"/>
  <c r="AC224" i="7"/>
  <c r="AA224" i="7"/>
  <c r="X224" i="7"/>
  <c r="W224" i="7"/>
  <c r="U224" i="7"/>
  <c r="R224" i="7"/>
  <c r="O224" i="7"/>
  <c r="N224" i="7"/>
  <c r="L224" i="7"/>
  <c r="H224" i="7"/>
  <c r="I224" i="7" s="1"/>
  <c r="F224" i="7"/>
  <c r="C224" i="7"/>
  <c r="AC223" i="7"/>
  <c r="AD223" i="7" s="1"/>
  <c r="AA223" i="7"/>
  <c r="W223" i="7"/>
  <c r="X223" i="7" s="1"/>
  <c r="U223" i="7"/>
  <c r="R223" i="7"/>
  <c r="N223" i="7"/>
  <c r="O223" i="7" s="1"/>
  <c r="L223" i="7"/>
  <c r="I223" i="7"/>
  <c r="H223" i="7"/>
  <c r="F223" i="7"/>
  <c r="C223" i="7"/>
  <c r="AD222" i="7"/>
  <c r="AC222" i="7"/>
  <c r="AA222" i="7"/>
  <c r="W222" i="7"/>
  <c r="X222" i="7" s="1"/>
  <c r="U222" i="7"/>
  <c r="R222" i="7"/>
  <c r="N222" i="7"/>
  <c r="O222" i="7" s="1"/>
  <c r="L222" i="7"/>
  <c r="I222" i="7"/>
  <c r="H222" i="7"/>
  <c r="F222" i="7"/>
  <c r="C222" i="7"/>
  <c r="AD221" i="7"/>
  <c r="AC221" i="7"/>
  <c r="AA221" i="7"/>
  <c r="W221" i="7"/>
  <c r="X221" i="7" s="1"/>
  <c r="U221" i="7"/>
  <c r="R221" i="7"/>
  <c r="N221" i="7"/>
  <c r="O221" i="7" s="1"/>
  <c r="L221" i="7"/>
  <c r="H221" i="7"/>
  <c r="I221" i="7" s="1"/>
  <c r="F221" i="7"/>
  <c r="C221" i="7"/>
  <c r="AD220" i="7"/>
  <c r="AC220" i="7"/>
  <c r="AA220" i="7"/>
  <c r="W220" i="7"/>
  <c r="X220" i="7" s="1"/>
  <c r="U220" i="7"/>
  <c r="R220" i="7"/>
  <c r="O220" i="7"/>
  <c r="N220" i="7"/>
  <c r="L220" i="7"/>
  <c r="H220" i="7"/>
  <c r="I220" i="7" s="1"/>
  <c r="F220" i="7"/>
  <c r="C220" i="7"/>
  <c r="AC219" i="7"/>
  <c r="AD219" i="7" s="1"/>
  <c r="AA219" i="7"/>
  <c r="W219" i="7"/>
  <c r="X219" i="7" s="1"/>
  <c r="U219" i="7"/>
  <c r="R219" i="7"/>
  <c r="N219" i="7"/>
  <c r="O219" i="7" s="1"/>
  <c r="L219" i="7"/>
  <c r="I219" i="7"/>
  <c r="H219" i="7"/>
  <c r="F219" i="7"/>
  <c r="C219" i="7"/>
  <c r="AA218" i="7"/>
  <c r="Z218" i="7"/>
  <c r="T218" i="7"/>
  <c r="U218" i="7" s="1"/>
  <c r="Q218" i="7"/>
  <c r="N218" i="7"/>
  <c r="O218" i="7" s="1"/>
  <c r="L218" i="7"/>
  <c r="K218" i="7"/>
  <c r="H218" i="7"/>
  <c r="I218" i="7" s="1"/>
  <c r="F218" i="7"/>
  <c r="E218" i="7"/>
  <c r="C218" i="7"/>
  <c r="B218" i="7"/>
  <c r="AD217" i="7"/>
  <c r="AC217" i="7"/>
  <c r="AA217" i="7"/>
  <c r="W217" i="7"/>
  <c r="X217" i="7" s="1"/>
  <c r="U217" i="7"/>
  <c r="R217" i="7"/>
  <c r="O217" i="7"/>
  <c r="N217" i="7"/>
  <c r="L217" i="7"/>
  <c r="H217" i="7"/>
  <c r="I217" i="7" s="1"/>
  <c r="F217" i="7"/>
  <c r="C217" i="7"/>
  <c r="AC216" i="7"/>
  <c r="AD216" i="7" s="1"/>
  <c r="AA216" i="7"/>
  <c r="W216" i="7"/>
  <c r="X216" i="7" s="1"/>
  <c r="U216" i="7"/>
  <c r="R216" i="7"/>
  <c r="O216" i="7"/>
  <c r="N216" i="7"/>
  <c r="L216" i="7"/>
  <c r="I216" i="7"/>
  <c r="H216" i="7"/>
  <c r="F216" i="7"/>
  <c r="C216" i="7"/>
  <c r="AC215" i="7"/>
  <c r="AD215" i="7" s="1"/>
  <c r="AA215" i="7"/>
  <c r="W215" i="7"/>
  <c r="X215" i="7" s="1"/>
  <c r="U215" i="7"/>
  <c r="R215" i="7"/>
  <c r="N215" i="7"/>
  <c r="O215" i="7" s="1"/>
  <c r="L215" i="7"/>
  <c r="H215" i="7"/>
  <c r="I215" i="7" s="1"/>
  <c r="F215" i="7"/>
  <c r="C215" i="7"/>
  <c r="AD214" i="7"/>
  <c r="AC214" i="7"/>
  <c r="AA214" i="7"/>
  <c r="X214" i="7"/>
  <c r="W214" i="7"/>
  <c r="U214" i="7"/>
  <c r="R214" i="7"/>
  <c r="N214" i="7"/>
  <c r="O214" i="7" s="1"/>
  <c r="L214" i="7"/>
  <c r="H214" i="7"/>
  <c r="I214" i="7" s="1"/>
  <c r="F214" i="7"/>
  <c r="C214" i="7"/>
  <c r="AD213" i="7"/>
  <c r="AC213" i="7"/>
  <c r="AA213" i="7"/>
  <c r="X213" i="7"/>
  <c r="W213" i="7"/>
  <c r="U213" i="7"/>
  <c r="R213" i="7"/>
  <c r="O213" i="7"/>
  <c r="N213" i="7"/>
  <c r="L213" i="7"/>
  <c r="H213" i="7"/>
  <c r="I213" i="7" s="1"/>
  <c r="F213" i="7"/>
  <c r="C213" i="7"/>
  <c r="AC211" i="7"/>
  <c r="AD211" i="7" s="1"/>
  <c r="AA211" i="7"/>
  <c r="W211" i="7"/>
  <c r="X211" i="7" s="1"/>
  <c r="U211" i="7"/>
  <c r="R211" i="7"/>
  <c r="N211" i="7"/>
  <c r="O211" i="7" s="1"/>
  <c r="L211" i="7"/>
  <c r="I211" i="7"/>
  <c r="H211" i="7"/>
  <c r="F211" i="7"/>
  <c r="C211" i="7"/>
  <c r="Z209" i="7"/>
  <c r="AA209" i="7" s="1"/>
  <c r="T209" i="7"/>
  <c r="U209" i="7" s="1"/>
  <c r="Q209" i="7"/>
  <c r="L209" i="7"/>
  <c r="K209" i="7"/>
  <c r="E209" i="7"/>
  <c r="F209" i="7" s="1"/>
  <c r="B209" i="7"/>
  <c r="N209" i="7" s="1"/>
  <c r="O209" i="7" s="1"/>
  <c r="AD208" i="7"/>
  <c r="AC208" i="7"/>
  <c r="AA208" i="7"/>
  <c r="X208" i="7"/>
  <c r="W208" i="7"/>
  <c r="U208" i="7"/>
  <c r="R208" i="7"/>
  <c r="O208" i="7"/>
  <c r="N208" i="7"/>
  <c r="L208" i="7"/>
  <c r="I208" i="7"/>
  <c r="H208" i="7"/>
  <c r="F208" i="7"/>
  <c r="C208" i="7"/>
  <c r="AC207" i="7"/>
  <c r="AD207" i="7" s="1"/>
  <c r="AA207" i="7"/>
  <c r="W207" i="7"/>
  <c r="X207" i="7" s="1"/>
  <c r="U207" i="7"/>
  <c r="R207" i="7"/>
  <c r="N207" i="7"/>
  <c r="O207" i="7" s="1"/>
  <c r="L207" i="7"/>
  <c r="I207" i="7"/>
  <c r="H207" i="7"/>
  <c r="F207" i="7"/>
  <c r="C207" i="7"/>
  <c r="AD206" i="7"/>
  <c r="AC206" i="7"/>
  <c r="AA206" i="7"/>
  <c r="W206" i="7"/>
  <c r="X206" i="7" s="1"/>
  <c r="U206" i="7"/>
  <c r="R206" i="7"/>
  <c r="O206" i="7"/>
  <c r="N206" i="7"/>
  <c r="L206" i="7"/>
  <c r="I206" i="7"/>
  <c r="H206" i="7"/>
  <c r="F206" i="7"/>
  <c r="C206" i="7"/>
  <c r="AC205" i="7"/>
  <c r="AD205" i="7" s="1"/>
  <c r="AA205" i="7"/>
  <c r="W205" i="7"/>
  <c r="X205" i="7" s="1"/>
  <c r="U205" i="7"/>
  <c r="R205" i="7"/>
  <c r="N205" i="7"/>
  <c r="O205" i="7" s="1"/>
  <c r="L205" i="7"/>
  <c r="H205" i="7"/>
  <c r="I205" i="7" s="1"/>
  <c r="F205" i="7"/>
  <c r="C205" i="7"/>
  <c r="AD204" i="7"/>
  <c r="AC204" i="7"/>
  <c r="AA204" i="7"/>
  <c r="W204" i="7"/>
  <c r="X204" i="7" s="1"/>
  <c r="U204" i="7"/>
  <c r="R204" i="7"/>
  <c r="O204" i="7"/>
  <c r="N204" i="7"/>
  <c r="L204" i="7"/>
  <c r="I204" i="7"/>
  <c r="H204" i="7"/>
  <c r="F204" i="7"/>
  <c r="C204" i="7"/>
  <c r="AC203" i="7"/>
  <c r="AD203" i="7" s="1"/>
  <c r="AA203" i="7"/>
  <c r="W203" i="7"/>
  <c r="X203" i="7" s="1"/>
  <c r="U203" i="7"/>
  <c r="R203" i="7"/>
  <c r="N203" i="7"/>
  <c r="O203" i="7" s="1"/>
  <c r="L203" i="7"/>
  <c r="I203" i="7"/>
  <c r="H203" i="7"/>
  <c r="F203" i="7"/>
  <c r="C203" i="7"/>
  <c r="AD202" i="7"/>
  <c r="AC202" i="7"/>
  <c r="AA202" i="7"/>
  <c r="W202" i="7"/>
  <c r="X202" i="7" s="1"/>
  <c r="U202" i="7"/>
  <c r="R202" i="7"/>
  <c r="O202" i="7"/>
  <c r="N202" i="7"/>
  <c r="L202" i="7"/>
  <c r="I202" i="7"/>
  <c r="H202" i="7"/>
  <c r="F202" i="7"/>
  <c r="C202" i="7"/>
  <c r="AD201" i="7"/>
  <c r="AC201" i="7"/>
  <c r="AA201" i="7"/>
  <c r="X201" i="7"/>
  <c r="W201" i="7"/>
  <c r="U201" i="7"/>
  <c r="R201" i="7"/>
  <c r="N201" i="7"/>
  <c r="O201" i="7" s="1"/>
  <c r="L201" i="7"/>
  <c r="I201" i="7"/>
  <c r="H201" i="7"/>
  <c r="F201" i="7"/>
  <c r="C201" i="7"/>
  <c r="Z197" i="7"/>
  <c r="AA197" i="7" s="1"/>
  <c r="T197" i="7"/>
  <c r="U197" i="7" s="1"/>
  <c r="Q197" i="7"/>
  <c r="L197" i="7"/>
  <c r="K197" i="7"/>
  <c r="E197" i="7"/>
  <c r="F197" i="7" s="1"/>
  <c r="B197" i="7"/>
  <c r="AD196" i="7"/>
  <c r="AA196" i="7"/>
  <c r="Z196" i="7"/>
  <c r="X196" i="7"/>
  <c r="U196" i="7"/>
  <c r="T196" i="7"/>
  <c r="W196" i="7" s="1"/>
  <c r="R196" i="7"/>
  <c r="Q196" i="7"/>
  <c r="AC196" i="7" s="1"/>
  <c r="L196" i="7"/>
  <c r="K196" i="7"/>
  <c r="F196" i="7"/>
  <c r="E196" i="7"/>
  <c r="B196" i="7"/>
  <c r="AD195" i="7"/>
  <c r="AC195" i="7"/>
  <c r="AA195" i="7"/>
  <c r="W195" i="7"/>
  <c r="X195" i="7" s="1"/>
  <c r="U195" i="7"/>
  <c r="R195" i="7"/>
  <c r="N195" i="7"/>
  <c r="O195" i="7" s="1"/>
  <c r="L195" i="7"/>
  <c r="I195" i="7"/>
  <c r="H195" i="7"/>
  <c r="F195" i="7"/>
  <c r="C195" i="7"/>
  <c r="AC194" i="7"/>
  <c r="AD194" i="7" s="1"/>
  <c r="AA194" i="7"/>
  <c r="W194" i="7"/>
  <c r="X194" i="7" s="1"/>
  <c r="U194" i="7"/>
  <c r="R194" i="7"/>
  <c r="N194" i="7"/>
  <c r="O194" i="7" s="1"/>
  <c r="L194" i="7"/>
  <c r="H194" i="7"/>
  <c r="I194" i="7" s="1"/>
  <c r="F194" i="7"/>
  <c r="C194" i="7"/>
  <c r="AA193" i="7"/>
  <c r="Z193" i="7"/>
  <c r="X193" i="7"/>
  <c r="W193" i="7"/>
  <c r="U193" i="7"/>
  <c r="T193" i="7"/>
  <c r="R193" i="7"/>
  <c r="Q193" i="7"/>
  <c r="L193" i="7"/>
  <c r="K193" i="7"/>
  <c r="F193" i="7"/>
  <c r="E193" i="7"/>
  <c r="B193" i="7"/>
  <c r="AC192" i="7"/>
  <c r="AD192" i="7" s="1"/>
  <c r="AA192" i="7"/>
  <c r="W192" i="7"/>
  <c r="X192" i="7" s="1"/>
  <c r="U192" i="7"/>
  <c r="R192" i="7"/>
  <c r="O192" i="7"/>
  <c r="N192" i="7"/>
  <c r="L192" i="7"/>
  <c r="I192" i="7"/>
  <c r="H192" i="7"/>
  <c r="F192" i="7"/>
  <c r="C192" i="7"/>
  <c r="AC191" i="7"/>
  <c r="AD191" i="7" s="1"/>
  <c r="AA191" i="7"/>
  <c r="W191" i="7"/>
  <c r="X191" i="7" s="1"/>
  <c r="U191" i="7"/>
  <c r="R191" i="7"/>
  <c r="N191" i="7"/>
  <c r="O191" i="7" s="1"/>
  <c r="L191" i="7"/>
  <c r="H191" i="7"/>
  <c r="I191" i="7" s="1"/>
  <c r="F191" i="7"/>
  <c r="C191" i="7"/>
  <c r="AD190" i="7"/>
  <c r="AC190" i="7"/>
  <c r="AA190" i="7"/>
  <c r="W190" i="7"/>
  <c r="X190" i="7" s="1"/>
  <c r="U190" i="7"/>
  <c r="R190" i="7"/>
  <c r="O190" i="7"/>
  <c r="N190" i="7"/>
  <c r="L190" i="7"/>
  <c r="H190" i="7"/>
  <c r="I190" i="7" s="1"/>
  <c r="F190" i="7"/>
  <c r="C190" i="7"/>
  <c r="AD189" i="7"/>
  <c r="AC189" i="7"/>
  <c r="AA189" i="7"/>
  <c r="W189" i="7"/>
  <c r="X189" i="7" s="1"/>
  <c r="U189" i="7"/>
  <c r="R189" i="7"/>
  <c r="N189" i="7"/>
  <c r="O189" i="7" s="1"/>
  <c r="L189" i="7"/>
  <c r="I189" i="7"/>
  <c r="H189" i="7"/>
  <c r="F189" i="7"/>
  <c r="C189" i="7"/>
  <c r="AD188" i="7"/>
  <c r="AC188" i="7"/>
  <c r="AA188" i="7"/>
  <c r="X188" i="7"/>
  <c r="W188" i="7"/>
  <c r="U188" i="7"/>
  <c r="R188" i="7"/>
  <c r="N188" i="7"/>
  <c r="O188" i="7" s="1"/>
  <c r="L188" i="7"/>
  <c r="H188" i="7"/>
  <c r="I188" i="7" s="1"/>
  <c r="F188" i="7"/>
  <c r="C188" i="7"/>
  <c r="AD187" i="7"/>
  <c r="AC187" i="7"/>
  <c r="AA187" i="7"/>
  <c r="X187" i="7"/>
  <c r="W187" i="7"/>
  <c r="U187" i="7"/>
  <c r="R187" i="7"/>
  <c r="N187" i="7"/>
  <c r="O187" i="7" s="1"/>
  <c r="L187" i="7"/>
  <c r="H187" i="7"/>
  <c r="I187" i="7" s="1"/>
  <c r="F187" i="7"/>
  <c r="C187" i="7"/>
  <c r="AD186" i="7"/>
  <c r="AC186" i="7"/>
  <c r="AA186" i="7"/>
  <c r="X186" i="7"/>
  <c r="W186" i="7"/>
  <c r="U186" i="7"/>
  <c r="R186" i="7"/>
  <c r="O186" i="7"/>
  <c r="N186" i="7"/>
  <c r="L186" i="7"/>
  <c r="H186" i="7"/>
  <c r="I186" i="7" s="1"/>
  <c r="F186" i="7"/>
  <c r="C186" i="7"/>
  <c r="AC184" i="7"/>
  <c r="AD184" i="7" s="1"/>
  <c r="AA184" i="7"/>
  <c r="W184" i="7"/>
  <c r="X184" i="7" s="1"/>
  <c r="U184" i="7"/>
  <c r="R184" i="7"/>
  <c r="N184" i="7"/>
  <c r="O184" i="7" s="1"/>
  <c r="L184" i="7"/>
  <c r="I184" i="7"/>
  <c r="H184" i="7"/>
  <c r="F184" i="7"/>
  <c r="C184" i="7"/>
  <c r="AD183" i="7"/>
  <c r="AC183" i="7"/>
  <c r="AA183" i="7"/>
  <c r="X183" i="7"/>
  <c r="W183" i="7"/>
  <c r="U183" i="7"/>
  <c r="R183" i="7"/>
  <c r="N183" i="7"/>
  <c r="O183" i="7" s="1"/>
  <c r="L183" i="7"/>
  <c r="I183" i="7"/>
  <c r="H183" i="7"/>
  <c r="F183" i="7"/>
  <c r="C183" i="7"/>
  <c r="AA182" i="7"/>
  <c r="Z182" i="7"/>
  <c r="X182" i="7"/>
  <c r="W182" i="7"/>
  <c r="U182" i="7"/>
  <c r="T182" i="7"/>
  <c r="R182" i="7"/>
  <c r="Q182" i="7"/>
  <c r="AC182" i="7" s="1"/>
  <c r="AD182" i="7" s="1"/>
  <c r="L182" i="7"/>
  <c r="K182" i="7"/>
  <c r="E182" i="7"/>
  <c r="F182" i="7" s="1"/>
  <c r="B182" i="7"/>
  <c r="AC181" i="7"/>
  <c r="AD181" i="7" s="1"/>
  <c r="AA181" i="7"/>
  <c r="W181" i="7"/>
  <c r="X181" i="7" s="1"/>
  <c r="U181" i="7"/>
  <c r="R181" i="7"/>
  <c r="N181" i="7"/>
  <c r="O181" i="7" s="1"/>
  <c r="L181" i="7"/>
  <c r="I181" i="7"/>
  <c r="H181" i="7"/>
  <c r="F181" i="7"/>
  <c r="C181" i="7"/>
  <c r="AD180" i="7"/>
  <c r="AC180" i="7"/>
  <c r="AA180" i="7"/>
  <c r="W180" i="7"/>
  <c r="X180" i="7" s="1"/>
  <c r="U180" i="7"/>
  <c r="R180" i="7"/>
  <c r="N180" i="7"/>
  <c r="O180" i="7" s="1"/>
  <c r="L180" i="7"/>
  <c r="I180" i="7"/>
  <c r="H180" i="7"/>
  <c r="F180" i="7"/>
  <c r="C180" i="7"/>
  <c r="AC179" i="7"/>
  <c r="AD179" i="7" s="1"/>
  <c r="AA179" i="7"/>
  <c r="W179" i="7"/>
  <c r="X179" i="7" s="1"/>
  <c r="U179" i="7"/>
  <c r="R179" i="7"/>
  <c r="N179" i="7"/>
  <c r="O179" i="7" s="1"/>
  <c r="L179" i="7"/>
  <c r="H179" i="7"/>
  <c r="I179" i="7" s="1"/>
  <c r="F179" i="7"/>
  <c r="C179" i="7"/>
  <c r="AD178" i="7"/>
  <c r="AC178" i="7"/>
  <c r="AA178" i="7"/>
  <c r="X178" i="7"/>
  <c r="W178" i="7"/>
  <c r="U178" i="7"/>
  <c r="R178" i="7"/>
  <c r="O178" i="7"/>
  <c r="N178" i="7"/>
  <c r="L178" i="7"/>
  <c r="I178" i="7"/>
  <c r="H178" i="7"/>
  <c r="F178" i="7"/>
  <c r="C178" i="7"/>
  <c r="AC177" i="7"/>
  <c r="AD177" i="7" s="1"/>
  <c r="AA177" i="7"/>
  <c r="W177" i="7"/>
  <c r="X177" i="7" s="1"/>
  <c r="U177" i="7"/>
  <c r="R177" i="7"/>
  <c r="O177" i="7"/>
  <c r="N177" i="7"/>
  <c r="L177" i="7"/>
  <c r="I177" i="7"/>
  <c r="H177" i="7"/>
  <c r="F177" i="7"/>
  <c r="C177" i="7"/>
  <c r="AD175" i="7"/>
  <c r="AC175" i="7"/>
  <c r="AA175" i="7"/>
  <c r="W175" i="7"/>
  <c r="X175" i="7" s="1"/>
  <c r="U175" i="7"/>
  <c r="R175" i="7"/>
  <c r="O175" i="7"/>
  <c r="N175" i="7"/>
  <c r="L175" i="7"/>
  <c r="I175" i="7"/>
  <c r="H175" i="7"/>
  <c r="F175" i="7"/>
  <c r="C175" i="7"/>
  <c r="Z172" i="7"/>
  <c r="AD171" i="7"/>
  <c r="AA171" i="7"/>
  <c r="Z171" i="7"/>
  <c r="T171" i="7"/>
  <c r="R171" i="7"/>
  <c r="Q171" i="7"/>
  <c r="AC171" i="7" s="1"/>
  <c r="K171" i="7"/>
  <c r="L171" i="7" s="1"/>
  <c r="I171" i="7"/>
  <c r="H171" i="7"/>
  <c r="F171" i="7"/>
  <c r="E171" i="7"/>
  <c r="C171" i="7"/>
  <c r="B171" i="7"/>
  <c r="AC170" i="7"/>
  <c r="AD170" i="7" s="1"/>
  <c r="AA170" i="7"/>
  <c r="Z170" i="7"/>
  <c r="X170" i="7"/>
  <c r="U170" i="7"/>
  <c r="T170" i="7"/>
  <c r="R170" i="7"/>
  <c r="Q170" i="7"/>
  <c r="W170" i="7" s="1"/>
  <c r="L170" i="7"/>
  <c r="K170" i="7"/>
  <c r="E170" i="7"/>
  <c r="F170" i="7" s="1"/>
  <c r="B170" i="7"/>
  <c r="AD169" i="7"/>
  <c r="AC169" i="7"/>
  <c r="AA169" i="7"/>
  <c r="W169" i="7"/>
  <c r="X169" i="7" s="1"/>
  <c r="U169" i="7"/>
  <c r="R169" i="7"/>
  <c r="N169" i="7"/>
  <c r="O169" i="7" s="1"/>
  <c r="L169" i="7"/>
  <c r="H169" i="7"/>
  <c r="I169" i="7" s="1"/>
  <c r="F169" i="7"/>
  <c r="C169" i="7"/>
  <c r="AD168" i="7"/>
  <c r="AC168" i="7"/>
  <c r="AA168" i="7"/>
  <c r="W168" i="7"/>
  <c r="X168" i="7" s="1"/>
  <c r="U168" i="7"/>
  <c r="R168" i="7"/>
  <c r="N168" i="7"/>
  <c r="O168" i="7" s="1"/>
  <c r="L168" i="7"/>
  <c r="I168" i="7"/>
  <c r="H168" i="7"/>
  <c r="F168" i="7"/>
  <c r="C168" i="7"/>
  <c r="AC167" i="7"/>
  <c r="AD167" i="7" s="1"/>
  <c r="AA167" i="7"/>
  <c r="X167" i="7"/>
  <c r="W167" i="7"/>
  <c r="U167" i="7"/>
  <c r="R167" i="7"/>
  <c r="N167" i="7"/>
  <c r="O167" i="7" s="1"/>
  <c r="L167" i="7"/>
  <c r="H167" i="7"/>
  <c r="I167" i="7" s="1"/>
  <c r="F167" i="7"/>
  <c r="C167" i="7"/>
  <c r="Z166" i="7"/>
  <c r="AA166" i="7" s="1"/>
  <c r="W166" i="7"/>
  <c r="X166" i="7" s="1"/>
  <c r="U166" i="7"/>
  <c r="T166" i="7"/>
  <c r="R166" i="7"/>
  <c r="Q166" i="7"/>
  <c r="N166" i="7"/>
  <c r="O166" i="7" s="1"/>
  <c r="K166" i="7"/>
  <c r="L166" i="7" s="1"/>
  <c r="F166" i="7"/>
  <c r="E166" i="7"/>
  <c r="B166" i="7"/>
  <c r="AC165" i="7"/>
  <c r="AD165" i="7" s="1"/>
  <c r="AA165" i="7"/>
  <c r="W165" i="7"/>
  <c r="X165" i="7" s="1"/>
  <c r="U165" i="7"/>
  <c r="R165" i="7"/>
  <c r="N165" i="7"/>
  <c r="O165" i="7" s="1"/>
  <c r="L165" i="7"/>
  <c r="I165" i="7"/>
  <c r="H165" i="7"/>
  <c r="F165" i="7"/>
  <c r="C165" i="7"/>
  <c r="AD164" i="7"/>
  <c r="AC164" i="7"/>
  <c r="AA164" i="7"/>
  <c r="X164" i="7"/>
  <c r="W164" i="7"/>
  <c r="U164" i="7"/>
  <c r="R164" i="7"/>
  <c r="O164" i="7"/>
  <c r="N164" i="7"/>
  <c r="L164" i="7"/>
  <c r="I164" i="7"/>
  <c r="H164" i="7"/>
  <c r="F164" i="7"/>
  <c r="C164" i="7"/>
  <c r="AC163" i="7"/>
  <c r="AD163" i="7" s="1"/>
  <c r="AA163" i="7"/>
  <c r="W163" i="7"/>
  <c r="X163" i="7" s="1"/>
  <c r="U163" i="7"/>
  <c r="R163" i="7"/>
  <c r="N163" i="7"/>
  <c r="O163" i="7" s="1"/>
  <c r="L163" i="7"/>
  <c r="I163" i="7"/>
  <c r="H163" i="7"/>
  <c r="F163" i="7"/>
  <c r="C163" i="7"/>
  <c r="AD162" i="7"/>
  <c r="AC162" i="7"/>
  <c r="AA162" i="7"/>
  <c r="W162" i="7"/>
  <c r="X162" i="7" s="1"/>
  <c r="U162" i="7"/>
  <c r="R162" i="7"/>
  <c r="N162" i="7"/>
  <c r="O162" i="7" s="1"/>
  <c r="L162" i="7"/>
  <c r="I162" i="7"/>
  <c r="H162" i="7"/>
  <c r="F162" i="7"/>
  <c r="C162" i="7"/>
  <c r="AC161" i="7"/>
  <c r="AD161" i="7" s="1"/>
  <c r="AA161" i="7"/>
  <c r="W161" i="7"/>
  <c r="X161" i="7" s="1"/>
  <c r="U161" i="7"/>
  <c r="R161" i="7"/>
  <c r="O161" i="7"/>
  <c r="N161" i="7"/>
  <c r="L161" i="7"/>
  <c r="I161" i="7"/>
  <c r="H161" i="7"/>
  <c r="F161" i="7"/>
  <c r="C161" i="7"/>
  <c r="AC160" i="7"/>
  <c r="AD160" i="7" s="1"/>
  <c r="AA160" i="7"/>
  <c r="W160" i="7"/>
  <c r="X160" i="7" s="1"/>
  <c r="U160" i="7"/>
  <c r="R160" i="7"/>
  <c r="O160" i="7"/>
  <c r="N160" i="7"/>
  <c r="L160" i="7"/>
  <c r="I160" i="7"/>
  <c r="H160" i="7"/>
  <c r="F160" i="7"/>
  <c r="C160" i="7"/>
  <c r="Z158" i="7"/>
  <c r="AA158" i="7" s="1"/>
  <c r="U158" i="7"/>
  <c r="T158" i="7"/>
  <c r="R158" i="7"/>
  <c r="Q158" i="7"/>
  <c r="W158" i="7" s="1"/>
  <c r="X158" i="7" s="1"/>
  <c r="N158" i="7"/>
  <c r="O158" i="7" s="1"/>
  <c r="L158" i="7"/>
  <c r="K158" i="7"/>
  <c r="E158" i="7"/>
  <c r="F158" i="7" s="1"/>
  <c r="C158" i="7"/>
  <c r="B158" i="7"/>
  <c r="AD157" i="7"/>
  <c r="AC157" i="7"/>
  <c r="AA157" i="7"/>
  <c r="W157" i="7"/>
  <c r="X157" i="7" s="1"/>
  <c r="U157" i="7"/>
  <c r="R157" i="7"/>
  <c r="O157" i="7"/>
  <c r="N157" i="7"/>
  <c r="L157" i="7"/>
  <c r="I157" i="7"/>
  <c r="H157" i="7"/>
  <c r="F157" i="7"/>
  <c r="C157" i="7"/>
  <c r="AD156" i="7"/>
  <c r="AC156" i="7"/>
  <c r="AA156" i="7"/>
  <c r="X156" i="7"/>
  <c r="W156" i="7"/>
  <c r="U156" i="7"/>
  <c r="R156" i="7"/>
  <c r="N156" i="7"/>
  <c r="O156" i="7" s="1"/>
  <c r="L156" i="7"/>
  <c r="H156" i="7"/>
  <c r="I156" i="7" s="1"/>
  <c r="F156" i="7"/>
  <c r="C156" i="7"/>
  <c r="AC155" i="7"/>
  <c r="AD155" i="7" s="1"/>
  <c r="AA155" i="7"/>
  <c r="X155" i="7"/>
  <c r="W155" i="7"/>
  <c r="U155" i="7"/>
  <c r="R155" i="7"/>
  <c r="N155" i="7"/>
  <c r="O155" i="7" s="1"/>
  <c r="L155" i="7"/>
  <c r="H155" i="7"/>
  <c r="I155" i="7" s="1"/>
  <c r="F155" i="7"/>
  <c r="C155" i="7"/>
  <c r="AD154" i="7"/>
  <c r="AC154" i="7"/>
  <c r="AA154" i="7"/>
  <c r="W154" i="7"/>
  <c r="X154" i="7" s="1"/>
  <c r="U154" i="7"/>
  <c r="R154" i="7"/>
  <c r="O154" i="7"/>
  <c r="N154" i="7"/>
  <c r="L154" i="7"/>
  <c r="I154" i="7"/>
  <c r="H154" i="7"/>
  <c r="F154" i="7"/>
  <c r="C154" i="7"/>
  <c r="AC153" i="7"/>
  <c r="AD153" i="7" s="1"/>
  <c r="AA153" i="7"/>
  <c r="W153" i="7"/>
  <c r="X153" i="7" s="1"/>
  <c r="U153" i="7"/>
  <c r="R153" i="7"/>
  <c r="O153" i="7"/>
  <c r="N153" i="7"/>
  <c r="L153" i="7"/>
  <c r="I153" i="7"/>
  <c r="H153" i="7"/>
  <c r="F153" i="7"/>
  <c r="C153" i="7"/>
  <c r="AD151" i="7"/>
  <c r="AC151" i="7"/>
  <c r="AA151" i="7"/>
  <c r="X151" i="7"/>
  <c r="W151" i="7"/>
  <c r="U151" i="7"/>
  <c r="R151" i="7"/>
  <c r="N151" i="7"/>
  <c r="O151" i="7" s="1"/>
  <c r="L151" i="7"/>
  <c r="H151" i="7"/>
  <c r="I151" i="7" s="1"/>
  <c r="F151" i="7"/>
  <c r="C151" i="7"/>
  <c r="Z149" i="7"/>
  <c r="AA149" i="7" s="1"/>
  <c r="W149" i="7"/>
  <c r="X149" i="7" s="1"/>
  <c r="U149" i="7"/>
  <c r="T149" i="7"/>
  <c r="R149" i="7"/>
  <c r="Q149" i="7"/>
  <c r="AC149" i="7" s="1"/>
  <c r="AD149" i="7" s="1"/>
  <c r="K149" i="7"/>
  <c r="L149" i="7" s="1"/>
  <c r="E149" i="7"/>
  <c r="F149" i="7" s="1"/>
  <c r="B149" i="7"/>
  <c r="AA148" i="7"/>
  <c r="Z148" i="7"/>
  <c r="T148" i="7"/>
  <c r="U148" i="7" s="1"/>
  <c r="Q148" i="7"/>
  <c r="L148" i="7"/>
  <c r="K148" i="7"/>
  <c r="H148" i="7"/>
  <c r="I148" i="7" s="1"/>
  <c r="E148" i="7"/>
  <c r="F148" i="7" s="1"/>
  <c r="C148" i="7"/>
  <c r="B148" i="7"/>
  <c r="N148" i="7" s="1"/>
  <c r="O148" i="7" s="1"/>
  <c r="AD147" i="7"/>
  <c r="AC147" i="7"/>
  <c r="AA147" i="7"/>
  <c r="X147" i="7"/>
  <c r="W147" i="7"/>
  <c r="U147" i="7"/>
  <c r="R147" i="7"/>
  <c r="N147" i="7"/>
  <c r="O147" i="7" s="1"/>
  <c r="L147" i="7"/>
  <c r="I147" i="7"/>
  <c r="H147" i="7"/>
  <c r="F147" i="7"/>
  <c r="C147" i="7"/>
  <c r="AD146" i="7"/>
  <c r="AC146" i="7"/>
  <c r="AA146" i="7"/>
  <c r="X146" i="7"/>
  <c r="W146" i="7"/>
  <c r="U146" i="7"/>
  <c r="R146" i="7"/>
  <c r="O146" i="7"/>
  <c r="N146" i="7"/>
  <c r="L146" i="7"/>
  <c r="H146" i="7"/>
  <c r="I146" i="7" s="1"/>
  <c r="F146" i="7"/>
  <c r="C146" i="7"/>
  <c r="AC145" i="7"/>
  <c r="AD145" i="7" s="1"/>
  <c r="AA145" i="7"/>
  <c r="W145" i="7"/>
  <c r="X145" i="7" s="1"/>
  <c r="U145" i="7"/>
  <c r="R145" i="7"/>
  <c r="O145" i="7"/>
  <c r="N145" i="7"/>
  <c r="L145" i="7"/>
  <c r="I145" i="7"/>
  <c r="H145" i="7"/>
  <c r="F145" i="7"/>
  <c r="C145" i="7"/>
  <c r="AC144" i="7"/>
  <c r="AD144" i="7" s="1"/>
  <c r="AA144" i="7"/>
  <c r="X144" i="7"/>
  <c r="W144" i="7"/>
  <c r="U144" i="7"/>
  <c r="R144" i="7"/>
  <c r="N144" i="7"/>
  <c r="O144" i="7" s="1"/>
  <c r="L144" i="7"/>
  <c r="H144" i="7"/>
  <c r="I144" i="7" s="1"/>
  <c r="F144" i="7"/>
  <c r="C144" i="7"/>
  <c r="AD143" i="7"/>
  <c r="AC143" i="7"/>
  <c r="AA143" i="7"/>
  <c r="X143" i="7"/>
  <c r="W143" i="7"/>
  <c r="U143" i="7"/>
  <c r="R143" i="7"/>
  <c r="N143" i="7"/>
  <c r="O143" i="7" s="1"/>
  <c r="L143" i="7"/>
  <c r="H143" i="7"/>
  <c r="I143" i="7" s="1"/>
  <c r="F143" i="7"/>
  <c r="C143" i="7"/>
  <c r="AA141" i="7"/>
  <c r="Z141" i="7"/>
  <c r="W141" i="7"/>
  <c r="X141" i="7" s="1"/>
  <c r="T141" i="7"/>
  <c r="U141" i="7" s="1"/>
  <c r="R141" i="7"/>
  <c r="Q141" i="7"/>
  <c r="AC141" i="7" s="1"/>
  <c r="AD141" i="7" s="1"/>
  <c r="K141" i="7"/>
  <c r="L141" i="7" s="1"/>
  <c r="F141" i="7"/>
  <c r="E141" i="7"/>
  <c r="B141" i="7"/>
  <c r="AD140" i="7"/>
  <c r="AC140" i="7"/>
  <c r="AA140" i="7"/>
  <c r="X140" i="7"/>
  <c r="W140" i="7"/>
  <c r="U140" i="7"/>
  <c r="R140" i="7"/>
  <c r="O140" i="7"/>
  <c r="N140" i="7"/>
  <c r="L140" i="7"/>
  <c r="H140" i="7"/>
  <c r="I140" i="7" s="1"/>
  <c r="F140" i="7"/>
  <c r="C140" i="7"/>
  <c r="AC139" i="7"/>
  <c r="AD139" i="7" s="1"/>
  <c r="AA139" i="7"/>
  <c r="X139" i="7"/>
  <c r="W139" i="7"/>
  <c r="U139" i="7"/>
  <c r="R139" i="7"/>
  <c r="N139" i="7"/>
  <c r="O139" i="7" s="1"/>
  <c r="L139" i="7"/>
  <c r="H139" i="7"/>
  <c r="I139" i="7" s="1"/>
  <c r="F139" i="7"/>
  <c r="C139" i="7"/>
  <c r="AD138" i="7"/>
  <c r="AC138" i="7"/>
  <c r="AA138" i="7"/>
  <c r="W138" i="7"/>
  <c r="X138" i="7" s="1"/>
  <c r="U138" i="7"/>
  <c r="R138" i="7"/>
  <c r="O138" i="7"/>
  <c r="N138" i="7"/>
  <c r="L138" i="7"/>
  <c r="I138" i="7"/>
  <c r="H138" i="7"/>
  <c r="F138" i="7"/>
  <c r="C138" i="7"/>
  <c r="AC137" i="7"/>
  <c r="AD137" i="7" s="1"/>
  <c r="AA137" i="7"/>
  <c r="W137" i="7"/>
  <c r="X137" i="7" s="1"/>
  <c r="U137" i="7"/>
  <c r="R137" i="7"/>
  <c r="O137" i="7"/>
  <c r="N137" i="7"/>
  <c r="L137" i="7"/>
  <c r="I137" i="7"/>
  <c r="H137" i="7"/>
  <c r="F137" i="7"/>
  <c r="C137" i="7"/>
  <c r="AC136" i="7"/>
  <c r="AD136" i="7" s="1"/>
  <c r="AA136" i="7"/>
  <c r="X136" i="7"/>
  <c r="W136" i="7"/>
  <c r="U136" i="7"/>
  <c r="R136" i="7"/>
  <c r="O136" i="7"/>
  <c r="N136" i="7"/>
  <c r="L136" i="7"/>
  <c r="H136" i="7"/>
  <c r="I136" i="7" s="1"/>
  <c r="F136" i="7"/>
  <c r="C136" i="7"/>
  <c r="AC135" i="7"/>
  <c r="AD135" i="7" s="1"/>
  <c r="AA135" i="7"/>
  <c r="X135" i="7"/>
  <c r="W135" i="7"/>
  <c r="U135" i="7"/>
  <c r="R135" i="7"/>
  <c r="N135" i="7"/>
  <c r="O135" i="7" s="1"/>
  <c r="L135" i="7"/>
  <c r="H135" i="7"/>
  <c r="I135" i="7" s="1"/>
  <c r="F135" i="7"/>
  <c r="C135" i="7"/>
  <c r="AD134" i="7"/>
  <c r="AC134" i="7"/>
  <c r="AA134" i="7"/>
  <c r="W134" i="7"/>
  <c r="X134" i="7" s="1"/>
  <c r="U134" i="7"/>
  <c r="R134" i="7"/>
  <c r="O134" i="7"/>
  <c r="N134" i="7"/>
  <c r="L134" i="7"/>
  <c r="I134" i="7"/>
  <c r="H134" i="7"/>
  <c r="F134" i="7"/>
  <c r="C134" i="7"/>
  <c r="AC133" i="7"/>
  <c r="AD133" i="7" s="1"/>
  <c r="AA133" i="7"/>
  <c r="W133" i="7"/>
  <c r="X133" i="7" s="1"/>
  <c r="U133" i="7"/>
  <c r="R133" i="7"/>
  <c r="O133" i="7"/>
  <c r="N133" i="7"/>
  <c r="L133" i="7"/>
  <c r="I133" i="7"/>
  <c r="H133" i="7"/>
  <c r="F133" i="7"/>
  <c r="C133" i="7"/>
  <c r="AD132" i="7"/>
  <c r="AC132" i="7"/>
  <c r="AA132" i="7"/>
  <c r="X132" i="7"/>
  <c r="W132" i="7"/>
  <c r="U132" i="7"/>
  <c r="R132" i="7"/>
  <c r="O132" i="7"/>
  <c r="N132" i="7"/>
  <c r="L132" i="7"/>
  <c r="H132" i="7"/>
  <c r="I132" i="7" s="1"/>
  <c r="F132" i="7"/>
  <c r="C132" i="7"/>
  <c r="AC131" i="7"/>
  <c r="AD131" i="7" s="1"/>
  <c r="AA131" i="7"/>
  <c r="X131" i="7"/>
  <c r="W131" i="7"/>
  <c r="U131" i="7"/>
  <c r="R131" i="7"/>
  <c r="N131" i="7"/>
  <c r="O131" i="7" s="1"/>
  <c r="L131" i="7"/>
  <c r="H131" i="7"/>
  <c r="I131" i="7" s="1"/>
  <c r="F131" i="7"/>
  <c r="C131" i="7"/>
  <c r="AD130" i="7"/>
  <c r="AC130" i="7"/>
  <c r="AA130" i="7"/>
  <c r="W130" i="7"/>
  <c r="X130" i="7" s="1"/>
  <c r="U130" i="7"/>
  <c r="R130" i="7"/>
  <c r="N130" i="7"/>
  <c r="O130" i="7" s="1"/>
  <c r="L130" i="7"/>
  <c r="I130" i="7"/>
  <c r="H130" i="7"/>
  <c r="F130" i="7"/>
  <c r="C130" i="7"/>
  <c r="AD129" i="7"/>
  <c r="AC129" i="7"/>
  <c r="AA129" i="7"/>
  <c r="W129" i="7"/>
  <c r="X129" i="7" s="1"/>
  <c r="U129" i="7"/>
  <c r="R129" i="7"/>
  <c r="N129" i="7"/>
  <c r="O129" i="7" s="1"/>
  <c r="L129" i="7"/>
  <c r="I129" i="7"/>
  <c r="H129" i="7"/>
  <c r="F129" i="7"/>
  <c r="C129" i="7"/>
  <c r="AC127" i="7"/>
  <c r="AD127" i="7" s="1"/>
  <c r="AA127" i="7"/>
  <c r="X127" i="7"/>
  <c r="W127" i="7"/>
  <c r="U127" i="7"/>
  <c r="R127" i="7"/>
  <c r="O127" i="7"/>
  <c r="N127" i="7"/>
  <c r="L127" i="7"/>
  <c r="I127" i="7"/>
  <c r="H127" i="7"/>
  <c r="F127" i="7"/>
  <c r="C127" i="7"/>
  <c r="Z124" i="7"/>
  <c r="AA124" i="7" s="1"/>
  <c r="U124" i="7"/>
  <c r="T124" i="7"/>
  <c r="R124" i="7"/>
  <c r="Q124" i="7"/>
  <c r="W124" i="7" s="1"/>
  <c r="X124" i="7" s="1"/>
  <c r="N124" i="7"/>
  <c r="O124" i="7" s="1"/>
  <c r="L124" i="7"/>
  <c r="K124" i="7"/>
  <c r="E124" i="7"/>
  <c r="E172" i="7" s="1"/>
  <c r="B124" i="7"/>
  <c r="B172" i="7" s="1"/>
  <c r="AC123" i="7"/>
  <c r="AD123" i="7" s="1"/>
  <c r="AA123" i="7"/>
  <c r="W123" i="7"/>
  <c r="X123" i="7" s="1"/>
  <c r="U123" i="7"/>
  <c r="R123" i="7"/>
  <c r="N123" i="7"/>
  <c r="O123" i="7" s="1"/>
  <c r="L123" i="7"/>
  <c r="I123" i="7"/>
  <c r="H123" i="7"/>
  <c r="F123" i="7"/>
  <c r="C123" i="7"/>
  <c r="Z122" i="7"/>
  <c r="AA122" i="7" s="1"/>
  <c r="X122" i="7"/>
  <c r="U122" i="7"/>
  <c r="T122" i="7"/>
  <c r="Q122" i="7"/>
  <c r="W122" i="7" s="1"/>
  <c r="L122" i="7"/>
  <c r="K122" i="7"/>
  <c r="E122" i="7"/>
  <c r="F122" i="7" s="1"/>
  <c r="B122" i="7"/>
  <c r="H122" i="7" s="1"/>
  <c r="I122" i="7" s="1"/>
  <c r="AD121" i="7"/>
  <c r="AC121" i="7"/>
  <c r="AA121" i="7"/>
  <c r="W121" i="7"/>
  <c r="X121" i="7" s="1"/>
  <c r="U121" i="7"/>
  <c r="R121" i="7"/>
  <c r="N121" i="7"/>
  <c r="O121" i="7" s="1"/>
  <c r="L121" i="7"/>
  <c r="I121" i="7"/>
  <c r="H121" i="7"/>
  <c r="F121" i="7"/>
  <c r="C121" i="7"/>
  <c r="AC120" i="7"/>
  <c r="AD120" i="7" s="1"/>
  <c r="AA120" i="7"/>
  <c r="W120" i="7"/>
  <c r="X120" i="7" s="1"/>
  <c r="U120" i="7"/>
  <c r="R120" i="7"/>
  <c r="N120" i="7"/>
  <c r="O120" i="7" s="1"/>
  <c r="L120" i="7"/>
  <c r="I120" i="7"/>
  <c r="H120" i="7"/>
  <c r="F120" i="7"/>
  <c r="C120" i="7"/>
  <c r="AC119" i="7"/>
  <c r="AD119" i="7" s="1"/>
  <c r="AA119" i="7"/>
  <c r="W119" i="7"/>
  <c r="X119" i="7" s="1"/>
  <c r="U119" i="7"/>
  <c r="R119" i="7"/>
  <c r="O119" i="7"/>
  <c r="N119" i="7"/>
  <c r="L119" i="7"/>
  <c r="I119" i="7"/>
  <c r="H119" i="7"/>
  <c r="F119" i="7"/>
  <c r="C119" i="7"/>
  <c r="AD118" i="7"/>
  <c r="Z118" i="7"/>
  <c r="AA118" i="7" s="1"/>
  <c r="X118" i="7"/>
  <c r="W118" i="7"/>
  <c r="U118" i="7"/>
  <c r="T118" i="7"/>
  <c r="R118" i="7"/>
  <c r="Q118" i="7"/>
  <c r="AC118" i="7" s="1"/>
  <c r="L118" i="7"/>
  <c r="K118" i="7"/>
  <c r="N118" i="7" s="1"/>
  <c r="O118" i="7" s="1"/>
  <c r="E118" i="7"/>
  <c r="F118" i="7" s="1"/>
  <c r="C118" i="7"/>
  <c r="B118" i="7"/>
  <c r="AC117" i="7"/>
  <c r="AD117" i="7" s="1"/>
  <c r="AA117" i="7"/>
  <c r="W117" i="7"/>
  <c r="X117" i="7" s="1"/>
  <c r="U117" i="7"/>
  <c r="R117" i="7"/>
  <c r="O117" i="7"/>
  <c r="N117" i="7"/>
  <c r="L117" i="7"/>
  <c r="I117" i="7"/>
  <c r="H117" i="7"/>
  <c r="F117" i="7"/>
  <c r="C117" i="7"/>
  <c r="AD116" i="7"/>
  <c r="AC116" i="7"/>
  <c r="AA116" i="7"/>
  <c r="W116" i="7"/>
  <c r="X116" i="7" s="1"/>
  <c r="U116" i="7"/>
  <c r="R116" i="7"/>
  <c r="N116" i="7"/>
  <c r="O116" i="7" s="1"/>
  <c r="L116" i="7"/>
  <c r="H116" i="7"/>
  <c r="I116" i="7" s="1"/>
  <c r="F116" i="7"/>
  <c r="C116" i="7"/>
  <c r="AC115" i="7"/>
  <c r="AD115" i="7" s="1"/>
  <c r="AA115" i="7"/>
  <c r="X115" i="7"/>
  <c r="W115" i="7"/>
  <c r="U115" i="7"/>
  <c r="R115" i="7"/>
  <c r="N115" i="7"/>
  <c r="O115" i="7" s="1"/>
  <c r="L115" i="7"/>
  <c r="H115" i="7"/>
  <c r="I115" i="7" s="1"/>
  <c r="F115" i="7"/>
  <c r="C115" i="7"/>
  <c r="AD114" i="7"/>
  <c r="AC114" i="7"/>
  <c r="AA114" i="7"/>
  <c r="W114" i="7"/>
  <c r="X114" i="7" s="1"/>
  <c r="U114" i="7"/>
  <c r="R114" i="7"/>
  <c r="N114" i="7"/>
  <c r="O114" i="7" s="1"/>
  <c r="L114" i="7"/>
  <c r="H114" i="7"/>
  <c r="I114" i="7" s="1"/>
  <c r="F114" i="7"/>
  <c r="C114" i="7"/>
  <c r="AD113" i="7"/>
  <c r="AC113" i="7"/>
  <c r="AA113" i="7"/>
  <c r="W113" i="7"/>
  <c r="X113" i="7" s="1"/>
  <c r="U113" i="7"/>
  <c r="R113" i="7"/>
  <c r="N113" i="7"/>
  <c r="O113" i="7" s="1"/>
  <c r="L113" i="7"/>
  <c r="I113" i="7"/>
  <c r="H113" i="7"/>
  <c r="F113" i="7"/>
  <c r="C113" i="7"/>
  <c r="AC112" i="7"/>
  <c r="AD112" i="7" s="1"/>
  <c r="AA112" i="7"/>
  <c r="X112" i="7"/>
  <c r="W112" i="7"/>
  <c r="U112" i="7"/>
  <c r="R112" i="7"/>
  <c r="N112" i="7"/>
  <c r="O112" i="7" s="1"/>
  <c r="L112" i="7"/>
  <c r="I112" i="7"/>
  <c r="H112" i="7"/>
  <c r="F112" i="7"/>
  <c r="C112" i="7"/>
  <c r="AD111" i="7"/>
  <c r="AC111" i="7"/>
  <c r="AA111" i="7"/>
  <c r="W111" i="7"/>
  <c r="X111" i="7" s="1"/>
  <c r="U111" i="7"/>
  <c r="R111" i="7"/>
  <c r="N111" i="7"/>
  <c r="O111" i="7" s="1"/>
  <c r="L111" i="7"/>
  <c r="H111" i="7"/>
  <c r="I111" i="7" s="1"/>
  <c r="F111" i="7"/>
  <c r="C111" i="7"/>
  <c r="AD110" i="7"/>
  <c r="AC110" i="7"/>
  <c r="AA110" i="7"/>
  <c r="X110" i="7"/>
  <c r="W110" i="7"/>
  <c r="U110" i="7"/>
  <c r="R110" i="7"/>
  <c r="O110" i="7"/>
  <c r="N110" i="7"/>
  <c r="L110" i="7"/>
  <c r="H110" i="7"/>
  <c r="I110" i="7" s="1"/>
  <c r="F110" i="7"/>
  <c r="C110" i="7"/>
  <c r="AC109" i="7"/>
  <c r="AD109" i="7" s="1"/>
  <c r="AA109" i="7"/>
  <c r="W109" i="7"/>
  <c r="X109" i="7" s="1"/>
  <c r="U109" i="7"/>
  <c r="R109" i="7"/>
  <c r="N109" i="7"/>
  <c r="O109" i="7" s="1"/>
  <c r="L109" i="7"/>
  <c r="I109" i="7"/>
  <c r="H109" i="7"/>
  <c r="F109" i="7"/>
  <c r="C109" i="7"/>
  <c r="AD108" i="7"/>
  <c r="AC108" i="7"/>
  <c r="AA108" i="7"/>
  <c r="W108" i="7"/>
  <c r="X108" i="7" s="1"/>
  <c r="U108" i="7"/>
  <c r="R108" i="7"/>
  <c r="N108" i="7"/>
  <c r="O108" i="7" s="1"/>
  <c r="L108" i="7"/>
  <c r="H108" i="7"/>
  <c r="I108" i="7" s="1"/>
  <c r="F108" i="7"/>
  <c r="C108" i="7"/>
  <c r="AC107" i="7"/>
  <c r="AD107" i="7" s="1"/>
  <c r="AA107" i="7"/>
  <c r="W107" i="7"/>
  <c r="X107" i="7" s="1"/>
  <c r="U107" i="7"/>
  <c r="R107" i="7"/>
  <c r="N107" i="7"/>
  <c r="O107" i="7" s="1"/>
  <c r="L107" i="7"/>
  <c r="H107" i="7"/>
  <c r="I107" i="7" s="1"/>
  <c r="F107" i="7"/>
  <c r="C107" i="7"/>
  <c r="AD106" i="7"/>
  <c r="AC106" i="7"/>
  <c r="AA106" i="7"/>
  <c r="W106" i="7"/>
  <c r="X106" i="7" s="1"/>
  <c r="U106" i="7"/>
  <c r="R106" i="7"/>
  <c r="N106" i="7"/>
  <c r="O106" i="7" s="1"/>
  <c r="L106" i="7"/>
  <c r="I106" i="7"/>
  <c r="H106" i="7"/>
  <c r="F106" i="7"/>
  <c r="C106" i="7"/>
  <c r="AC105" i="7"/>
  <c r="AD105" i="7" s="1"/>
  <c r="AA105" i="7"/>
  <c r="W105" i="7"/>
  <c r="X105" i="7" s="1"/>
  <c r="U105" i="7"/>
  <c r="R105" i="7"/>
  <c r="N105" i="7"/>
  <c r="O105" i="7" s="1"/>
  <c r="L105" i="7"/>
  <c r="I105" i="7"/>
  <c r="H105" i="7"/>
  <c r="F105" i="7"/>
  <c r="C105" i="7"/>
  <c r="AC104" i="7"/>
  <c r="AD104" i="7" s="1"/>
  <c r="AA104" i="7"/>
  <c r="W104" i="7"/>
  <c r="X104" i="7" s="1"/>
  <c r="U104" i="7"/>
  <c r="R104" i="7"/>
  <c r="O104" i="7"/>
  <c r="N104" i="7"/>
  <c r="L104" i="7"/>
  <c r="I104" i="7"/>
  <c r="H104" i="7"/>
  <c r="F104" i="7"/>
  <c r="C104" i="7"/>
  <c r="AD103" i="7"/>
  <c r="AC103" i="7"/>
  <c r="AA103" i="7"/>
  <c r="W103" i="7"/>
  <c r="X103" i="7" s="1"/>
  <c r="U103" i="7"/>
  <c r="R103" i="7"/>
  <c r="N103" i="7"/>
  <c r="O103" i="7" s="1"/>
  <c r="L103" i="7"/>
  <c r="I103" i="7"/>
  <c r="H103" i="7"/>
  <c r="F103" i="7"/>
  <c r="C103" i="7"/>
  <c r="AD102" i="7"/>
  <c r="AC102" i="7"/>
  <c r="AA102" i="7"/>
  <c r="X102" i="7"/>
  <c r="W102" i="7"/>
  <c r="U102" i="7"/>
  <c r="R102" i="7"/>
  <c r="O102" i="7"/>
  <c r="N102" i="7"/>
  <c r="L102" i="7"/>
  <c r="H102" i="7"/>
  <c r="I102" i="7" s="1"/>
  <c r="F102" i="7"/>
  <c r="C102" i="7"/>
  <c r="AC101" i="7"/>
  <c r="AD101" i="7" s="1"/>
  <c r="AA101" i="7"/>
  <c r="W101" i="7"/>
  <c r="X101" i="7" s="1"/>
  <c r="U101" i="7"/>
  <c r="R101" i="7"/>
  <c r="O101" i="7"/>
  <c r="N101" i="7"/>
  <c r="L101" i="7"/>
  <c r="I101" i="7"/>
  <c r="H101" i="7"/>
  <c r="F101" i="7"/>
  <c r="C101" i="7"/>
  <c r="AD100" i="7"/>
  <c r="AC100" i="7"/>
  <c r="AA100" i="7"/>
  <c r="W100" i="7"/>
  <c r="X100" i="7" s="1"/>
  <c r="U100" i="7"/>
  <c r="R100" i="7"/>
  <c r="O100" i="7"/>
  <c r="N100" i="7"/>
  <c r="L100" i="7"/>
  <c r="H100" i="7"/>
  <c r="I100" i="7" s="1"/>
  <c r="F100" i="7"/>
  <c r="C100" i="7"/>
  <c r="AC99" i="7"/>
  <c r="AD99" i="7" s="1"/>
  <c r="AA99" i="7"/>
  <c r="X99" i="7"/>
  <c r="W99" i="7"/>
  <c r="U99" i="7"/>
  <c r="R99" i="7"/>
  <c r="N99" i="7"/>
  <c r="O99" i="7" s="1"/>
  <c r="L99" i="7"/>
  <c r="H99" i="7"/>
  <c r="I99" i="7" s="1"/>
  <c r="F99" i="7"/>
  <c r="C99" i="7"/>
  <c r="AD98" i="7"/>
  <c r="AC98" i="7"/>
  <c r="AA98" i="7"/>
  <c r="W98" i="7"/>
  <c r="X98" i="7" s="1"/>
  <c r="U98" i="7"/>
  <c r="R98" i="7"/>
  <c r="N98" i="7"/>
  <c r="O98" i="7" s="1"/>
  <c r="L98" i="7"/>
  <c r="H98" i="7"/>
  <c r="I98" i="7" s="1"/>
  <c r="F98" i="7"/>
  <c r="C98" i="7"/>
  <c r="AD97" i="7"/>
  <c r="AC97" i="7"/>
  <c r="AA97" i="7"/>
  <c r="W97" i="7"/>
  <c r="X97" i="7" s="1"/>
  <c r="U97" i="7"/>
  <c r="R97" i="7"/>
  <c r="O97" i="7"/>
  <c r="N97" i="7"/>
  <c r="L97" i="7"/>
  <c r="I97" i="7"/>
  <c r="H97" i="7"/>
  <c r="F97" i="7"/>
  <c r="C97" i="7"/>
  <c r="AC96" i="7"/>
  <c r="AD96" i="7" s="1"/>
  <c r="AA96" i="7"/>
  <c r="X96" i="7"/>
  <c r="W96" i="7"/>
  <c r="U96" i="7"/>
  <c r="R96" i="7"/>
  <c r="N96" i="7"/>
  <c r="O96" i="7" s="1"/>
  <c r="L96" i="7"/>
  <c r="I96" i="7"/>
  <c r="H96" i="7"/>
  <c r="F96" i="7"/>
  <c r="C96" i="7"/>
  <c r="AD95" i="7"/>
  <c r="AC95" i="7"/>
  <c r="AA95" i="7"/>
  <c r="W95" i="7"/>
  <c r="X95" i="7" s="1"/>
  <c r="U95" i="7"/>
  <c r="R95" i="7"/>
  <c r="N95" i="7"/>
  <c r="O95" i="7" s="1"/>
  <c r="L95" i="7"/>
  <c r="H95" i="7"/>
  <c r="I95" i="7" s="1"/>
  <c r="F95" i="7"/>
  <c r="C95" i="7"/>
  <c r="AD94" i="7"/>
  <c r="AC94" i="7"/>
  <c r="AA94" i="7"/>
  <c r="X94" i="7"/>
  <c r="W94" i="7"/>
  <c r="U94" i="7"/>
  <c r="R94" i="7"/>
  <c r="O94" i="7"/>
  <c r="N94" i="7"/>
  <c r="L94" i="7"/>
  <c r="H94" i="7"/>
  <c r="I94" i="7" s="1"/>
  <c r="F94" i="7"/>
  <c r="C94" i="7"/>
  <c r="AC92" i="7"/>
  <c r="AD92" i="7" s="1"/>
  <c r="AA92" i="7"/>
  <c r="W92" i="7"/>
  <c r="X92" i="7" s="1"/>
  <c r="U92" i="7"/>
  <c r="R92" i="7"/>
  <c r="N92" i="7"/>
  <c r="O92" i="7" s="1"/>
  <c r="L92" i="7"/>
  <c r="I92" i="7"/>
  <c r="H92" i="7"/>
  <c r="F92" i="7"/>
  <c r="C92" i="7"/>
  <c r="AD91" i="7"/>
  <c r="AC91" i="7"/>
  <c r="AA91" i="7"/>
  <c r="W91" i="7"/>
  <c r="X91" i="7" s="1"/>
  <c r="U91" i="7"/>
  <c r="R91" i="7"/>
  <c r="N91" i="7"/>
  <c r="O91" i="7" s="1"/>
  <c r="L91" i="7"/>
  <c r="H91" i="7"/>
  <c r="I91" i="7" s="1"/>
  <c r="F91" i="7"/>
  <c r="C91" i="7"/>
  <c r="AC90" i="7"/>
  <c r="AD90" i="7" s="1"/>
  <c r="AA90" i="7"/>
  <c r="W90" i="7"/>
  <c r="X90" i="7" s="1"/>
  <c r="U90" i="7"/>
  <c r="R90" i="7"/>
  <c r="N90" i="7"/>
  <c r="O90" i="7" s="1"/>
  <c r="L90" i="7"/>
  <c r="H90" i="7"/>
  <c r="I90" i="7" s="1"/>
  <c r="F90" i="7"/>
  <c r="C90" i="7"/>
  <c r="AD89" i="7"/>
  <c r="AC89" i="7"/>
  <c r="AA89" i="7"/>
  <c r="W89" i="7"/>
  <c r="X89" i="7" s="1"/>
  <c r="U89" i="7"/>
  <c r="R89" i="7"/>
  <c r="N89" i="7"/>
  <c r="O89" i="7" s="1"/>
  <c r="L89" i="7"/>
  <c r="I89" i="7"/>
  <c r="H89" i="7"/>
  <c r="F89" i="7"/>
  <c r="C89" i="7"/>
  <c r="AA88" i="7"/>
  <c r="Z88" i="7"/>
  <c r="T88" i="7"/>
  <c r="U88" i="7" s="1"/>
  <c r="Q88" i="7"/>
  <c r="L88" i="7"/>
  <c r="K88" i="7"/>
  <c r="F88" i="7"/>
  <c r="E88" i="7"/>
  <c r="H88" i="7" s="1"/>
  <c r="I88" i="7" s="1"/>
  <c r="C88" i="7"/>
  <c r="B88" i="7"/>
  <c r="N88" i="7" s="1"/>
  <c r="O88" i="7" s="1"/>
  <c r="AD87" i="7"/>
  <c r="AC87" i="7"/>
  <c r="AA87" i="7"/>
  <c r="W87" i="7"/>
  <c r="X87" i="7" s="1"/>
  <c r="U87" i="7"/>
  <c r="R87" i="7"/>
  <c r="N87" i="7"/>
  <c r="O87" i="7" s="1"/>
  <c r="L87" i="7"/>
  <c r="I87" i="7"/>
  <c r="H87" i="7"/>
  <c r="F87" i="7"/>
  <c r="C87" i="7"/>
  <c r="AD86" i="7"/>
  <c r="AC86" i="7"/>
  <c r="AA86" i="7"/>
  <c r="X86" i="7"/>
  <c r="W86" i="7"/>
  <c r="U86" i="7"/>
  <c r="R86" i="7"/>
  <c r="O86" i="7"/>
  <c r="N86" i="7"/>
  <c r="L86" i="7"/>
  <c r="H86" i="7"/>
  <c r="I86" i="7" s="1"/>
  <c r="F86" i="7"/>
  <c r="C86" i="7"/>
  <c r="AC85" i="7"/>
  <c r="AD85" i="7" s="1"/>
  <c r="AA85" i="7"/>
  <c r="W85" i="7"/>
  <c r="X85" i="7" s="1"/>
  <c r="U85" i="7"/>
  <c r="R85" i="7"/>
  <c r="O85" i="7"/>
  <c r="N85" i="7"/>
  <c r="L85" i="7"/>
  <c r="I85" i="7"/>
  <c r="H85" i="7"/>
  <c r="F85" i="7"/>
  <c r="C85" i="7"/>
  <c r="AD84" i="7"/>
  <c r="AC84" i="7"/>
  <c r="AA84" i="7"/>
  <c r="W84" i="7"/>
  <c r="X84" i="7" s="1"/>
  <c r="U84" i="7"/>
  <c r="R84" i="7"/>
  <c r="N84" i="7"/>
  <c r="O84" i="7" s="1"/>
  <c r="L84" i="7"/>
  <c r="H84" i="7"/>
  <c r="I84" i="7" s="1"/>
  <c r="F84" i="7"/>
  <c r="C84" i="7"/>
  <c r="AC83" i="7"/>
  <c r="AD83" i="7" s="1"/>
  <c r="AA83" i="7"/>
  <c r="X83" i="7"/>
  <c r="W83" i="7"/>
  <c r="U83" i="7"/>
  <c r="R83" i="7"/>
  <c r="N83" i="7"/>
  <c r="O83" i="7" s="1"/>
  <c r="L83" i="7"/>
  <c r="I83" i="7"/>
  <c r="H83" i="7"/>
  <c r="F83" i="7"/>
  <c r="C83" i="7"/>
  <c r="AD82" i="7"/>
  <c r="AC82" i="7"/>
  <c r="AA82" i="7"/>
  <c r="W82" i="7"/>
  <c r="X82" i="7" s="1"/>
  <c r="U82" i="7"/>
  <c r="R82" i="7"/>
  <c r="N82" i="7"/>
  <c r="O82" i="7" s="1"/>
  <c r="L82" i="7"/>
  <c r="H82" i="7"/>
  <c r="I82" i="7" s="1"/>
  <c r="F82" i="7"/>
  <c r="C82" i="7"/>
  <c r="AD81" i="7"/>
  <c r="AC81" i="7"/>
  <c r="AA81" i="7"/>
  <c r="W81" i="7"/>
  <c r="X81" i="7" s="1"/>
  <c r="U81" i="7"/>
  <c r="R81" i="7"/>
  <c r="N81" i="7"/>
  <c r="O81" i="7" s="1"/>
  <c r="L81" i="7"/>
  <c r="I81" i="7"/>
  <c r="H81" i="7"/>
  <c r="F81" i="7"/>
  <c r="C81" i="7"/>
  <c r="AD80" i="7"/>
  <c r="AC80" i="7"/>
  <c r="AA80" i="7"/>
  <c r="X80" i="7"/>
  <c r="W80" i="7"/>
  <c r="U80" i="7"/>
  <c r="R80" i="7"/>
  <c r="N80" i="7"/>
  <c r="O80" i="7" s="1"/>
  <c r="L80" i="7"/>
  <c r="I80" i="7"/>
  <c r="H80" i="7"/>
  <c r="F80" i="7"/>
  <c r="C80" i="7"/>
  <c r="AC79" i="7"/>
  <c r="AD79" i="7" s="1"/>
  <c r="AA79" i="7"/>
  <c r="W79" i="7"/>
  <c r="X79" i="7" s="1"/>
  <c r="U79" i="7"/>
  <c r="R79" i="7"/>
  <c r="N79" i="7"/>
  <c r="O79" i="7" s="1"/>
  <c r="L79" i="7"/>
  <c r="H79" i="7"/>
  <c r="I79" i="7" s="1"/>
  <c r="F79" i="7"/>
  <c r="C79" i="7"/>
  <c r="AD78" i="7"/>
  <c r="AC78" i="7"/>
  <c r="AA78" i="7"/>
  <c r="W78" i="7"/>
  <c r="X78" i="7" s="1"/>
  <c r="U78" i="7"/>
  <c r="R78" i="7"/>
  <c r="O78" i="7"/>
  <c r="N78" i="7"/>
  <c r="L78" i="7"/>
  <c r="I78" i="7"/>
  <c r="H78" i="7"/>
  <c r="F78" i="7"/>
  <c r="C78" i="7"/>
  <c r="AC77" i="7"/>
  <c r="AD77" i="7" s="1"/>
  <c r="AA77" i="7"/>
  <c r="W77" i="7"/>
  <c r="X77" i="7" s="1"/>
  <c r="U77" i="7"/>
  <c r="R77" i="7"/>
  <c r="N77" i="7"/>
  <c r="O77" i="7" s="1"/>
  <c r="L77" i="7"/>
  <c r="I77" i="7"/>
  <c r="H77" i="7"/>
  <c r="F77" i="7"/>
  <c r="C77" i="7"/>
  <c r="AC76" i="7"/>
  <c r="AD76" i="7" s="1"/>
  <c r="AA76" i="7"/>
  <c r="W76" i="7"/>
  <c r="X76" i="7" s="1"/>
  <c r="U76" i="7"/>
  <c r="R76" i="7"/>
  <c r="O76" i="7"/>
  <c r="N76" i="7"/>
  <c r="L76" i="7"/>
  <c r="I76" i="7"/>
  <c r="H76" i="7"/>
  <c r="F76" i="7"/>
  <c r="C76" i="7"/>
  <c r="AC75" i="7"/>
  <c r="AD75" i="7" s="1"/>
  <c r="AA75" i="7"/>
  <c r="W75" i="7"/>
  <c r="X75" i="7" s="1"/>
  <c r="U75" i="7"/>
  <c r="R75" i="7"/>
  <c r="N75" i="7"/>
  <c r="O75" i="7" s="1"/>
  <c r="L75" i="7"/>
  <c r="H75" i="7"/>
  <c r="I75" i="7" s="1"/>
  <c r="F75" i="7"/>
  <c r="C75" i="7"/>
  <c r="AD73" i="7"/>
  <c r="AA73" i="7"/>
  <c r="Z73" i="7"/>
  <c r="T73" i="7"/>
  <c r="W73" i="7" s="1"/>
  <c r="X73" i="7" s="1"/>
  <c r="R73" i="7"/>
  <c r="Q73" i="7"/>
  <c r="AC73" i="7" s="1"/>
  <c r="O73" i="7"/>
  <c r="K73" i="7"/>
  <c r="L73" i="7" s="1"/>
  <c r="I73" i="7"/>
  <c r="H73" i="7"/>
  <c r="F73" i="7"/>
  <c r="E73" i="7"/>
  <c r="C73" i="7"/>
  <c r="B73" i="7"/>
  <c r="N73" i="7" s="1"/>
  <c r="AC72" i="7"/>
  <c r="AD72" i="7" s="1"/>
  <c r="AA72" i="7"/>
  <c r="X72" i="7"/>
  <c r="W72" i="7"/>
  <c r="U72" i="7"/>
  <c r="R72" i="7"/>
  <c r="O72" i="7"/>
  <c r="N72" i="7"/>
  <c r="L72" i="7"/>
  <c r="H72" i="7"/>
  <c r="I72" i="7" s="1"/>
  <c r="F72" i="7"/>
  <c r="C72" i="7"/>
  <c r="AD71" i="7"/>
  <c r="AC71" i="7"/>
  <c r="AA71" i="7"/>
  <c r="X71" i="7"/>
  <c r="W71" i="7"/>
  <c r="U71" i="7"/>
  <c r="R71" i="7"/>
  <c r="N71" i="7"/>
  <c r="O71" i="7" s="1"/>
  <c r="L71" i="7"/>
  <c r="I71" i="7"/>
  <c r="H71" i="7"/>
  <c r="F71" i="7"/>
  <c r="C71" i="7"/>
  <c r="AD70" i="7"/>
  <c r="AC70" i="7"/>
  <c r="AA70" i="7"/>
  <c r="X70" i="7"/>
  <c r="W70" i="7"/>
  <c r="U70" i="7"/>
  <c r="R70" i="7"/>
  <c r="N70" i="7"/>
  <c r="O70" i="7" s="1"/>
  <c r="L70" i="7"/>
  <c r="H70" i="7"/>
  <c r="I70" i="7" s="1"/>
  <c r="F70" i="7"/>
  <c r="C70" i="7"/>
  <c r="AD69" i="7"/>
  <c r="AC69" i="7"/>
  <c r="AA69" i="7"/>
  <c r="W69" i="7"/>
  <c r="X69" i="7" s="1"/>
  <c r="U69" i="7"/>
  <c r="R69" i="7"/>
  <c r="O69" i="7"/>
  <c r="N69" i="7"/>
  <c r="L69" i="7"/>
  <c r="I69" i="7"/>
  <c r="H69" i="7"/>
  <c r="F69" i="7"/>
  <c r="C69" i="7"/>
  <c r="AD68" i="7"/>
  <c r="AC68" i="7"/>
  <c r="AA68" i="7"/>
  <c r="X68" i="7"/>
  <c r="W68" i="7"/>
  <c r="U68" i="7"/>
  <c r="R68" i="7"/>
  <c r="N68" i="7"/>
  <c r="O68" i="7" s="1"/>
  <c r="L68" i="7"/>
  <c r="H68" i="7"/>
  <c r="I68" i="7" s="1"/>
  <c r="F68" i="7"/>
  <c r="C68" i="7"/>
  <c r="AD67" i="7"/>
  <c r="AC67" i="7"/>
  <c r="AA67" i="7"/>
  <c r="X67" i="7"/>
  <c r="W67" i="7"/>
  <c r="U67" i="7"/>
  <c r="R67" i="7"/>
  <c r="N67" i="7"/>
  <c r="O67" i="7" s="1"/>
  <c r="L67" i="7"/>
  <c r="I67" i="7"/>
  <c r="H67" i="7"/>
  <c r="F67" i="7"/>
  <c r="C67" i="7"/>
  <c r="AD66" i="7"/>
  <c r="AC66" i="7"/>
  <c r="AA66" i="7"/>
  <c r="X66" i="7"/>
  <c r="W66" i="7"/>
  <c r="U66" i="7"/>
  <c r="R66" i="7"/>
  <c r="N66" i="7"/>
  <c r="O66" i="7" s="1"/>
  <c r="L66" i="7"/>
  <c r="I66" i="7"/>
  <c r="H66" i="7"/>
  <c r="F66" i="7"/>
  <c r="C66" i="7"/>
  <c r="AD65" i="7"/>
  <c r="AC65" i="7"/>
  <c r="AA65" i="7"/>
  <c r="W65" i="7"/>
  <c r="X65" i="7" s="1"/>
  <c r="U65" i="7"/>
  <c r="R65" i="7"/>
  <c r="O65" i="7"/>
  <c r="N65" i="7"/>
  <c r="L65" i="7"/>
  <c r="I65" i="7"/>
  <c r="H65" i="7"/>
  <c r="F65" i="7"/>
  <c r="C65" i="7"/>
  <c r="AC64" i="7"/>
  <c r="AD64" i="7" s="1"/>
  <c r="AA64" i="7"/>
  <c r="X64" i="7"/>
  <c r="W64" i="7"/>
  <c r="U64" i="7"/>
  <c r="R64" i="7"/>
  <c r="O64" i="7"/>
  <c r="N64" i="7"/>
  <c r="L64" i="7"/>
  <c r="I64" i="7"/>
  <c r="H64" i="7"/>
  <c r="F64" i="7"/>
  <c r="C64" i="7"/>
  <c r="AC62" i="7"/>
  <c r="AD62" i="7" s="1"/>
  <c r="Z62" i="7"/>
  <c r="AA62" i="7" s="1"/>
  <c r="U62" i="7"/>
  <c r="T62" i="7"/>
  <c r="Q62" i="7"/>
  <c r="W62" i="7" s="1"/>
  <c r="X62" i="7" s="1"/>
  <c r="L62" i="7"/>
  <c r="K62" i="7"/>
  <c r="E62" i="7"/>
  <c r="F62" i="7" s="1"/>
  <c r="B62" i="7"/>
  <c r="H62" i="7" s="1"/>
  <c r="I62" i="7" s="1"/>
  <c r="AA61" i="7"/>
  <c r="Z61" i="7"/>
  <c r="T61" i="7"/>
  <c r="W61" i="7" s="1"/>
  <c r="X61" i="7" s="1"/>
  <c r="R61" i="7"/>
  <c r="Q61" i="7"/>
  <c r="AC61" i="7" s="1"/>
  <c r="AD61" i="7" s="1"/>
  <c r="L61" i="7"/>
  <c r="K61" i="7"/>
  <c r="E61" i="7"/>
  <c r="H61" i="7" s="1"/>
  <c r="I61" i="7" s="1"/>
  <c r="C61" i="7"/>
  <c r="B61" i="7"/>
  <c r="AD60" i="7"/>
  <c r="AC60" i="7"/>
  <c r="AA60" i="7"/>
  <c r="X60" i="7"/>
  <c r="W60" i="7"/>
  <c r="U60" i="7"/>
  <c r="R60" i="7"/>
  <c r="N60" i="7"/>
  <c r="O60" i="7" s="1"/>
  <c r="L60" i="7"/>
  <c r="I60" i="7"/>
  <c r="H60" i="7"/>
  <c r="F60" i="7"/>
  <c r="C60" i="7"/>
  <c r="AD59" i="7"/>
  <c r="AC59" i="7"/>
  <c r="AA59" i="7"/>
  <c r="X59" i="7"/>
  <c r="W59" i="7"/>
  <c r="U59" i="7"/>
  <c r="R59" i="7"/>
  <c r="O59" i="7"/>
  <c r="N59" i="7"/>
  <c r="L59" i="7"/>
  <c r="H59" i="7"/>
  <c r="I59" i="7" s="1"/>
  <c r="F59" i="7"/>
  <c r="C59" i="7"/>
  <c r="AD58" i="7"/>
  <c r="AC58" i="7"/>
  <c r="AA58" i="7"/>
  <c r="W58" i="7"/>
  <c r="X58" i="7" s="1"/>
  <c r="U58" i="7"/>
  <c r="R58" i="7"/>
  <c r="O58" i="7"/>
  <c r="N58" i="7"/>
  <c r="L58" i="7"/>
  <c r="I58" i="7"/>
  <c r="H58" i="7"/>
  <c r="F58" i="7"/>
  <c r="C58" i="7"/>
  <c r="AD57" i="7"/>
  <c r="AC57" i="7"/>
  <c r="AA57" i="7"/>
  <c r="X57" i="7"/>
  <c r="W57" i="7"/>
  <c r="U57" i="7"/>
  <c r="R57" i="7"/>
  <c r="N57" i="7"/>
  <c r="O57" i="7" s="1"/>
  <c r="L57" i="7"/>
  <c r="H57" i="7"/>
  <c r="I57" i="7" s="1"/>
  <c r="F57" i="7"/>
  <c r="C57" i="7"/>
  <c r="AD56" i="7"/>
  <c r="AC56" i="7"/>
  <c r="AA56" i="7"/>
  <c r="X56" i="7"/>
  <c r="W56" i="7"/>
  <c r="U56" i="7"/>
  <c r="R56" i="7"/>
  <c r="N56" i="7"/>
  <c r="O56" i="7" s="1"/>
  <c r="L56" i="7"/>
  <c r="H56" i="7"/>
  <c r="I56" i="7" s="1"/>
  <c r="F56" i="7"/>
  <c r="C56" i="7"/>
  <c r="AD55" i="7"/>
  <c r="AC55" i="7"/>
  <c r="AA55" i="7"/>
  <c r="X55" i="7"/>
  <c r="W55" i="7"/>
  <c r="U55" i="7"/>
  <c r="R55" i="7"/>
  <c r="O55" i="7"/>
  <c r="N55" i="7"/>
  <c r="L55" i="7"/>
  <c r="H55" i="7"/>
  <c r="I55" i="7" s="1"/>
  <c r="F55" i="7"/>
  <c r="C55" i="7"/>
  <c r="AD54" i="7"/>
  <c r="AC54" i="7"/>
  <c r="AA54" i="7"/>
  <c r="W54" i="7"/>
  <c r="X54" i="7" s="1"/>
  <c r="U54" i="7"/>
  <c r="R54" i="7"/>
  <c r="N54" i="7"/>
  <c r="O54" i="7" s="1"/>
  <c r="L54" i="7"/>
  <c r="I54" i="7"/>
  <c r="H54" i="7"/>
  <c r="F54" i="7"/>
  <c r="C54" i="7"/>
  <c r="AD53" i="7"/>
  <c r="AC53" i="7"/>
  <c r="AA53" i="7"/>
  <c r="X53" i="7"/>
  <c r="W53" i="7"/>
  <c r="U53" i="7"/>
  <c r="R53" i="7"/>
  <c r="N53" i="7"/>
  <c r="O53" i="7" s="1"/>
  <c r="L53" i="7"/>
  <c r="I53" i="7"/>
  <c r="H53" i="7"/>
  <c r="F53" i="7"/>
  <c r="C53" i="7"/>
  <c r="AC52" i="7"/>
  <c r="AD52" i="7" s="1"/>
  <c r="AA52" i="7"/>
  <c r="W52" i="7"/>
  <c r="X52" i="7" s="1"/>
  <c r="U52" i="7"/>
  <c r="R52" i="7"/>
  <c r="N52" i="7"/>
  <c r="O52" i="7" s="1"/>
  <c r="L52" i="7"/>
  <c r="H52" i="7"/>
  <c r="I52" i="7" s="1"/>
  <c r="F52" i="7"/>
  <c r="C52" i="7"/>
  <c r="AD51" i="7"/>
  <c r="AC51" i="7"/>
  <c r="AA51" i="7"/>
  <c r="W51" i="7"/>
  <c r="X51" i="7" s="1"/>
  <c r="U51" i="7"/>
  <c r="R51" i="7"/>
  <c r="O51" i="7"/>
  <c r="N51" i="7"/>
  <c r="L51" i="7"/>
  <c r="I51" i="7"/>
  <c r="H51" i="7"/>
  <c r="F51" i="7"/>
  <c r="C51" i="7"/>
  <c r="AC50" i="7"/>
  <c r="AD50" i="7" s="1"/>
  <c r="AA50" i="7"/>
  <c r="W50" i="7"/>
  <c r="X50" i="7" s="1"/>
  <c r="U50" i="7"/>
  <c r="R50" i="7"/>
  <c r="O50" i="7"/>
  <c r="N50" i="7"/>
  <c r="L50" i="7"/>
  <c r="I50" i="7"/>
  <c r="H50" i="7"/>
  <c r="F50" i="7"/>
  <c r="C50" i="7"/>
  <c r="AC49" i="7"/>
  <c r="AD49" i="7" s="1"/>
  <c r="AA49" i="7"/>
  <c r="X49" i="7"/>
  <c r="W49" i="7"/>
  <c r="U49" i="7"/>
  <c r="R49" i="7"/>
  <c r="O49" i="7"/>
  <c r="N49" i="7"/>
  <c r="L49" i="7"/>
  <c r="I49" i="7"/>
  <c r="H49" i="7"/>
  <c r="F49" i="7"/>
  <c r="C49" i="7"/>
  <c r="AC48" i="7"/>
  <c r="AD48" i="7" s="1"/>
  <c r="AA48" i="7"/>
  <c r="W48" i="7"/>
  <c r="X48" i="7" s="1"/>
  <c r="U48" i="7"/>
  <c r="R48" i="7"/>
  <c r="N48" i="7"/>
  <c r="O48" i="7" s="1"/>
  <c r="L48" i="7"/>
  <c r="I48" i="7"/>
  <c r="H48" i="7"/>
  <c r="F48" i="7"/>
  <c r="C48" i="7"/>
  <c r="AD47" i="7"/>
  <c r="AC47" i="7"/>
  <c r="AA47" i="7"/>
  <c r="W47" i="7"/>
  <c r="X47" i="7" s="1"/>
  <c r="U47" i="7"/>
  <c r="R47" i="7"/>
  <c r="O47" i="7"/>
  <c r="N47" i="7"/>
  <c r="L47" i="7"/>
  <c r="I47" i="7"/>
  <c r="H47" i="7"/>
  <c r="F47" i="7"/>
  <c r="C47" i="7"/>
  <c r="AD46" i="7"/>
  <c r="AC46" i="7"/>
  <c r="AA46" i="7"/>
  <c r="W46" i="7"/>
  <c r="X46" i="7" s="1"/>
  <c r="U46" i="7"/>
  <c r="R46" i="7"/>
  <c r="O46" i="7"/>
  <c r="N46" i="7"/>
  <c r="L46" i="7"/>
  <c r="I46" i="7"/>
  <c r="H46" i="7"/>
  <c r="F46" i="7"/>
  <c r="C46" i="7"/>
  <c r="AC44" i="7"/>
  <c r="AD44" i="7" s="1"/>
  <c r="AA44" i="7"/>
  <c r="X44" i="7"/>
  <c r="W44" i="7"/>
  <c r="U44" i="7"/>
  <c r="R44" i="7"/>
  <c r="O44" i="7"/>
  <c r="N44" i="7"/>
  <c r="L44" i="7"/>
  <c r="H44" i="7"/>
  <c r="I44" i="7" s="1"/>
  <c r="F44" i="7"/>
  <c r="C44" i="7"/>
  <c r="AC43" i="7"/>
  <c r="AD43" i="7" s="1"/>
  <c r="AA43" i="7"/>
  <c r="X43" i="7"/>
  <c r="W43" i="7"/>
  <c r="U43" i="7"/>
  <c r="R43" i="7"/>
  <c r="N43" i="7"/>
  <c r="O43" i="7" s="1"/>
  <c r="L43" i="7"/>
  <c r="I43" i="7"/>
  <c r="H43" i="7"/>
  <c r="F43" i="7"/>
  <c r="C43" i="7"/>
  <c r="AD42" i="7"/>
  <c r="AC42" i="7"/>
  <c r="AA42" i="7"/>
  <c r="W42" i="7"/>
  <c r="X42" i="7" s="1"/>
  <c r="U42" i="7"/>
  <c r="R42" i="7"/>
  <c r="O42" i="7"/>
  <c r="N42" i="7"/>
  <c r="L42" i="7"/>
  <c r="H42" i="7"/>
  <c r="I42" i="7" s="1"/>
  <c r="F42" i="7"/>
  <c r="C42" i="7"/>
  <c r="AA40" i="7"/>
  <c r="Z40" i="7"/>
  <c r="T40" i="7"/>
  <c r="W40" i="7" s="1"/>
  <c r="X40" i="7" s="1"/>
  <c r="R40" i="7"/>
  <c r="Q40" i="7"/>
  <c r="AC40" i="7" s="1"/>
  <c r="AD40" i="7" s="1"/>
  <c r="L40" i="7"/>
  <c r="K40" i="7"/>
  <c r="E40" i="7"/>
  <c r="H40" i="7" s="1"/>
  <c r="I40" i="7" s="1"/>
  <c r="C40" i="7"/>
  <c r="B40" i="7"/>
  <c r="AD39" i="7"/>
  <c r="AC39" i="7"/>
  <c r="AA39" i="7"/>
  <c r="W39" i="7"/>
  <c r="X39" i="7" s="1"/>
  <c r="U39" i="7"/>
  <c r="R39" i="7"/>
  <c r="N39" i="7"/>
  <c r="O39" i="7" s="1"/>
  <c r="L39" i="7"/>
  <c r="I39" i="7"/>
  <c r="H39" i="7"/>
  <c r="F39" i="7"/>
  <c r="C39" i="7"/>
  <c r="AD38" i="7"/>
  <c r="AC38" i="7"/>
  <c r="AA38" i="7"/>
  <c r="X38" i="7"/>
  <c r="W38" i="7"/>
  <c r="U38" i="7"/>
  <c r="R38" i="7"/>
  <c r="O38" i="7"/>
  <c r="N38" i="7"/>
  <c r="L38" i="7"/>
  <c r="H38" i="7"/>
  <c r="I38" i="7" s="1"/>
  <c r="F38" i="7"/>
  <c r="C38" i="7"/>
  <c r="AD37" i="7"/>
  <c r="AC37" i="7"/>
  <c r="AA37" i="7"/>
  <c r="W37" i="7"/>
  <c r="X37" i="7" s="1"/>
  <c r="U37" i="7"/>
  <c r="R37" i="7"/>
  <c r="O37" i="7"/>
  <c r="N37" i="7"/>
  <c r="L37" i="7"/>
  <c r="I37" i="7"/>
  <c r="H37" i="7"/>
  <c r="F37" i="7"/>
  <c r="C37" i="7"/>
  <c r="AC36" i="7"/>
  <c r="AD36" i="7" s="1"/>
  <c r="AA36" i="7"/>
  <c r="X36" i="7"/>
  <c r="W36" i="7"/>
  <c r="U36" i="7"/>
  <c r="R36" i="7"/>
  <c r="N36" i="7"/>
  <c r="O36" i="7" s="1"/>
  <c r="L36" i="7"/>
  <c r="H36" i="7"/>
  <c r="I36" i="7" s="1"/>
  <c r="F36" i="7"/>
  <c r="C36" i="7"/>
  <c r="AD35" i="7"/>
  <c r="AC35" i="7"/>
  <c r="AA35" i="7"/>
  <c r="X35" i="7"/>
  <c r="W35" i="7"/>
  <c r="U35" i="7"/>
  <c r="R35" i="7"/>
  <c r="N35" i="7"/>
  <c r="O35" i="7" s="1"/>
  <c r="L35" i="7"/>
  <c r="H35" i="7"/>
  <c r="I35" i="7" s="1"/>
  <c r="F35" i="7"/>
  <c r="C35" i="7"/>
  <c r="AD34" i="7"/>
  <c r="AC34" i="7"/>
  <c r="AA34" i="7"/>
  <c r="X34" i="7"/>
  <c r="W34" i="7"/>
  <c r="U34" i="7"/>
  <c r="R34" i="7"/>
  <c r="O34" i="7"/>
  <c r="N34" i="7"/>
  <c r="L34" i="7"/>
  <c r="I34" i="7"/>
  <c r="H34" i="7"/>
  <c r="F34" i="7"/>
  <c r="C34" i="7"/>
  <c r="AD33" i="7"/>
  <c r="AC33" i="7"/>
  <c r="AA33" i="7"/>
  <c r="W33" i="7"/>
  <c r="X33" i="7" s="1"/>
  <c r="U33" i="7"/>
  <c r="R33" i="7"/>
  <c r="N33" i="7"/>
  <c r="O33" i="7" s="1"/>
  <c r="L33" i="7"/>
  <c r="I33" i="7"/>
  <c r="H33" i="7"/>
  <c r="F33" i="7"/>
  <c r="C33" i="7"/>
  <c r="AD32" i="7"/>
  <c r="AC32" i="7"/>
  <c r="AA32" i="7"/>
  <c r="X32" i="7"/>
  <c r="W32" i="7"/>
  <c r="U32" i="7"/>
  <c r="R32" i="7"/>
  <c r="O32" i="7"/>
  <c r="N32" i="7"/>
  <c r="L32" i="7"/>
  <c r="H32" i="7"/>
  <c r="I32" i="7" s="1"/>
  <c r="F32" i="7"/>
  <c r="C32" i="7"/>
  <c r="AC31" i="7"/>
  <c r="AD31" i="7" s="1"/>
  <c r="AA31" i="7"/>
  <c r="W31" i="7"/>
  <c r="X31" i="7" s="1"/>
  <c r="U31" i="7"/>
  <c r="R31" i="7"/>
  <c r="N31" i="7"/>
  <c r="O31" i="7" s="1"/>
  <c r="L31" i="7"/>
  <c r="H31" i="7"/>
  <c r="I31" i="7" s="1"/>
  <c r="F31" i="7"/>
  <c r="C31" i="7"/>
  <c r="AA29" i="7"/>
  <c r="Z29" i="7"/>
  <c r="T29" i="7"/>
  <c r="W29" i="7" s="1"/>
  <c r="X29" i="7" s="1"/>
  <c r="R29" i="7"/>
  <c r="Q29" i="7"/>
  <c r="AC29" i="7" s="1"/>
  <c r="AD29" i="7" s="1"/>
  <c r="K29" i="7"/>
  <c r="L29" i="7" s="1"/>
  <c r="H29" i="7"/>
  <c r="I29" i="7" s="1"/>
  <c r="F29" i="7"/>
  <c r="E29" i="7"/>
  <c r="C29" i="7"/>
  <c r="B29" i="7"/>
  <c r="AC28" i="7"/>
  <c r="AD28" i="7" s="1"/>
  <c r="AA28" i="7"/>
  <c r="X28" i="7"/>
  <c r="W28" i="7"/>
  <c r="U28" i="7"/>
  <c r="R28" i="7"/>
  <c r="N28" i="7"/>
  <c r="O28" i="7" s="1"/>
  <c r="L28" i="7"/>
  <c r="I28" i="7"/>
  <c r="H28" i="7"/>
  <c r="F28" i="7"/>
  <c r="C28" i="7"/>
  <c r="AD27" i="7"/>
  <c r="AC27" i="7"/>
  <c r="AA27" i="7"/>
  <c r="W27" i="7"/>
  <c r="X27" i="7" s="1"/>
  <c r="U27" i="7"/>
  <c r="R27" i="7"/>
  <c r="N27" i="7"/>
  <c r="O27" i="7" s="1"/>
  <c r="L27" i="7"/>
  <c r="H27" i="7"/>
  <c r="I27" i="7" s="1"/>
  <c r="F27" i="7"/>
  <c r="C27" i="7"/>
  <c r="AD26" i="7"/>
  <c r="AC26" i="7"/>
  <c r="AA26" i="7"/>
  <c r="X26" i="7"/>
  <c r="W26" i="7"/>
  <c r="U26" i="7"/>
  <c r="R26" i="7"/>
  <c r="O26" i="7"/>
  <c r="N26" i="7"/>
  <c r="L26" i="7"/>
  <c r="H26" i="7"/>
  <c r="I26" i="7" s="1"/>
  <c r="F26" i="7"/>
  <c r="C26" i="7"/>
  <c r="AD25" i="7"/>
  <c r="AC25" i="7"/>
  <c r="AA25" i="7"/>
  <c r="W25" i="7"/>
  <c r="X25" i="7" s="1"/>
  <c r="U25" i="7"/>
  <c r="R25" i="7"/>
  <c r="N25" i="7"/>
  <c r="O25" i="7" s="1"/>
  <c r="L25" i="7"/>
  <c r="I25" i="7"/>
  <c r="H25" i="7"/>
  <c r="F25" i="7"/>
  <c r="C25" i="7"/>
  <c r="AD24" i="7"/>
  <c r="AC24" i="7"/>
  <c r="AA24" i="7"/>
  <c r="X24" i="7"/>
  <c r="W24" i="7"/>
  <c r="U24" i="7"/>
  <c r="R24" i="7"/>
  <c r="N24" i="7"/>
  <c r="O24" i="7" s="1"/>
  <c r="L24" i="7"/>
  <c r="I24" i="7"/>
  <c r="H24" i="7"/>
  <c r="F24" i="7"/>
  <c r="C24" i="7"/>
  <c r="AC23" i="7"/>
  <c r="AD23" i="7" s="1"/>
  <c r="AA23" i="7"/>
  <c r="W23" i="7"/>
  <c r="X23" i="7" s="1"/>
  <c r="U23" i="7"/>
  <c r="R23" i="7"/>
  <c r="N23" i="7"/>
  <c r="O23" i="7" s="1"/>
  <c r="L23" i="7"/>
  <c r="H23" i="7"/>
  <c r="I23" i="7" s="1"/>
  <c r="F23" i="7"/>
  <c r="C23" i="7"/>
  <c r="AD22" i="7"/>
  <c r="AC22" i="7"/>
  <c r="AA22" i="7"/>
  <c r="W22" i="7"/>
  <c r="X22" i="7" s="1"/>
  <c r="U22" i="7"/>
  <c r="R22" i="7"/>
  <c r="O22" i="7"/>
  <c r="N22" i="7"/>
  <c r="L22" i="7"/>
  <c r="I22" i="7"/>
  <c r="H22" i="7"/>
  <c r="F22" i="7"/>
  <c r="C22" i="7"/>
  <c r="AC21" i="7"/>
  <c r="AD21" i="7" s="1"/>
  <c r="AA21" i="7"/>
  <c r="W21" i="7"/>
  <c r="X21" i="7" s="1"/>
  <c r="U21" i="7"/>
  <c r="R21" i="7"/>
  <c r="O21" i="7"/>
  <c r="N21" i="7"/>
  <c r="L21" i="7"/>
  <c r="I21" i="7"/>
  <c r="H21" i="7"/>
  <c r="F21" i="7"/>
  <c r="C21" i="7"/>
  <c r="AC19" i="7"/>
  <c r="AD19" i="7" s="1"/>
  <c r="AA19" i="7"/>
  <c r="X19" i="7"/>
  <c r="W19" i="7"/>
  <c r="U19" i="7"/>
  <c r="R19" i="7"/>
  <c r="O19" i="7"/>
  <c r="N19" i="7"/>
  <c r="L19" i="7"/>
  <c r="I19" i="7"/>
  <c r="H19" i="7"/>
  <c r="F19" i="7"/>
  <c r="C19" i="7"/>
  <c r="Z18" i="7"/>
  <c r="AA18" i="7" s="1"/>
  <c r="U18" i="7"/>
  <c r="T18" i="7"/>
  <c r="Q18" i="7"/>
  <c r="W18" i="7" s="1"/>
  <c r="X18" i="7" s="1"/>
  <c r="N18" i="7"/>
  <c r="O18" i="7" s="1"/>
  <c r="L18" i="7"/>
  <c r="K18" i="7"/>
  <c r="F18" i="7"/>
  <c r="E18" i="7"/>
  <c r="C18" i="7"/>
  <c r="B18" i="7"/>
  <c r="AC17" i="7"/>
  <c r="AD17" i="7" s="1"/>
  <c r="AA17" i="7"/>
  <c r="W17" i="7"/>
  <c r="X17" i="7" s="1"/>
  <c r="U17" i="7"/>
  <c r="R17" i="7"/>
  <c r="O17" i="7"/>
  <c r="N17" i="7"/>
  <c r="L17" i="7"/>
  <c r="I17" i="7"/>
  <c r="H17" i="7"/>
  <c r="F17" i="7"/>
  <c r="C17" i="7"/>
  <c r="AD16" i="7"/>
  <c r="AC16" i="7"/>
  <c r="AA16" i="7"/>
  <c r="X16" i="7"/>
  <c r="W16" i="7"/>
  <c r="U16" i="7"/>
  <c r="R16" i="7"/>
  <c r="O16" i="7"/>
  <c r="N16" i="7"/>
  <c r="L16" i="7"/>
  <c r="I16" i="7"/>
  <c r="H16" i="7"/>
  <c r="F16" i="7"/>
  <c r="C16" i="7"/>
  <c r="AC15" i="7"/>
  <c r="AD15" i="7" s="1"/>
  <c r="AA15" i="7"/>
  <c r="X15" i="7"/>
  <c r="W15" i="7"/>
  <c r="U15" i="7"/>
  <c r="R15" i="7"/>
  <c r="N15" i="7"/>
  <c r="O15" i="7" s="1"/>
  <c r="L15" i="7"/>
  <c r="H15" i="7"/>
  <c r="I15" i="7" s="1"/>
  <c r="F15" i="7"/>
  <c r="C15" i="7"/>
  <c r="AD14" i="7"/>
  <c r="AC14" i="7"/>
  <c r="AA14" i="7"/>
  <c r="W14" i="7"/>
  <c r="X14" i="7" s="1"/>
  <c r="U14" i="7"/>
  <c r="R14" i="7"/>
  <c r="O14" i="7"/>
  <c r="N14" i="7"/>
  <c r="L14" i="7"/>
  <c r="I14" i="7"/>
  <c r="H14" i="7"/>
  <c r="F14" i="7"/>
  <c r="C14" i="7"/>
  <c r="AD13" i="7"/>
  <c r="AC13" i="7"/>
  <c r="AA13" i="7"/>
  <c r="W13" i="7"/>
  <c r="X13" i="7" s="1"/>
  <c r="U13" i="7"/>
  <c r="R13" i="7"/>
  <c r="N13" i="7"/>
  <c r="O13" i="7" s="1"/>
  <c r="L13" i="7"/>
  <c r="I13" i="7"/>
  <c r="H13" i="7"/>
  <c r="F13" i="7"/>
  <c r="C13" i="7"/>
  <c r="AC12" i="7"/>
  <c r="AD12" i="7" s="1"/>
  <c r="AA12" i="7"/>
  <c r="X12" i="7"/>
  <c r="W12" i="7"/>
  <c r="U12" i="7"/>
  <c r="R12" i="7"/>
  <c r="O12" i="7"/>
  <c r="N12" i="7"/>
  <c r="L12" i="7"/>
  <c r="H12" i="7"/>
  <c r="I12" i="7" s="1"/>
  <c r="F12" i="7"/>
  <c r="C12" i="7"/>
  <c r="AD11" i="7"/>
  <c r="AC11" i="7"/>
  <c r="AA11" i="7"/>
  <c r="X11" i="7"/>
  <c r="W11" i="7"/>
  <c r="U11" i="7"/>
  <c r="R11" i="7"/>
  <c r="N11" i="7"/>
  <c r="O11" i="7" s="1"/>
  <c r="L11" i="7"/>
  <c r="I11" i="7"/>
  <c r="H11" i="7"/>
  <c r="F11" i="7"/>
  <c r="C11" i="7"/>
  <c r="AD10" i="7"/>
  <c r="AC10" i="7"/>
  <c r="AA10" i="7"/>
  <c r="X10" i="7"/>
  <c r="W10" i="7"/>
  <c r="U10" i="7"/>
  <c r="R10" i="7"/>
  <c r="O10" i="7"/>
  <c r="N10" i="7"/>
  <c r="L10" i="7"/>
  <c r="H10" i="7"/>
  <c r="I10" i="7" s="1"/>
  <c r="F10" i="7"/>
  <c r="C10" i="7"/>
  <c r="AC8" i="7"/>
  <c r="AD8" i="7" s="1"/>
  <c r="AA8" i="7"/>
  <c r="W8" i="7"/>
  <c r="X8" i="7" s="1"/>
  <c r="U8" i="7"/>
  <c r="R8" i="7"/>
  <c r="O8" i="7"/>
  <c r="N8" i="7"/>
  <c r="L8" i="7"/>
  <c r="I8" i="7"/>
  <c r="H8" i="7"/>
  <c r="F8" i="7"/>
  <c r="C8" i="7"/>
  <c r="AC444" i="6"/>
  <c r="W444" i="6"/>
  <c r="X438" i="6" s="1"/>
  <c r="N444" i="6"/>
  <c r="H444" i="6"/>
  <c r="AC442" i="6"/>
  <c r="AD442" i="6" s="1"/>
  <c r="AA442" i="6"/>
  <c r="Z442" i="6"/>
  <c r="U442" i="6"/>
  <c r="T442" i="6"/>
  <c r="R442" i="6"/>
  <c r="Q442" i="6"/>
  <c r="W442" i="6" s="1"/>
  <c r="X442" i="6" s="1"/>
  <c r="L442" i="6"/>
  <c r="K442" i="6"/>
  <c r="F442" i="6"/>
  <c r="E442" i="6"/>
  <c r="B442" i="6"/>
  <c r="N442" i="6" s="1"/>
  <c r="O442" i="6" s="1"/>
  <c r="Z441" i="6"/>
  <c r="AA441" i="6" s="1"/>
  <c r="X441" i="6"/>
  <c r="U441" i="6"/>
  <c r="T441" i="6"/>
  <c r="W441" i="6" s="1"/>
  <c r="R441" i="6"/>
  <c r="Q441" i="6"/>
  <c r="L441" i="6"/>
  <c r="K441" i="6"/>
  <c r="F441" i="6"/>
  <c r="E441" i="6"/>
  <c r="C441" i="6"/>
  <c r="B441" i="6"/>
  <c r="H441" i="6" s="1"/>
  <c r="I441" i="6" s="1"/>
  <c r="AD440" i="6"/>
  <c r="AC440" i="6"/>
  <c r="AA440" i="6"/>
  <c r="X440" i="6"/>
  <c r="W440" i="6"/>
  <c r="U440" i="6"/>
  <c r="R440" i="6"/>
  <c r="N440" i="6"/>
  <c r="O440" i="6" s="1"/>
  <c r="L440" i="6"/>
  <c r="I440" i="6"/>
  <c r="H440" i="6"/>
  <c r="F440" i="6"/>
  <c r="C440" i="6"/>
  <c r="AD439" i="6"/>
  <c r="AC439" i="6"/>
  <c r="AA439" i="6"/>
  <c r="W439" i="6"/>
  <c r="X439" i="6" s="1"/>
  <c r="U439" i="6"/>
  <c r="R439" i="6"/>
  <c r="N439" i="6"/>
  <c r="O439" i="6" s="1"/>
  <c r="L439" i="6"/>
  <c r="I439" i="6"/>
  <c r="H439" i="6"/>
  <c r="F439" i="6"/>
  <c r="C439" i="6"/>
  <c r="AC438" i="6"/>
  <c r="AA438" i="6"/>
  <c r="W438" i="6"/>
  <c r="U438" i="6"/>
  <c r="R438" i="6"/>
  <c r="O438" i="6"/>
  <c r="N438" i="6"/>
  <c r="L438" i="6"/>
  <c r="H438" i="6"/>
  <c r="I438" i="6" s="1"/>
  <c r="F438" i="6"/>
  <c r="C438" i="6"/>
  <c r="AD437" i="6"/>
  <c r="AC437" i="6"/>
  <c r="AA437" i="6"/>
  <c r="W437" i="6"/>
  <c r="X437" i="6" s="1"/>
  <c r="U437" i="6"/>
  <c r="R437" i="6"/>
  <c r="O437" i="6"/>
  <c r="N437" i="6"/>
  <c r="L437" i="6"/>
  <c r="H437" i="6"/>
  <c r="F437" i="6"/>
  <c r="C437" i="6"/>
  <c r="AC436" i="6"/>
  <c r="AD436" i="6" s="1"/>
  <c r="AA436" i="6"/>
  <c r="W436" i="6"/>
  <c r="U436" i="6"/>
  <c r="R436" i="6"/>
  <c r="O436" i="6"/>
  <c r="N436" i="6"/>
  <c r="L436" i="6"/>
  <c r="I436" i="6"/>
  <c r="H436" i="6"/>
  <c r="F436" i="6"/>
  <c r="C436" i="6"/>
  <c r="AC435" i="6"/>
  <c r="AD435" i="6" s="1"/>
  <c r="AA435" i="6"/>
  <c r="X435" i="6"/>
  <c r="W435" i="6"/>
  <c r="U435" i="6"/>
  <c r="R435" i="6"/>
  <c r="N435" i="6"/>
  <c r="O435" i="6" s="1"/>
  <c r="L435" i="6"/>
  <c r="I435" i="6"/>
  <c r="H435" i="6"/>
  <c r="F435" i="6"/>
  <c r="C435" i="6"/>
  <c r="AC434" i="6"/>
  <c r="AA434" i="6"/>
  <c r="W434" i="6"/>
  <c r="X434" i="6" s="1"/>
  <c r="U434" i="6"/>
  <c r="R434" i="6"/>
  <c r="O434" i="6"/>
  <c r="N434" i="6"/>
  <c r="L434" i="6"/>
  <c r="I434" i="6"/>
  <c r="H434" i="6"/>
  <c r="F434" i="6"/>
  <c r="C434" i="6"/>
  <c r="AC433" i="6"/>
  <c r="AD433" i="6" s="1"/>
  <c r="AA433" i="6"/>
  <c r="W433" i="6"/>
  <c r="X433" i="6" s="1"/>
  <c r="U433" i="6"/>
  <c r="R433" i="6"/>
  <c r="N433" i="6"/>
  <c r="O433" i="6" s="1"/>
  <c r="L433" i="6"/>
  <c r="H433" i="6"/>
  <c r="F433" i="6"/>
  <c r="C433" i="6"/>
  <c r="AC432" i="6"/>
  <c r="AA432" i="6"/>
  <c r="X432" i="6"/>
  <c r="W432" i="6"/>
  <c r="U432" i="6"/>
  <c r="R432" i="6"/>
  <c r="O432" i="6"/>
  <c r="N432" i="6"/>
  <c r="L432" i="6"/>
  <c r="H432" i="6"/>
  <c r="I432" i="6" s="1"/>
  <c r="F432" i="6"/>
  <c r="C432" i="6"/>
  <c r="AA429" i="6"/>
  <c r="Z429" i="6"/>
  <c r="W429" i="6"/>
  <c r="X429" i="6" s="1"/>
  <c r="U429" i="6"/>
  <c r="T429" i="6"/>
  <c r="R429" i="6"/>
  <c r="Q429" i="6"/>
  <c r="AC429" i="6" s="1"/>
  <c r="AD429" i="6" s="1"/>
  <c r="L429" i="6"/>
  <c r="K429" i="6"/>
  <c r="E429" i="6"/>
  <c r="F429" i="6" s="1"/>
  <c r="B429" i="6"/>
  <c r="AA428" i="6"/>
  <c r="Z428" i="6"/>
  <c r="T428" i="6"/>
  <c r="W428" i="6" s="1"/>
  <c r="X428" i="6" s="1"/>
  <c r="R428" i="6"/>
  <c r="Q428" i="6"/>
  <c r="AC428" i="6" s="1"/>
  <c r="AD428" i="6" s="1"/>
  <c r="L428" i="6"/>
  <c r="K428" i="6"/>
  <c r="H428" i="6"/>
  <c r="I428" i="6" s="1"/>
  <c r="F428" i="6"/>
  <c r="E428" i="6"/>
  <c r="C428" i="6"/>
  <c r="B428" i="6"/>
  <c r="AD427" i="6"/>
  <c r="AC427" i="6"/>
  <c r="AA427" i="6"/>
  <c r="X427" i="6"/>
  <c r="W427" i="6"/>
  <c r="U427" i="6"/>
  <c r="R427" i="6"/>
  <c r="N427" i="6"/>
  <c r="O427" i="6" s="1"/>
  <c r="L427" i="6"/>
  <c r="I427" i="6"/>
  <c r="H427" i="6"/>
  <c r="F427" i="6"/>
  <c r="C427" i="6"/>
  <c r="AC426" i="6"/>
  <c r="AA426" i="6"/>
  <c r="W426" i="6"/>
  <c r="X426" i="6" s="1"/>
  <c r="U426" i="6"/>
  <c r="R426" i="6"/>
  <c r="O426" i="6"/>
  <c r="N426" i="6"/>
  <c r="L426" i="6"/>
  <c r="I426" i="6"/>
  <c r="H426" i="6"/>
  <c r="F426" i="6"/>
  <c r="C426" i="6"/>
  <c r="AC425" i="6"/>
  <c r="AD425" i="6" s="1"/>
  <c r="AA425" i="6"/>
  <c r="W425" i="6"/>
  <c r="X425" i="6" s="1"/>
  <c r="U425" i="6"/>
  <c r="R425" i="6"/>
  <c r="O425" i="6"/>
  <c r="N425" i="6"/>
  <c r="L425" i="6"/>
  <c r="H425" i="6"/>
  <c r="F425" i="6"/>
  <c r="C425" i="6"/>
  <c r="AC424" i="6"/>
  <c r="AA424" i="6"/>
  <c r="X424" i="6"/>
  <c r="W424" i="6"/>
  <c r="U424" i="6"/>
  <c r="R424" i="6"/>
  <c r="O424" i="6"/>
  <c r="N424" i="6"/>
  <c r="L424" i="6"/>
  <c r="I424" i="6"/>
  <c r="H424" i="6"/>
  <c r="F424" i="6"/>
  <c r="C424" i="6"/>
  <c r="AD423" i="6"/>
  <c r="AC423" i="6"/>
  <c r="AA423" i="6"/>
  <c r="W423" i="6"/>
  <c r="U423" i="6"/>
  <c r="R423" i="6"/>
  <c r="N423" i="6"/>
  <c r="O423" i="6" s="1"/>
  <c r="L423" i="6"/>
  <c r="I423" i="6"/>
  <c r="H423" i="6"/>
  <c r="F423" i="6"/>
  <c r="C423" i="6"/>
  <c r="AC422" i="6"/>
  <c r="AA422" i="6"/>
  <c r="X422" i="6"/>
  <c r="W422" i="6"/>
  <c r="U422" i="6"/>
  <c r="R422" i="6"/>
  <c r="O422" i="6"/>
  <c r="N422" i="6"/>
  <c r="L422" i="6"/>
  <c r="H422" i="6"/>
  <c r="I422" i="6" s="1"/>
  <c r="F422" i="6"/>
  <c r="C422" i="6"/>
  <c r="AD421" i="6"/>
  <c r="AC421" i="6"/>
  <c r="AA421" i="6"/>
  <c r="W421" i="6"/>
  <c r="U421" i="6"/>
  <c r="R421" i="6"/>
  <c r="N421" i="6"/>
  <c r="O421" i="6" s="1"/>
  <c r="L421" i="6"/>
  <c r="H421" i="6"/>
  <c r="F421" i="6"/>
  <c r="C421" i="6"/>
  <c r="AC420" i="6"/>
  <c r="AD420" i="6" s="1"/>
  <c r="AA420" i="6"/>
  <c r="X420" i="6"/>
  <c r="W420" i="6"/>
  <c r="U420" i="6"/>
  <c r="R420" i="6"/>
  <c r="O420" i="6"/>
  <c r="N420" i="6"/>
  <c r="L420" i="6"/>
  <c r="H420" i="6"/>
  <c r="I420" i="6" s="1"/>
  <c r="F420" i="6"/>
  <c r="C420" i="6"/>
  <c r="AD419" i="6"/>
  <c r="AC419" i="6"/>
  <c r="AA419" i="6"/>
  <c r="X419" i="6"/>
  <c r="W419" i="6"/>
  <c r="U419" i="6"/>
  <c r="R419" i="6"/>
  <c r="N419" i="6"/>
  <c r="O419" i="6" s="1"/>
  <c r="L419" i="6"/>
  <c r="I419" i="6"/>
  <c r="H419" i="6"/>
  <c r="F419" i="6"/>
  <c r="C419" i="6"/>
  <c r="AC418" i="6"/>
  <c r="AA418" i="6"/>
  <c r="W418" i="6"/>
  <c r="X418" i="6" s="1"/>
  <c r="U418" i="6"/>
  <c r="R418" i="6"/>
  <c r="O418" i="6"/>
  <c r="N418" i="6"/>
  <c r="L418" i="6"/>
  <c r="I418" i="6"/>
  <c r="H418" i="6"/>
  <c r="F418" i="6"/>
  <c r="C418" i="6"/>
  <c r="AC417" i="6"/>
  <c r="AA417" i="6"/>
  <c r="W417" i="6"/>
  <c r="X417" i="6" s="1"/>
  <c r="U417" i="6"/>
  <c r="R417" i="6"/>
  <c r="O417" i="6"/>
  <c r="N417" i="6"/>
  <c r="L417" i="6"/>
  <c r="H417" i="6"/>
  <c r="F417" i="6"/>
  <c r="C417" i="6"/>
  <c r="AD416" i="6"/>
  <c r="AC416" i="6"/>
  <c r="AA416" i="6"/>
  <c r="X416" i="6"/>
  <c r="W416" i="6"/>
  <c r="U416" i="6"/>
  <c r="R416" i="6"/>
  <c r="O416" i="6"/>
  <c r="N416" i="6"/>
  <c r="L416" i="6"/>
  <c r="I416" i="6"/>
  <c r="H416" i="6"/>
  <c r="F416" i="6"/>
  <c r="C416" i="6"/>
  <c r="AC415" i="6"/>
  <c r="AD415" i="6" s="1"/>
  <c r="AA415" i="6"/>
  <c r="W415" i="6"/>
  <c r="X415" i="6" s="1"/>
  <c r="U415" i="6"/>
  <c r="R415" i="6"/>
  <c r="N415" i="6"/>
  <c r="O415" i="6" s="1"/>
  <c r="L415" i="6"/>
  <c r="H415" i="6"/>
  <c r="I415" i="6" s="1"/>
  <c r="F415" i="6"/>
  <c r="C415" i="6"/>
  <c r="AC414" i="6"/>
  <c r="AA414" i="6"/>
  <c r="X414" i="6"/>
  <c r="W414" i="6"/>
  <c r="U414" i="6"/>
  <c r="R414" i="6"/>
  <c r="O414" i="6"/>
  <c r="N414" i="6"/>
  <c r="L414" i="6"/>
  <c r="H414" i="6"/>
  <c r="I414" i="6" s="1"/>
  <c r="F414" i="6"/>
  <c r="C414" i="6"/>
  <c r="AC413" i="6"/>
  <c r="AA413" i="6"/>
  <c r="W413" i="6"/>
  <c r="X413" i="6" s="1"/>
  <c r="U413" i="6"/>
  <c r="R413" i="6"/>
  <c r="O413" i="6"/>
  <c r="N413" i="6"/>
  <c r="L413" i="6"/>
  <c r="H413" i="6"/>
  <c r="F413" i="6"/>
  <c r="C413" i="6"/>
  <c r="AC412" i="6"/>
  <c r="AD412" i="6" s="1"/>
  <c r="AA412" i="6"/>
  <c r="X412" i="6"/>
  <c r="W412" i="6"/>
  <c r="U412" i="6"/>
  <c r="R412" i="6"/>
  <c r="O412" i="6"/>
  <c r="N412" i="6"/>
  <c r="L412" i="6"/>
  <c r="I412" i="6"/>
  <c r="H412" i="6"/>
  <c r="F412" i="6"/>
  <c r="C412" i="6"/>
  <c r="AD411" i="6"/>
  <c r="AC411" i="6"/>
  <c r="AA411" i="6"/>
  <c r="X411" i="6"/>
  <c r="W411" i="6"/>
  <c r="U411" i="6"/>
  <c r="R411" i="6"/>
  <c r="N411" i="6"/>
  <c r="O411" i="6" s="1"/>
  <c r="L411" i="6"/>
  <c r="I411" i="6"/>
  <c r="H411" i="6"/>
  <c r="F411" i="6"/>
  <c r="C411" i="6"/>
  <c r="AC410" i="6"/>
  <c r="AA410" i="6"/>
  <c r="W410" i="6"/>
  <c r="X410" i="6" s="1"/>
  <c r="U410" i="6"/>
  <c r="R410" i="6"/>
  <c r="O410" i="6"/>
  <c r="N410" i="6"/>
  <c r="L410" i="6"/>
  <c r="I410" i="6"/>
  <c r="H410" i="6"/>
  <c r="F410" i="6"/>
  <c r="C410" i="6"/>
  <c r="AC409" i="6"/>
  <c r="AD409" i="6" s="1"/>
  <c r="AA409" i="6"/>
  <c r="W409" i="6"/>
  <c r="X409" i="6" s="1"/>
  <c r="U409" i="6"/>
  <c r="R409" i="6"/>
  <c r="O409" i="6"/>
  <c r="N409" i="6"/>
  <c r="L409" i="6"/>
  <c r="H409" i="6"/>
  <c r="F409" i="6"/>
  <c r="C409" i="6"/>
  <c r="AD408" i="6"/>
  <c r="AC408" i="6"/>
  <c r="AA408" i="6"/>
  <c r="X408" i="6"/>
  <c r="W408" i="6"/>
  <c r="U408" i="6"/>
  <c r="R408" i="6"/>
  <c r="O408" i="6"/>
  <c r="N408" i="6"/>
  <c r="L408" i="6"/>
  <c r="I408" i="6"/>
  <c r="H408" i="6"/>
  <c r="F408" i="6"/>
  <c r="C408" i="6"/>
  <c r="AC407" i="6"/>
  <c r="AD407" i="6" s="1"/>
  <c r="AA407" i="6"/>
  <c r="W407" i="6"/>
  <c r="X407" i="6" s="1"/>
  <c r="U407" i="6"/>
  <c r="R407" i="6"/>
  <c r="N407" i="6"/>
  <c r="O407" i="6" s="1"/>
  <c r="L407" i="6"/>
  <c r="H407" i="6"/>
  <c r="I407" i="6" s="1"/>
  <c r="F407" i="6"/>
  <c r="C407" i="6"/>
  <c r="AC403" i="6"/>
  <c r="AD403" i="6" s="1"/>
  <c r="AA403" i="6"/>
  <c r="Z403" i="6"/>
  <c r="U403" i="6"/>
  <c r="T403" i="6"/>
  <c r="R403" i="6"/>
  <c r="Q403" i="6"/>
  <c r="N403" i="6"/>
  <c r="O403" i="6" s="1"/>
  <c r="L403" i="6"/>
  <c r="K403" i="6"/>
  <c r="I403" i="6"/>
  <c r="H403" i="6"/>
  <c r="F403" i="6"/>
  <c r="E403" i="6"/>
  <c r="B403" i="6"/>
  <c r="C403" i="6" s="1"/>
  <c r="AC402" i="6"/>
  <c r="AA402" i="6"/>
  <c r="W402" i="6"/>
  <c r="X402" i="6" s="1"/>
  <c r="U402" i="6"/>
  <c r="R402" i="6"/>
  <c r="O402" i="6"/>
  <c r="N402" i="6"/>
  <c r="L402" i="6"/>
  <c r="H402" i="6"/>
  <c r="I402" i="6" s="1"/>
  <c r="F402" i="6"/>
  <c r="C402" i="6"/>
  <c r="AD401" i="6"/>
  <c r="AC401" i="6"/>
  <c r="AA401" i="6"/>
  <c r="W401" i="6"/>
  <c r="X401" i="6" s="1"/>
  <c r="U401" i="6"/>
  <c r="R401" i="6"/>
  <c r="N401" i="6"/>
  <c r="O401" i="6" s="1"/>
  <c r="L401" i="6"/>
  <c r="H401" i="6"/>
  <c r="F401" i="6"/>
  <c r="C401" i="6"/>
  <c r="AC400" i="6"/>
  <c r="AD400" i="6" s="1"/>
  <c r="AA400" i="6"/>
  <c r="X400" i="6"/>
  <c r="W400" i="6"/>
  <c r="U400" i="6"/>
  <c r="R400" i="6"/>
  <c r="O400" i="6"/>
  <c r="N400" i="6"/>
  <c r="L400" i="6"/>
  <c r="H400" i="6"/>
  <c r="I400" i="6" s="1"/>
  <c r="F400" i="6"/>
  <c r="C400" i="6"/>
  <c r="AD399" i="6"/>
  <c r="AC399" i="6"/>
  <c r="AA399" i="6"/>
  <c r="X399" i="6"/>
  <c r="W399" i="6"/>
  <c r="U399" i="6"/>
  <c r="R399" i="6"/>
  <c r="N399" i="6"/>
  <c r="O399" i="6" s="1"/>
  <c r="L399" i="6"/>
  <c r="I399" i="6"/>
  <c r="H399" i="6"/>
  <c r="F399" i="6"/>
  <c r="C399" i="6"/>
  <c r="AC398" i="6"/>
  <c r="AD398" i="6" s="1"/>
  <c r="AA398" i="6"/>
  <c r="W398" i="6"/>
  <c r="X398" i="6" s="1"/>
  <c r="U398" i="6"/>
  <c r="R398" i="6"/>
  <c r="O398" i="6"/>
  <c r="N398" i="6"/>
  <c r="L398" i="6"/>
  <c r="I398" i="6"/>
  <c r="H398" i="6"/>
  <c r="F398" i="6"/>
  <c r="C398" i="6"/>
  <c r="AC397" i="6"/>
  <c r="AD397" i="6" s="1"/>
  <c r="AA397" i="6"/>
  <c r="W397" i="6"/>
  <c r="X397" i="6" s="1"/>
  <c r="U397" i="6"/>
  <c r="R397" i="6"/>
  <c r="O397" i="6"/>
  <c r="N397" i="6"/>
  <c r="L397" i="6"/>
  <c r="H397" i="6"/>
  <c r="I397" i="6" s="1"/>
  <c r="F397" i="6"/>
  <c r="C397" i="6"/>
  <c r="Z396" i="6"/>
  <c r="AA396" i="6" s="1"/>
  <c r="T396" i="6"/>
  <c r="U396" i="6" s="1"/>
  <c r="R396" i="6"/>
  <c r="Q396" i="6"/>
  <c r="K396" i="6"/>
  <c r="L396" i="6" s="1"/>
  <c r="E396" i="6"/>
  <c r="F396" i="6" s="1"/>
  <c r="C396" i="6"/>
  <c r="B396" i="6"/>
  <c r="AC395" i="6"/>
  <c r="AA395" i="6"/>
  <c r="X395" i="6"/>
  <c r="W395" i="6"/>
  <c r="U395" i="6"/>
  <c r="R395" i="6"/>
  <c r="O395" i="6"/>
  <c r="N395" i="6"/>
  <c r="L395" i="6"/>
  <c r="H395" i="6"/>
  <c r="I395" i="6" s="1"/>
  <c r="F395" i="6"/>
  <c r="C395" i="6"/>
  <c r="AD394" i="6"/>
  <c r="AC394" i="6"/>
  <c r="AA394" i="6"/>
  <c r="W394" i="6"/>
  <c r="U394" i="6"/>
  <c r="R394" i="6"/>
  <c r="N394" i="6"/>
  <c r="O394" i="6" s="1"/>
  <c r="L394" i="6"/>
  <c r="H394" i="6"/>
  <c r="I394" i="6" s="1"/>
  <c r="F394" i="6"/>
  <c r="C394" i="6"/>
  <c r="Z393" i="6"/>
  <c r="AA393" i="6" s="1"/>
  <c r="T393" i="6"/>
  <c r="U393" i="6" s="1"/>
  <c r="R393" i="6"/>
  <c r="Q393" i="6"/>
  <c r="K393" i="6"/>
  <c r="L393" i="6" s="1"/>
  <c r="E393" i="6"/>
  <c r="H393" i="6" s="1"/>
  <c r="I393" i="6" s="1"/>
  <c r="B393" i="6"/>
  <c r="C393" i="6" s="1"/>
  <c r="AC392" i="6"/>
  <c r="AD392" i="6" s="1"/>
  <c r="AA392" i="6"/>
  <c r="W392" i="6"/>
  <c r="X392" i="6" s="1"/>
  <c r="U392" i="6"/>
  <c r="R392" i="6"/>
  <c r="O392" i="6"/>
  <c r="N392" i="6"/>
  <c r="L392" i="6"/>
  <c r="H392" i="6"/>
  <c r="I392" i="6" s="1"/>
  <c r="F392" i="6"/>
  <c r="C392" i="6"/>
  <c r="AD391" i="6"/>
  <c r="AC391" i="6"/>
  <c r="AA391" i="6"/>
  <c r="W391" i="6"/>
  <c r="X391" i="6" s="1"/>
  <c r="U391" i="6"/>
  <c r="R391" i="6"/>
  <c r="N391" i="6"/>
  <c r="O391" i="6" s="1"/>
  <c r="L391" i="6"/>
  <c r="H391" i="6"/>
  <c r="F391" i="6"/>
  <c r="C391" i="6"/>
  <c r="AC390" i="6"/>
  <c r="AD390" i="6" s="1"/>
  <c r="AA390" i="6"/>
  <c r="X390" i="6"/>
  <c r="W390" i="6"/>
  <c r="U390" i="6"/>
  <c r="R390" i="6"/>
  <c r="O390" i="6"/>
  <c r="N390" i="6"/>
  <c r="L390" i="6"/>
  <c r="I390" i="6"/>
  <c r="H390" i="6"/>
  <c r="F390" i="6"/>
  <c r="C390" i="6"/>
  <c r="AC389" i="6"/>
  <c r="AD389" i="6" s="1"/>
  <c r="AA389" i="6"/>
  <c r="X389" i="6"/>
  <c r="W389" i="6"/>
  <c r="U389" i="6"/>
  <c r="R389" i="6"/>
  <c r="N389" i="6"/>
  <c r="O389" i="6" s="1"/>
  <c r="L389" i="6"/>
  <c r="I389" i="6"/>
  <c r="H389" i="6"/>
  <c r="F389" i="6"/>
  <c r="C389" i="6"/>
  <c r="AC388" i="6"/>
  <c r="AD388" i="6" s="1"/>
  <c r="AA388" i="6"/>
  <c r="W388" i="6"/>
  <c r="X388" i="6" s="1"/>
  <c r="U388" i="6"/>
  <c r="R388" i="6"/>
  <c r="O388" i="6"/>
  <c r="N388" i="6"/>
  <c r="L388" i="6"/>
  <c r="I388" i="6"/>
  <c r="H388" i="6"/>
  <c r="F388" i="6"/>
  <c r="C388" i="6"/>
  <c r="AC386" i="6"/>
  <c r="AD386" i="6" s="1"/>
  <c r="AA386" i="6"/>
  <c r="W386" i="6"/>
  <c r="X386" i="6" s="1"/>
  <c r="U386" i="6"/>
  <c r="R386" i="6"/>
  <c r="O386" i="6"/>
  <c r="N386" i="6"/>
  <c r="L386" i="6"/>
  <c r="H386" i="6"/>
  <c r="I386" i="6" s="1"/>
  <c r="F386" i="6"/>
  <c r="C386" i="6"/>
  <c r="AD385" i="6"/>
  <c r="AC385" i="6"/>
  <c r="AA385" i="6"/>
  <c r="X385" i="6"/>
  <c r="W385" i="6"/>
  <c r="U385" i="6"/>
  <c r="R385" i="6"/>
  <c r="O385" i="6"/>
  <c r="N385" i="6"/>
  <c r="L385" i="6"/>
  <c r="H385" i="6"/>
  <c r="I385" i="6" s="1"/>
  <c r="F385" i="6"/>
  <c r="C385" i="6"/>
  <c r="AD383" i="6"/>
  <c r="AC383" i="6"/>
  <c r="AA383" i="6"/>
  <c r="W383" i="6"/>
  <c r="X383" i="6" s="1"/>
  <c r="U383" i="6"/>
  <c r="R383" i="6"/>
  <c r="N383" i="6"/>
  <c r="O383" i="6" s="1"/>
  <c r="L383" i="6"/>
  <c r="I383" i="6"/>
  <c r="H383" i="6"/>
  <c r="F383" i="6"/>
  <c r="C383" i="6"/>
  <c r="AC382" i="6"/>
  <c r="AA382" i="6"/>
  <c r="X382" i="6"/>
  <c r="W382" i="6"/>
  <c r="U382" i="6"/>
  <c r="R382" i="6"/>
  <c r="O382" i="6"/>
  <c r="N382" i="6"/>
  <c r="L382" i="6"/>
  <c r="H382" i="6"/>
  <c r="I382" i="6" s="1"/>
  <c r="F382" i="6"/>
  <c r="C382" i="6"/>
  <c r="AD381" i="6"/>
  <c r="AC381" i="6"/>
  <c r="AA381" i="6"/>
  <c r="W381" i="6"/>
  <c r="X381" i="6" s="1"/>
  <c r="U381" i="6"/>
  <c r="R381" i="6"/>
  <c r="O381" i="6"/>
  <c r="N381" i="6"/>
  <c r="L381" i="6"/>
  <c r="H381" i="6"/>
  <c r="F381" i="6"/>
  <c r="C381" i="6"/>
  <c r="AC380" i="6"/>
  <c r="AD380" i="6" s="1"/>
  <c r="AA380" i="6"/>
  <c r="X380" i="6"/>
  <c r="W380" i="6"/>
  <c r="U380" i="6"/>
  <c r="R380" i="6"/>
  <c r="O380" i="6"/>
  <c r="N380" i="6"/>
  <c r="L380" i="6"/>
  <c r="H380" i="6"/>
  <c r="I380" i="6" s="1"/>
  <c r="F380" i="6"/>
  <c r="C380" i="6"/>
  <c r="AD379" i="6"/>
  <c r="AC379" i="6"/>
  <c r="AA379" i="6"/>
  <c r="W379" i="6"/>
  <c r="X379" i="6" s="1"/>
  <c r="U379" i="6"/>
  <c r="R379" i="6"/>
  <c r="N379" i="6"/>
  <c r="O379" i="6" s="1"/>
  <c r="L379" i="6"/>
  <c r="I379" i="6"/>
  <c r="H379" i="6"/>
  <c r="F379" i="6"/>
  <c r="C379" i="6"/>
  <c r="AC378" i="6"/>
  <c r="AD378" i="6" s="1"/>
  <c r="AA378" i="6"/>
  <c r="W378" i="6"/>
  <c r="X378" i="6" s="1"/>
  <c r="U378" i="6"/>
  <c r="R378" i="6"/>
  <c r="O378" i="6"/>
  <c r="N378" i="6"/>
  <c r="L378" i="6"/>
  <c r="I378" i="6"/>
  <c r="H378" i="6"/>
  <c r="F378" i="6"/>
  <c r="C378" i="6"/>
  <c r="AC377" i="6"/>
  <c r="AD377" i="6" s="1"/>
  <c r="AA377" i="6"/>
  <c r="W377" i="6"/>
  <c r="X377" i="6" s="1"/>
  <c r="U377" i="6"/>
  <c r="R377" i="6"/>
  <c r="O377" i="6"/>
  <c r="N377" i="6"/>
  <c r="L377" i="6"/>
  <c r="H377" i="6"/>
  <c r="I377" i="6" s="1"/>
  <c r="F377" i="6"/>
  <c r="C377" i="6"/>
  <c r="AD376" i="6"/>
  <c r="AC376" i="6"/>
  <c r="AA376" i="6"/>
  <c r="X376" i="6"/>
  <c r="W376" i="6"/>
  <c r="U376" i="6"/>
  <c r="R376" i="6"/>
  <c r="N376" i="6"/>
  <c r="O376" i="6" s="1"/>
  <c r="L376" i="6"/>
  <c r="I376" i="6"/>
  <c r="H376" i="6"/>
  <c r="F376" i="6"/>
  <c r="C376" i="6"/>
  <c r="AC375" i="6"/>
  <c r="AD375" i="6" s="1"/>
  <c r="AA375" i="6"/>
  <c r="W375" i="6"/>
  <c r="X375" i="6" s="1"/>
  <c r="U375" i="6"/>
  <c r="R375" i="6"/>
  <c r="N375" i="6"/>
  <c r="O375" i="6" s="1"/>
  <c r="L375" i="6"/>
  <c r="H375" i="6"/>
  <c r="I375" i="6" s="1"/>
  <c r="F375" i="6"/>
  <c r="C375" i="6"/>
  <c r="AC374" i="6"/>
  <c r="AD374" i="6" s="1"/>
  <c r="AA374" i="6"/>
  <c r="X374" i="6"/>
  <c r="W374" i="6"/>
  <c r="U374" i="6"/>
  <c r="R374" i="6"/>
  <c r="O374" i="6"/>
  <c r="N374" i="6"/>
  <c r="L374" i="6"/>
  <c r="H374" i="6"/>
  <c r="I374" i="6" s="1"/>
  <c r="F374" i="6"/>
  <c r="C374" i="6"/>
  <c r="AD373" i="6"/>
  <c r="AC373" i="6"/>
  <c r="AA373" i="6"/>
  <c r="W373" i="6"/>
  <c r="X373" i="6" s="1"/>
  <c r="U373" i="6"/>
  <c r="R373" i="6"/>
  <c r="O373" i="6"/>
  <c r="N373" i="6"/>
  <c r="L373" i="6"/>
  <c r="H373" i="6"/>
  <c r="F373" i="6"/>
  <c r="C373" i="6"/>
  <c r="AC372" i="6"/>
  <c r="AD372" i="6" s="1"/>
  <c r="AA372" i="6"/>
  <c r="X372" i="6"/>
  <c r="W372" i="6"/>
  <c r="U372" i="6"/>
  <c r="R372" i="6"/>
  <c r="O372" i="6"/>
  <c r="N372" i="6"/>
  <c r="L372" i="6"/>
  <c r="I372" i="6"/>
  <c r="H372" i="6"/>
  <c r="F372" i="6"/>
  <c r="C372" i="6"/>
  <c r="AC371" i="6"/>
  <c r="AD371" i="6" s="1"/>
  <c r="AA371" i="6"/>
  <c r="X371" i="6"/>
  <c r="W371" i="6"/>
  <c r="U371" i="6"/>
  <c r="R371" i="6"/>
  <c r="N371" i="6"/>
  <c r="O371" i="6" s="1"/>
  <c r="L371" i="6"/>
  <c r="I371" i="6"/>
  <c r="H371" i="6"/>
  <c r="F371" i="6"/>
  <c r="C371" i="6"/>
  <c r="AC370" i="6"/>
  <c r="AD370" i="6" s="1"/>
  <c r="AA370" i="6"/>
  <c r="W370" i="6"/>
  <c r="X370" i="6" s="1"/>
  <c r="U370" i="6"/>
  <c r="R370" i="6"/>
  <c r="O370" i="6"/>
  <c r="N370" i="6"/>
  <c r="L370" i="6"/>
  <c r="I370" i="6"/>
  <c r="H370" i="6"/>
  <c r="F370" i="6"/>
  <c r="C370" i="6"/>
  <c r="AC369" i="6"/>
  <c r="AD369" i="6" s="1"/>
  <c r="AA369" i="6"/>
  <c r="W369" i="6"/>
  <c r="X369" i="6" s="1"/>
  <c r="U369" i="6"/>
  <c r="R369" i="6"/>
  <c r="O369" i="6"/>
  <c r="N369" i="6"/>
  <c r="L369" i="6"/>
  <c r="H369" i="6"/>
  <c r="I369" i="6" s="1"/>
  <c r="F369" i="6"/>
  <c r="C369" i="6"/>
  <c r="AA368" i="6"/>
  <c r="Z368" i="6"/>
  <c r="T368" i="6"/>
  <c r="U368" i="6" s="1"/>
  <c r="Q368" i="6"/>
  <c r="K368" i="6"/>
  <c r="L368" i="6" s="1"/>
  <c r="F368" i="6"/>
  <c r="E368" i="6"/>
  <c r="B368" i="6"/>
  <c r="AC367" i="6"/>
  <c r="AA367" i="6"/>
  <c r="X367" i="6"/>
  <c r="W367" i="6"/>
  <c r="U367" i="6"/>
  <c r="R367" i="6"/>
  <c r="O367" i="6"/>
  <c r="N367" i="6"/>
  <c r="L367" i="6"/>
  <c r="H367" i="6"/>
  <c r="I367" i="6" s="1"/>
  <c r="F367" i="6"/>
  <c r="C367" i="6"/>
  <c r="AD366" i="6"/>
  <c r="AC366" i="6"/>
  <c r="AA366" i="6"/>
  <c r="W366" i="6"/>
  <c r="U366" i="6"/>
  <c r="R366" i="6"/>
  <c r="N366" i="6"/>
  <c r="O366" i="6" s="1"/>
  <c r="L366" i="6"/>
  <c r="H366" i="6"/>
  <c r="I366" i="6" s="1"/>
  <c r="F366" i="6"/>
  <c r="C366" i="6"/>
  <c r="AD365" i="6"/>
  <c r="AC365" i="6"/>
  <c r="AA365" i="6"/>
  <c r="X365" i="6"/>
  <c r="W365" i="6"/>
  <c r="U365" i="6"/>
  <c r="R365" i="6"/>
  <c r="N365" i="6"/>
  <c r="O365" i="6" s="1"/>
  <c r="L365" i="6"/>
  <c r="H365" i="6"/>
  <c r="I365" i="6" s="1"/>
  <c r="F365" i="6"/>
  <c r="C365" i="6"/>
  <c r="AD364" i="6"/>
  <c r="AC364" i="6"/>
  <c r="AA364" i="6"/>
  <c r="X364" i="6"/>
  <c r="W364" i="6"/>
  <c r="U364" i="6"/>
  <c r="R364" i="6"/>
  <c r="N364" i="6"/>
  <c r="O364" i="6" s="1"/>
  <c r="L364" i="6"/>
  <c r="H364" i="6"/>
  <c r="I364" i="6" s="1"/>
  <c r="F364" i="6"/>
  <c r="C364" i="6"/>
  <c r="AC363" i="6"/>
  <c r="AD363" i="6" s="1"/>
  <c r="AA363" i="6"/>
  <c r="X363" i="6"/>
  <c r="W363" i="6"/>
  <c r="U363" i="6"/>
  <c r="R363" i="6"/>
  <c r="O363" i="6"/>
  <c r="N363" i="6"/>
  <c r="L363" i="6"/>
  <c r="H363" i="6"/>
  <c r="I363" i="6" s="1"/>
  <c r="F363" i="6"/>
  <c r="C363" i="6"/>
  <c r="AD362" i="6"/>
  <c r="AC362" i="6"/>
  <c r="AA362" i="6"/>
  <c r="W362" i="6"/>
  <c r="X362" i="6" s="1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W361" i="6"/>
  <c r="U361" i="6"/>
  <c r="R361" i="6"/>
  <c r="N361" i="6"/>
  <c r="O361" i="6" s="1"/>
  <c r="L361" i="6"/>
  <c r="I361" i="6"/>
  <c r="H361" i="6"/>
  <c r="F361" i="6"/>
  <c r="C361" i="6"/>
  <c r="AC360" i="6"/>
  <c r="AD360" i="6" s="1"/>
  <c r="AA360" i="6"/>
  <c r="X360" i="6"/>
  <c r="W360" i="6"/>
  <c r="U360" i="6"/>
  <c r="R360" i="6"/>
  <c r="N360" i="6"/>
  <c r="O360" i="6" s="1"/>
  <c r="L360" i="6"/>
  <c r="H360" i="6"/>
  <c r="I360" i="6" s="1"/>
  <c r="F360" i="6"/>
  <c r="C360" i="6"/>
  <c r="Z358" i="6"/>
  <c r="AA358" i="6" s="1"/>
  <c r="X358" i="6"/>
  <c r="U358" i="6"/>
  <c r="T358" i="6"/>
  <c r="W358" i="6" s="1"/>
  <c r="Q358" i="6"/>
  <c r="R358" i="6" s="1"/>
  <c r="K358" i="6"/>
  <c r="L358" i="6" s="1"/>
  <c r="H358" i="6"/>
  <c r="I358" i="6" s="1"/>
  <c r="E358" i="6"/>
  <c r="F358" i="6" s="1"/>
  <c r="C358" i="6"/>
  <c r="B358" i="6"/>
  <c r="AC357" i="6"/>
  <c r="AD357" i="6" s="1"/>
  <c r="AA357" i="6"/>
  <c r="W357" i="6"/>
  <c r="U357" i="6"/>
  <c r="R357" i="6"/>
  <c r="O357" i="6"/>
  <c r="N357" i="6"/>
  <c r="L357" i="6"/>
  <c r="I357" i="6"/>
  <c r="H357" i="6"/>
  <c r="F357" i="6"/>
  <c r="C357" i="6"/>
  <c r="AD356" i="6"/>
  <c r="AC356" i="6"/>
  <c r="AA356" i="6"/>
  <c r="X356" i="6"/>
  <c r="W356" i="6"/>
  <c r="U356" i="6"/>
  <c r="R356" i="6"/>
  <c r="N356" i="6"/>
  <c r="O356" i="6" s="1"/>
  <c r="L356" i="6"/>
  <c r="I356" i="6"/>
  <c r="H356" i="6"/>
  <c r="F356" i="6"/>
  <c r="C356" i="6"/>
  <c r="AC355" i="6"/>
  <c r="AA355" i="6"/>
  <c r="X355" i="6"/>
  <c r="W355" i="6"/>
  <c r="U355" i="6"/>
  <c r="R355" i="6"/>
  <c r="O355" i="6"/>
  <c r="N355" i="6"/>
  <c r="L355" i="6"/>
  <c r="H355" i="6"/>
  <c r="I355" i="6" s="1"/>
  <c r="F355" i="6"/>
  <c r="C355" i="6"/>
  <c r="AC354" i="6"/>
  <c r="AD354" i="6" s="1"/>
  <c r="AA354" i="6"/>
  <c r="W354" i="6"/>
  <c r="U354" i="6"/>
  <c r="R354" i="6"/>
  <c r="O354" i="6"/>
  <c r="N354" i="6"/>
  <c r="L354" i="6"/>
  <c r="H354" i="6"/>
  <c r="I354" i="6" s="1"/>
  <c r="F354" i="6"/>
  <c r="C354" i="6"/>
  <c r="AD353" i="6"/>
  <c r="AC353" i="6"/>
  <c r="AA353" i="6"/>
  <c r="X353" i="6"/>
  <c r="W353" i="6"/>
  <c r="U353" i="6"/>
  <c r="R353" i="6"/>
  <c r="N353" i="6"/>
  <c r="O353" i="6" s="1"/>
  <c r="L353" i="6"/>
  <c r="H353" i="6"/>
  <c r="I353" i="6" s="1"/>
  <c r="F353" i="6"/>
  <c r="C353" i="6"/>
  <c r="AD352" i="6"/>
  <c r="AC352" i="6"/>
  <c r="AA352" i="6"/>
  <c r="X352" i="6"/>
  <c r="W352" i="6"/>
  <c r="U352" i="6"/>
  <c r="R352" i="6"/>
  <c r="N352" i="6"/>
  <c r="O352" i="6" s="1"/>
  <c r="L352" i="6"/>
  <c r="H352" i="6"/>
  <c r="I352" i="6" s="1"/>
  <c r="F352" i="6"/>
  <c r="C352" i="6"/>
  <c r="AC351" i="6"/>
  <c r="AA351" i="6"/>
  <c r="X351" i="6"/>
  <c r="W351" i="6"/>
  <c r="U351" i="6"/>
  <c r="R351" i="6"/>
  <c r="O351" i="6"/>
  <c r="N351" i="6"/>
  <c r="L351" i="6"/>
  <c r="H351" i="6"/>
  <c r="I351" i="6" s="1"/>
  <c r="F351" i="6"/>
  <c r="C351" i="6"/>
  <c r="AD350" i="6"/>
  <c r="AC350" i="6"/>
  <c r="AA350" i="6"/>
  <c r="W350" i="6"/>
  <c r="X350" i="6" s="1"/>
  <c r="U350" i="6"/>
  <c r="R350" i="6"/>
  <c r="O350" i="6"/>
  <c r="N350" i="6"/>
  <c r="L350" i="6"/>
  <c r="H350" i="6"/>
  <c r="F350" i="6"/>
  <c r="C350" i="6"/>
  <c r="AC349" i="6"/>
  <c r="AD349" i="6" s="1"/>
  <c r="AA349" i="6"/>
  <c r="W349" i="6"/>
  <c r="U349" i="6"/>
  <c r="R349" i="6"/>
  <c r="O349" i="6"/>
  <c r="N349" i="6"/>
  <c r="L349" i="6"/>
  <c r="I349" i="6"/>
  <c r="H349" i="6"/>
  <c r="F349" i="6"/>
  <c r="C349" i="6"/>
  <c r="AD347" i="6"/>
  <c r="AC347" i="6"/>
  <c r="AA347" i="6"/>
  <c r="X347" i="6"/>
  <c r="W347" i="6"/>
  <c r="U347" i="6"/>
  <c r="R347" i="6"/>
  <c r="N347" i="6"/>
  <c r="O347" i="6" s="1"/>
  <c r="L347" i="6"/>
  <c r="I347" i="6"/>
  <c r="H347" i="6"/>
  <c r="F347" i="6"/>
  <c r="C347" i="6"/>
  <c r="AD344" i="6"/>
  <c r="AC344" i="6"/>
  <c r="Z344" i="6"/>
  <c r="AA344" i="6" s="1"/>
  <c r="T344" i="6"/>
  <c r="U344" i="6" s="1"/>
  <c r="R344" i="6"/>
  <c r="Q344" i="6"/>
  <c r="K344" i="6"/>
  <c r="L344" i="6" s="1"/>
  <c r="F344" i="6"/>
  <c r="E344" i="6"/>
  <c r="B344" i="6"/>
  <c r="AA343" i="6"/>
  <c r="Z343" i="6"/>
  <c r="T343" i="6"/>
  <c r="Q343" i="6"/>
  <c r="R343" i="6" s="1"/>
  <c r="N343" i="6"/>
  <c r="O343" i="6" s="1"/>
  <c r="K343" i="6"/>
  <c r="L343" i="6" s="1"/>
  <c r="E343" i="6"/>
  <c r="F343" i="6" s="1"/>
  <c r="B343" i="6"/>
  <c r="AA342" i="6"/>
  <c r="Z342" i="6"/>
  <c r="U342" i="6"/>
  <c r="T342" i="6"/>
  <c r="Q342" i="6"/>
  <c r="K342" i="6"/>
  <c r="L342" i="6" s="1"/>
  <c r="I342" i="6"/>
  <c r="H342" i="6"/>
  <c r="F342" i="6"/>
  <c r="E342" i="6"/>
  <c r="C342" i="6"/>
  <c r="B342" i="6"/>
  <c r="N342" i="6" s="1"/>
  <c r="O342" i="6" s="1"/>
  <c r="AC341" i="6"/>
  <c r="AA341" i="6"/>
  <c r="X341" i="6"/>
  <c r="W341" i="6"/>
  <c r="U341" i="6"/>
  <c r="R341" i="6"/>
  <c r="O341" i="6"/>
  <c r="N341" i="6"/>
  <c r="L341" i="6"/>
  <c r="I341" i="6"/>
  <c r="H341" i="6"/>
  <c r="F341" i="6"/>
  <c r="C341" i="6"/>
  <c r="AC340" i="6"/>
  <c r="AD340" i="6" s="1"/>
  <c r="AA340" i="6"/>
  <c r="W340" i="6"/>
  <c r="U340" i="6"/>
  <c r="R340" i="6"/>
  <c r="O340" i="6"/>
  <c r="N340" i="6"/>
  <c r="L340" i="6"/>
  <c r="H340" i="6"/>
  <c r="I340" i="6" s="1"/>
  <c r="F340" i="6"/>
  <c r="C340" i="6"/>
  <c r="AC339" i="6"/>
  <c r="AD339" i="6" s="1"/>
  <c r="AA339" i="6"/>
  <c r="X339" i="6"/>
  <c r="W339" i="6"/>
  <c r="U339" i="6"/>
  <c r="R339" i="6"/>
  <c r="N339" i="6"/>
  <c r="O339" i="6" s="1"/>
  <c r="L339" i="6"/>
  <c r="H339" i="6"/>
  <c r="I339" i="6" s="1"/>
  <c r="F339" i="6"/>
  <c r="C339" i="6"/>
  <c r="AD338" i="6"/>
  <c r="AC338" i="6"/>
  <c r="AA338" i="6"/>
  <c r="W338" i="6"/>
  <c r="X338" i="6" s="1"/>
  <c r="U338" i="6"/>
  <c r="R338" i="6"/>
  <c r="N338" i="6"/>
  <c r="O338" i="6" s="1"/>
  <c r="L338" i="6"/>
  <c r="H338" i="6"/>
  <c r="I338" i="6" s="1"/>
  <c r="F338" i="6"/>
  <c r="C338" i="6"/>
  <c r="AC337" i="6"/>
  <c r="AD337" i="6" s="1"/>
  <c r="AA337" i="6"/>
  <c r="X337" i="6"/>
  <c r="W337" i="6"/>
  <c r="U337" i="6"/>
  <c r="R337" i="6"/>
  <c r="O337" i="6"/>
  <c r="N337" i="6"/>
  <c r="L337" i="6"/>
  <c r="H337" i="6"/>
  <c r="I337" i="6" s="1"/>
  <c r="F337" i="6"/>
  <c r="C337" i="6"/>
  <c r="AD335" i="6"/>
  <c r="AC335" i="6"/>
  <c r="AA335" i="6"/>
  <c r="W335" i="6"/>
  <c r="X335" i="6" s="1"/>
  <c r="U335" i="6"/>
  <c r="R335" i="6"/>
  <c r="O335" i="6"/>
  <c r="N335" i="6"/>
  <c r="L335" i="6"/>
  <c r="H335" i="6"/>
  <c r="I335" i="6" s="1"/>
  <c r="F335" i="6"/>
  <c r="C335" i="6"/>
  <c r="AC334" i="6"/>
  <c r="AD334" i="6" s="1"/>
  <c r="AA334" i="6"/>
  <c r="W334" i="6"/>
  <c r="U334" i="6"/>
  <c r="R334" i="6"/>
  <c r="O334" i="6"/>
  <c r="N334" i="6"/>
  <c r="L334" i="6"/>
  <c r="I334" i="6"/>
  <c r="H334" i="6"/>
  <c r="F334" i="6"/>
  <c r="C334" i="6"/>
  <c r="AD333" i="6"/>
  <c r="AC333" i="6"/>
  <c r="AA333" i="6"/>
  <c r="W333" i="6"/>
  <c r="X333" i="6" s="1"/>
  <c r="U333" i="6"/>
  <c r="R333" i="6"/>
  <c r="N333" i="6"/>
  <c r="O333" i="6" s="1"/>
  <c r="L333" i="6"/>
  <c r="I333" i="6"/>
  <c r="H333" i="6"/>
  <c r="F333" i="6"/>
  <c r="C333" i="6"/>
  <c r="AC332" i="6"/>
  <c r="AA332" i="6"/>
  <c r="X332" i="6"/>
  <c r="W332" i="6"/>
  <c r="U332" i="6"/>
  <c r="R332" i="6"/>
  <c r="O332" i="6"/>
  <c r="N332" i="6"/>
  <c r="L332" i="6"/>
  <c r="H332" i="6"/>
  <c r="I332" i="6" s="1"/>
  <c r="F332" i="6"/>
  <c r="C332" i="6"/>
  <c r="AC331" i="6"/>
  <c r="AD331" i="6" s="1"/>
  <c r="AA331" i="6"/>
  <c r="W331" i="6"/>
  <c r="U331" i="6"/>
  <c r="R331" i="6"/>
  <c r="O331" i="6"/>
  <c r="N331" i="6"/>
  <c r="L331" i="6"/>
  <c r="H331" i="6"/>
  <c r="F331" i="6"/>
  <c r="C331" i="6"/>
  <c r="AD330" i="6"/>
  <c r="AC330" i="6"/>
  <c r="AA330" i="6"/>
  <c r="X330" i="6"/>
  <c r="W330" i="6"/>
  <c r="U330" i="6"/>
  <c r="R330" i="6"/>
  <c r="N330" i="6"/>
  <c r="O330" i="6" s="1"/>
  <c r="L330" i="6"/>
  <c r="H330" i="6"/>
  <c r="I330" i="6" s="1"/>
  <c r="F330" i="6"/>
  <c r="C330" i="6"/>
  <c r="AD329" i="6"/>
  <c r="AC329" i="6"/>
  <c r="AA329" i="6"/>
  <c r="X329" i="6"/>
  <c r="W329" i="6"/>
  <c r="U329" i="6"/>
  <c r="R329" i="6"/>
  <c r="N329" i="6"/>
  <c r="O329" i="6" s="1"/>
  <c r="L329" i="6"/>
  <c r="H329" i="6"/>
  <c r="I329" i="6" s="1"/>
  <c r="F329" i="6"/>
  <c r="C329" i="6"/>
  <c r="AC328" i="6"/>
  <c r="AA328" i="6"/>
  <c r="X328" i="6"/>
  <c r="W328" i="6"/>
  <c r="U328" i="6"/>
  <c r="R328" i="6"/>
  <c r="O328" i="6"/>
  <c r="N328" i="6"/>
  <c r="L328" i="6"/>
  <c r="H328" i="6"/>
  <c r="I328" i="6" s="1"/>
  <c r="F328" i="6"/>
  <c r="C328" i="6"/>
  <c r="Z325" i="6"/>
  <c r="AA325" i="6" s="1"/>
  <c r="T325" i="6"/>
  <c r="U325" i="6" s="1"/>
  <c r="Q325" i="6"/>
  <c r="L325" i="6"/>
  <c r="K325" i="6"/>
  <c r="E325" i="6"/>
  <c r="H325" i="6" s="1"/>
  <c r="I325" i="6" s="1"/>
  <c r="B325" i="6"/>
  <c r="C325" i="6" s="1"/>
  <c r="AA324" i="6"/>
  <c r="Z324" i="6"/>
  <c r="T324" i="6"/>
  <c r="U324" i="6" s="1"/>
  <c r="Q324" i="6"/>
  <c r="L324" i="6"/>
  <c r="K324" i="6"/>
  <c r="F324" i="6"/>
  <c r="E324" i="6"/>
  <c r="B324" i="6"/>
  <c r="AD323" i="6"/>
  <c r="AC323" i="6"/>
  <c r="AA323" i="6"/>
  <c r="W323" i="6"/>
  <c r="U323" i="6"/>
  <c r="R323" i="6"/>
  <c r="N323" i="6"/>
  <c r="O323" i="6" s="1"/>
  <c r="L323" i="6"/>
  <c r="H323" i="6"/>
  <c r="I323" i="6" s="1"/>
  <c r="F323" i="6"/>
  <c r="C323" i="6"/>
  <c r="AD322" i="6"/>
  <c r="AC322" i="6"/>
  <c r="AA322" i="6"/>
  <c r="X322" i="6"/>
  <c r="W322" i="6"/>
  <c r="U322" i="6"/>
  <c r="R322" i="6"/>
  <c r="N322" i="6"/>
  <c r="O322" i="6" s="1"/>
  <c r="L322" i="6"/>
  <c r="H322" i="6"/>
  <c r="I322" i="6" s="1"/>
  <c r="F322" i="6"/>
  <c r="C322" i="6"/>
  <c r="AD321" i="6"/>
  <c r="AC321" i="6"/>
  <c r="AA321" i="6"/>
  <c r="X321" i="6"/>
  <c r="W321" i="6"/>
  <c r="U321" i="6"/>
  <c r="R321" i="6"/>
  <c r="N321" i="6"/>
  <c r="O321" i="6" s="1"/>
  <c r="L321" i="6"/>
  <c r="H321" i="6"/>
  <c r="I321" i="6" s="1"/>
  <c r="F321" i="6"/>
  <c r="C321" i="6"/>
  <c r="AC320" i="6"/>
  <c r="AD320" i="6" s="1"/>
  <c r="AA320" i="6"/>
  <c r="X320" i="6"/>
  <c r="W320" i="6"/>
  <c r="U320" i="6"/>
  <c r="R320" i="6"/>
  <c r="O320" i="6"/>
  <c r="N320" i="6"/>
  <c r="L320" i="6"/>
  <c r="I320" i="6"/>
  <c r="H320" i="6"/>
  <c r="F320" i="6"/>
  <c r="C320" i="6"/>
  <c r="AD319" i="6"/>
  <c r="AC319" i="6"/>
  <c r="AA319" i="6"/>
  <c r="W319" i="6"/>
  <c r="X319" i="6" s="1"/>
  <c r="U319" i="6"/>
  <c r="R319" i="6"/>
  <c r="O319" i="6"/>
  <c r="N319" i="6"/>
  <c r="L319" i="6"/>
  <c r="H319" i="6"/>
  <c r="I319" i="6" s="1"/>
  <c r="F319" i="6"/>
  <c r="C319" i="6"/>
  <c r="AD318" i="6"/>
  <c r="AC318" i="6"/>
  <c r="AA318" i="6"/>
  <c r="W318" i="6"/>
  <c r="U318" i="6"/>
  <c r="R318" i="6"/>
  <c r="O318" i="6"/>
  <c r="N318" i="6"/>
  <c r="L318" i="6"/>
  <c r="I318" i="6"/>
  <c r="H318" i="6"/>
  <c r="F318" i="6"/>
  <c r="C318" i="6"/>
  <c r="AC317" i="6"/>
  <c r="AD317" i="6" s="1"/>
  <c r="AA317" i="6"/>
  <c r="X317" i="6"/>
  <c r="W317" i="6"/>
  <c r="U317" i="6"/>
  <c r="R317" i="6"/>
  <c r="N317" i="6"/>
  <c r="O317" i="6" s="1"/>
  <c r="L317" i="6"/>
  <c r="H317" i="6"/>
  <c r="I317" i="6" s="1"/>
  <c r="F317" i="6"/>
  <c r="C317" i="6"/>
  <c r="AC316" i="6"/>
  <c r="AA316" i="6"/>
  <c r="X316" i="6"/>
  <c r="W316" i="6"/>
  <c r="U316" i="6"/>
  <c r="R316" i="6"/>
  <c r="O316" i="6"/>
  <c r="N316" i="6"/>
  <c r="L316" i="6"/>
  <c r="H316" i="6"/>
  <c r="I316" i="6" s="1"/>
  <c r="F316" i="6"/>
  <c r="C316" i="6"/>
  <c r="AD315" i="6"/>
  <c r="AC315" i="6"/>
  <c r="AA315" i="6"/>
  <c r="W315" i="6"/>
  <c r="U315" i="6"/>
  <c r="R315" i="6"/>
  <c r="N315" i="6"/>
  <c r="O315" i="6" s="1"/>
  <c r="L315" i="6"/>
  <c r="H315" i="6"/>
  <c r="I315" i="6" s="1"/>
  <c r="F315" i="6"/>
  <c r="C315" i="6"/>
  <c r="AD314" i="6"/>
  <c r="AC314" i="6"/>
  <c r="AA314" i="6"/>
  <c r="X314" i="6"/>
  <c r="W314" i="6"/>
  <c r="U314" i="6"/>
  <c r="R314" i="6"/>
  <c r="N314" i="6"/>
  <c r="O314" i="6" s="1"/>
  <c r="L314" i="6"/>
  <c r="H314" i="6"/>
  <c r="I314" i="6" s="1"/>
  <c r="F314" i="6"/>
  <c r="C314" i="6"/>
  <c r="AD313" i="6"/>
  <c r="AC313" i="6"/>
  <c r="AA313" i="6"/>
  <c r="X313" i="6"/>
  <c r="W313" i="6"/>
  <c r="U313" i="6"/>
  <c r="R313" i="6"/>
  <c r="N313" i="6"/>
  <c r="O313" i="6" s="1"/>
  <c r="L313" i="6"/>
  <c r="H313" i="6"/>
  <c r="I313" i="6" s="1"/>
  <c r="F313" i="6"/>
  <c r="C313" i="6"/>
  <c r="AC312" i="6"/>
  <c r="AD312" i="6" s="1"/>
  <c r="AA312" i="6"/>
  <c r="W312" i="6"/>
  <c r="X312" i="6" s="1"/>
  <c r="U312" i="6"/>
  <c r="R312" i="6"/>
  <c r="O312" i="6"/>
  <c r="N312" i="6"/>
  <c r="L312" i="6"/>
  <c r="H312" i="6"/>
  <c r="I312" i="6" s="1"/>
  <c r="F312" i="6"/>
  <c r="C312" i="6"/>
  <c r="AD311" i="6"/>
  <c r="AC311" i="6"/>
  <c r="AA311" i="6"/>
  <c r="W311" i="6"/>
  <c r="X311" i="6" s="1"/>
  <c r="U311" i="6"/>
  <c r="R311" i="6"/>
  <c r="O311" i="6"/>
  <c r="N311" i="6"/>
  <c r="L311" i="6"/>
  <c r="H311" i="6"/>
  <c r="I311" i="6" s="1"/>
  <c r="F311" i="6"/>
  <c r="C311" i="6"/>
  <c r="AC310" i="6"/>
  <c r="AD310" i="6" s="1"/>
  <c r="AA310" i="6"/>
  <c r="W310" i="6"/>
  <c r="U310" i="6"/>
  <c r="R310" i="6"/>
  <c r="O310" i="6"/>
  <c r="N310" i="6"/>
  <c r="L310" i="6"/>
  <c r="I310" i="6"/>
  <c r="H310" i="6"/>
  <c r="F310" i="6"/>
  <c r="C310" i="6"/>
  <c r="AC309" i="6"/>
  <c r="AD309" i="6" s="1"/>
  <c r="AA309" i="6"/>
  <c r="X309" i="6"/>
  <c r="W309" i="6"/>
  <c r="U309" i="6"/>
  <c r="R309" i="6"/>
  <c r="N309" i="6"/>
  <c r="O309" i="6" s="1"/>
  <c r="L309" i="6"/>
  <c r="I309" i="6"/>
  <c r="H309" i="6"/>
  <c r="F309" i="6"/>
  <c r="C309" i="6"/>
  <c r="AC308" i="6"/>
  <c r="AA308" i="6"/>
  <c r="X308" i="6"/>
  <c r="W308" i="6"/>
  <c r="U308" i="6"/>
  <c r="R308" i="6"/>
  <c r="O308" i="6"/>
  <c r="N308" i="6"/>
  <c r="L308" i="6"/>
  <c r="I308" i="6"/>
  <c r="H308" i="6"/>
  <c r="F308" i="6"/>
  <c r="C308" i="6"/>
  <c r="AD307" i="6"/>
  <c r="AC307" i="6"/>
  <c r="AA307" i="6"/>
  <c r="W307" i="6"/>
  <c r="U307" i="6"/>
  <c r="R307" i="6"/>
  <c r="N307" i="6"/>
  <c r="O307" i="6" s="1"/>
  <c r="L307" i="6"/>
  <c r="H307" i="6"/>
  <c r="I307" i="6" s="1"/>
  <c r="F307" i="6"/>
  <c r="C307" i="6"/>
  <c r="AC306" i="6"/>
  <c r="AD306" i="6" s="1"/>
  <c r="AA306" i="6"/>
  <c r="X306" i="6"/>
  <c r="W306" i="6"/>
  <c r="U306" i="6"/>
  <c r="R306" i="6"/>
  <c r="N306" i="6"/>
  <c r="O306" i="6" s="1"/>
  <c r="L306" i="6"/>
  <c r="H306" i="6"/>
  <c r="I306" i="6" s="1"/>
  <c r="F306" i="6"/>
  <c r="C306" i="6"/>
  <c r="AD305" i="6"/>
  <c r="AC305" i="6"/>
  <c r="AA305" i="6"/>
  <c r="X305" i="6"/>
  <c r="W305" i="6"/>
  <c r="U305" i="6"/>
  <c r="R305" i="6"/>
  <c r="N305" i="6"/>
  <c r="O305" i="6" s="1"/>
  <c r="L305" i="6"/>
  <c r="H305" i="6"/>
  <c r="I305" i="6" s="1"/>
  <c r="F305" i="6"/>
  <c r="C305" i="6"/>
  <c r="AC304" i="6"/>
  <c r="AD304" i="6" s="1"/>
  <c r="AA304" i="6"/>
  <c r="W304" i="6"/>
  <c r="X304" i="6" s="1"/>
  <c r="U304" i="6"/>
  <c r="R304" i="6"/>
  <c r="O304" i="6"/>
  <c r="N304" i="6"/>
  <c r="L304" i="6"/>
  <c r="I304" i="6"/>
  <c r="H304" i="6"/>
  <c r="F304" i="6"/>
  <c r="C304" i="6"/>
  <c r="AD303" i="6"/>
  <c r="AC303" i="6"/>
  <c r="AA303" i="6"/>
  <c r="W303" i="6"/>
  <c r="X303" i="6" s="1"/>
  <c r="U303" i="6"/>
  <c r="R303" i="6"/>
  <c r="O303" i="6"/>
  <c r="N303" i="6"/>
  <c r="L303" i="6"/>
  <c r="H303" i="6"/>
  <c r="I303" i="6" s="1"/>
  <c r="F303" i="6"/>
  <c r="C303" i="6"/>
  <c r="AD302" i="6"/>
  <c r="AC302" i="6"/>
  <c r="AA302" i="6"/>
  <c r="W302" i="6"/>
  <c r="U302" i="6"/>
  <c r="R302" i="6"/>
  <c r="N302" i="6"/>
  <c r="O302" i="6" s="1"/>
  <c r="L302" i="6"/>
  <c r="I302" i="6"/>
  <c r="H302" i="6"/>
  <c r="F302" i="6"/>
  <c r="C302" i="6"/>
  <c r="AC301" i="6"/>
  <c r="AD301" i="6" s="1"/>
  <c r="AA301" i="6"/>
  <c r="W301" i="6"/>
  <c r="X301" i="6" s="1"/>
  <c r="U301" i="6"/>
  <c r="R301" i="6"/>
  <c r="N301" i="6"/>
  <c r="O301" i="6" s="1"/>
  <c r="L301" i="6"/>
  <c r="I301" i="6"/>
  <c r="H301" i="6"/>
  <c r="F301" i="6"/>
  <c r="C301" i="6"/>
  <c r="AC300" i="6"/>
  <c r="AA300" i="6"/>
  <c r="X300" i="6"/>
  <c r="W300" i="6"/>
  <c r="U300" i="6"/>
  <c r="R300" i="6"/>
  <c r="O300" i="6"/>
  <c r="N300" i="6"/>
  <c r="L300" i="6"/>
  <c r="I300" i="6"/>
  <c r="H300" i="6"/>
  <c r="F300" i="6"/>
  <c r="C300" i="6"/>
  <c r="AC299" i="6"/>
  <c r="AD299" i="6" s="1"/>
  <c r="AA299" i="6"/>
  <c r="W299" i="6"/>
  <c r="U299" i="6"/>
  <c r="R299" i="6"/>
  <c r="N299" i="6"/>
  <c r="O299" i="6" s="1"/>
  <c r="L299" i="6"/>
  <c r="H299" i="6"/>
  <c r="I299" i="6" s="1"/>
  <c r="F299" i="6"/>
  <c r="C299" i="6"/>
  <c r="AC298" i="6"/>
  <c r="AD298" i="6" s="1"/>
  <c r="AA298" i="6"/>
  <c r="X298" i="6"/>
  <c r="W298" i="6"/>
  <c r="U298" i="6"/>
  <c r="R298" i="6"/>
  <c r="N298" i="6"/>
  <c r="O298" i="6" s="1"/>
  <c r="L298" i="6"/>
  <c r="H298" i="6"/>
  <c r="I298" i="6" s="1"/>
  <c r="F298" i="6"/>
  <c r="C298" i="6"/>
  <c r="AD297" i="6"/>
  <c r="AC297" i="6"/>
  <c r="AA297" i="6"/>
  <c r="X297" i="6"/>
  <c r="W297" i="6"/>
  <c r="U297" i="6"/>
  <c r="R297" i="6"/>
  <c r="N297" i="6"/>
  <c r="O297" i="6" s="1"/>
  <c r="L297" i="6"/>
  <c r="H297" i="6"/>
  <c r="I297" i="6" s="1"/>
  <c r="F297" i="6"/>
  <c r="C297" i="6"/>
  <c r="Z295" i="6"/>
  <c r="AA295" i="6" s="1"/>
  <c r="X295" i="6"/>
  <c r="W295" i="6"/>
  <c r="T295" i="6"/>
  <c r="U295" i="6" s="1"/>
  <c r="Q295" i="6"/>
  <c r="R295" i="6" s="1"/>
  <c r="N295" i="6"/>
  <c r="O295" i="6" s="1"/>
  <c r="K295" i="6"/>
  <c r="L295" i="6" s="1"/>
  <c r="I295" i="6"/>
  <c r="H295" i="6"/>
  <c r="E295" i="6"/>
  <c r="F295" i="6" s="1"/>
  <c r="C295" i="6"/>
  <c r="B295" i="6"/>
  <c r="AD294" i="6"/>
  <c r="AC294" i="6"/>
  <c r="AA294" i="6"/>
  <c r="X294" i="6"/>
  <c r="W294" i="6"/>
  <c r="U294" i="6"/>
  <c r="R294" i="6"/>
  <c r="N294" i="6"/>
  <c r="O294" i="6" s="1"/>
  <c r="L294" i="6"/>
  <c r="H294" i="6"/>
  <c r="I294" i="6" s="1"/>
  <c r="F294" i="6"/>
  <c r="C294" i="6"/>
  <c r="AD293" i="6"/>
  <c r="AC293" i="6"/>
  <c r="AA293" i="6"/>
  <c r="X293" i="6"/>
  <c r="W293" i="6"/>
  <c r="U293" i="6"/>
  <c r="R293" i="6"/>
  <c r="N293" i="6"/>
  <c r="O293" i="6" s="1"/>
  <c r="L293" i="6"/>
  <c r="H293" i="6"/>
  <c r="I293" i="6" s="1"/>
  <c r="F293" i="6"/>
  <c r="C293" i="6"/>
  <c r="AC292" i="6"/>
  <c r="AD292" i="6" s="1"/>
  <c r="AA292" i="6"/>
  <c r="X292" i="6"/>
  <c r="W292" i="6"/>
  <c r="U292" i="6"/>
  <c r="R292" i="6"/>
  <c r="O292" i="6"/>
  <c r="N292" i="6"/>
  <c r="L292" i="6"/>
  <c r="H292" i="6"/>
  <c r="I292" i="6" s="1"/>
  <c r="F292" i="6"/>
  <c r="C292" i="6"/>
  <c r="AD291" i="6"/>
  <c r="AC291" i="6"/>
  <c r="AA291" i="6"/>
  <c r="W291" i="6"/>
  <c r="X291" i="6" s="1"/>
  <c r="U291" i="6"/>
  <c r="R291" i="6"/>
  <c r="O291" i="6"/>
  <c r="N291" i="6"/>
  <c r="L291" i="6"/>
  <c r="H291" i="6"/>
  <c r="I291" i="6" s="1"/>
  <c r="F291" i="6"/>
  <c r="C291" i="6"/>
  <c r="AC290" i="6"/>
  <c r="AD290" i="6" s="1"/>
  <c r="AA290" i="6"/>
  <c r="W290" i="6"/>
  <c r="U290" i="6"/>
  <c r="R290" i="6"/>
  <c r="O290" i="6"/>
  <c r="N290" i="6"/>
  <c r="L290" i="6"/>
  <c r="I290" i="6"/>
  <c r="H290" i="6"/>
  <c r="F290" i="6"/>
  <c r="C290" i="6"/>
  <c r="AD289" i="6"/>
  <c r="AC289" i="6"/>
  <c r="AA289" i="6"/>
  <c r="X289" i="6"/>
  <c r="W289" i="6"/>
  <c r="U289" i="6"/>
  <c r="R289" i="6"/>
  <c r="N289" i="6"/>
  <c r="O289" i="6" s="1"/>
  <c r="L289" i="6"/>
  <c r="I289" i="6"/>
  <c r="H289" i="6"/>
  <c r="F289" i="6"/>
  <c r="C289" i="6"/>
  <c r="AC288" i="6"/>
  <c r="AA288" i="6"/>
  <c r="X288" i="6"/>
  <c r="W288" i="6"/>
  <c r="U288" i="6"/>
  <c r="R288" i="6"/>
  <c r="O288" i="6"/>
  <c r="N288" i="6"/>
  <c r="L288" i="6"/>
  <c r="I288" i="6"/>
  <c r="H288" i="6"/>
  <c r="F288" i="6"/>
  <c r="C288" i="6"/>
  <c r="AC287" i="6"/>
  <c r="AD287" i="6" s="1"/>
  <c r="AA287" i="6"/>
  <c r="W287" i="6"/>
  <c r="U287" i="6"/>
  <c r="R287" i="6"/>
  <c r="O287" i="6"/>
  <c r="N287" i="6"/>
  <c r="L287" i="6"/>
  <c r="H287" i="6"/>
  <c r="I287" i="6" s="1"/>
  <c r="F287" i="6"/>
  <c r="C287" i="6"/>
  <c r="AC286" i="6"/>
  <c r="AD286" i="6" s="1"/>
  <c r="AA286" i="6"/>
  <c r="X286" i="6"/>
  <c r="W286" i="6"/>
  <c r="U286" i="6"/>
  <c r="R286" i="6"/>
  <c r="N286" i="6"/>
  <c r="O286" i="6" s="1"/>
  <c r="L286" i="6"/>
  <c r="I286" i="6"/>
  <c r="H286" i="6"/>
  <c r="F286" i="6"/>
  <c r="C286" i="6"/>
  <c r="Z284" i="6"/>
  <c r="AA284" i="6" s="1"/>
  <c r="W284" i="6"/>
  <c r="X284" i="6" s="1"/>
  <c r="T284" i="6"/>
  <c r="U284" i="6" s="1"/>
  <c r="R284" i="6"/>
  <c r="Q284" i="6"/>
  <c r="L284" i="6"/>
  <c r="K284" i="6"/>
  <c r="F284" i="6"/>
  <c r="E284" i="6"/>
  <c r="C284" i="6"/>
  <c r="B284" i="6"/>
  <c r="H284" i="6" s="1"/>
  <c r="I284" i="6" s="1"/>
  <c r="AC283" i="6"/>
  <c r="AD283" i="6" s="1"/>
  <c r="AA283" i="6"/>
  <c r="W283" i="6"/>
  <c r="X283" i="6" s="1"/>
  <c r="U283" i="6"/>
  <c r="R283" i="6"/>
  <c r="O283" i="6"/>
  <c r="N283" i="6"/>
  <c r="L283" i="6"/>
  <c r="H283" i="6"/>
  <c r="I283" i="6" s="1"/>
  <c r="F283" i="6"/>
  <c r="C283" i="6"/>
  <c r="AD282" i="6"/>
  <c r="AC282" i="6"/>
  <c r="AA282" i="6"/>
  <c r="X282" i="6"/>
  <c r="W282" i="6"/>
  <c r="U282" i="6"/>
  <c r="R282" i="6"/>
  <c r="O282" i="6"/>
  <c r="N282" i="6"/>
  <c r="L282" i="6"/>
  <c r="I282" i="6"/>
  <c r="H282" i="6"/>
  <c r="F282" i="6"/>
  <c r="C282" i="6"/>
  <c r="AC281" i="6"/>
  <c r="AD281" i="6" s="1"/>
  <c r="AA281" i="6"/>
  <c r="W281" i="6"/>
  <c r="X281" i="6" s="1"/>
  <c r="U281" i="6"/>
  <c r="R281" i="6"/>
  <c r="N281" i="6"/>
  <c r="O281" i="6" s="1"/>
  <c r="L281" i="6"/>
  <c r="H281" i="6"/>
  <c r="I281" i="6" s="1"/>
  <c r="F281" i="6"/>
  <c r="C281" i="6"/>
  <c r="AC280" i="6"/>
  <c r="AD280" i="6" s="1"/>
  <c r="AA280" i="6"/>
  <c r="X280" i="6"/>
  <c r="W280" i="6"/>
  <c r="U280" i="6"/>
  <c r="R280" i="6"/>
  <c r="O280" i="6"/>
  <c r="N280" i="6"/>
  <c r="L280" i="6"/>
  <c r="H280" i="6"/>
  <c r="I280" i="6" s="1"/>
  <c r="F280" i="6"/>
  <c r="C280" i="6"/>
  <c r="AD279" i="6"/>
  <c r="AC279" i="6"/>
  <c r="AA279" i="6"/>
  <c r="W279" i="6"/>
  <c r="X279" i="6" s="1"/>
  <c r="U279" i="6"/>
  <c r="R279" i="6"/>
  <c r="O279" i="6"/>
  <c r="N279" i="6"/>
  <c r="L279" i="6"/>
  <c r="H279" i="6"/>
  <c r="F279" i="6"/>
  <c r="C279" i="6"/>
  <c r="AC278" i="6"/>
  <c r="AD278" i="6" s="1"/>
  <c r="AA278" i="6"/>
  <c r="X278" i="6"/>
  <c r="W278" i="6"/>
  <c r="U278" i="6"/>
  <c r="R278" i="6"/>
  <c r="O278" i="6"/>
  <c r="N278" i="6"/>
  <c r="L278" i="6"/>
  <c r="I278" i="6"/>
  <c r="H278" i="6"/>
  <c r="F278" i="6"/>
  <c r="C278" i="6"/>
  <c r="AC277" i="6"/>
  <c r="AD277" i="6" s="1"/>
  <c r="AA277" i="6"/>
  <c r="W277" i="6"/>
  <c r="X277" i="6" s="1"/>
  <c r="U277" i="6"/>
  <c r="R277" i="6"/>
  <c r="N277" i="6"/>
  <c r="O277" i="6" s="1"/>
  <c r="L277" i="6"/>
  <c r="H277" i="6"/>
  <c r="I277" i="6" s="1"/>
  <c r="F277" i="6"/>
  <c r="C277" i="6"/>
  <c r="AC276" i="6"/>
  <c r="AD276" i="6" s="1"/>
  <c r="AA276" i="6"/>
  <c r="X276" i="6"/>
  <c r="W276" i="6"/>
  <c r="U276" i="6"/>
  <c r="R276" i="6"/>
  <c r="O276" i="6"/>
  <c r="N276" i="6"/>
  <c r="L276" i="6"/>
  <c r="H276" i="6"/>
  <c r="I276" i="6" s="1"/>
  <c r="F276" i="6"/>
  <c r="C276" i="6"/>
  <c r="AC275" i="6"/>
  <c r="AD275" i="6" s="1"/>
  <c r="AA275" i="6"/>
  <c r="X275" i="6"/>
  <c r="W275" i="6"/>
  <c r="U275" i="6"/>
  <c r="R275" i="6"/>
  <c r="N275" i="6"/>
  <c r="O275" i="6" s="1"/>
  <c r="L275" i="6"/>
  <c r="H275" i="6"/>
  <c r="I275" i="6" s="1"/>
  <c r="F275" i="6"/>
  <c r="C275" i="6"/>
  <c r="Z273" i="6"/>
  <c r="AA273" i="6" s="1"/>
  <c r="U273" i="6"/>
  <c r="T273" i="6"/>
  <c r="Q273" i="6"/>
  <c r="K273" i="6"/>
  <c r="L273" i="6" s="1"/>
  <c r="F273" i="6"/>
  <c r="E273" i="6"/>
  <c r="B273" i="6"/>
  <c r="AC272" i="6"/>
  <c r="AA272" i="6"/>
  <c r="X272" i="6"/>
  <c r="W272" i="6"/>
  <c r="U272" i="6"/>
  <c r="R272" i="6"/>
  <c r="O272" i="6"/>
  <c r="N272" i="6"/>
  <c r="L272" i="6"/>
  <c r="I272" i="6"/>
  <c r="H272" i="6"/>
  <c r="F272" i="6"/>
  <c r="C272" i="6"/>
  <c r="AC271" i="6"/>
  <c r="AD271" i="6" s="1"/>
  <c r="AA271" i="6"/>
  <c r="W271" i="6"/>
  <c r="X271" i="6" s="1"/>
  <c r="U271" i="6"/>
  <c r="R271" i="6"/>
  <c r="O271" i="6"/>
  <c r="N271" i="6"/>
  <c r="L271" i="6"/>
  <c r="I271" i="6"/>
  <c r="H271" i="6"/>
  <c r="F271" i="6"/>
  <c r="C271" i="6"/>
  <c r="AD270" i="6"/>
  <c r="AC270" i="6"/>
  <c r="AA270" i="6"/>
  <c r="W270" i="6"/>
  <c r="X270" i="6" s="1"/>
  <c r="U270" i="6"/>
  <c r="R270" i="6"/>
  <c r="O270" i="6"/>
  <c r="N270" i="6"/>
  <c r="L270" i="6"/>
  <c r="H270" i="6"/>
  <c r="I270" i="6" s="1"/>
  <c r="F270" i="6"/>
  <c r="C270" i="6"/>
  <c r="AC269" i="6"/>
  <c r="AD269" i="6" s="1"/>
  <c r="AA269" i="6"/>
  <c r="X269" i="6"/>
  <c r="W269" i="6"/>
  <c r="U269" i="6"/>
  <c r="R269" i="6"/>
  <c r="N269" i="6"/>
  <c r="O269" i="6" s="1"/>
  <c r="L269" i="6"/>
  <c r="H269" i="6"/>
  <c r="I269" i="6" s="1"/>
  <c r="F269" i="6"/>
  <c r="C269" i="6"/>
  <c r="Z267" i="6"/>
  <c r="AA267" i="6" s="1"/>
  <c r="T267" i="6"/>
  <c r="R267" i="6"/>
  <c r="Q267" i="6"/>
  <c r="L267" i="6"/>
  <c r="K267" i="6"/>
  <c r="H267" i="6"/>
  <c r="I267" i="6" s="1"/>
  <c r="F267" i="6"/>
  <c r="E267" i="6"/>
  <c r="C267" i="6"/>
  <c r="B267" i="6"/>
  <c r="N267" i="6" s="1"/>
  <c r="O267" i="6" s="1"/>
  <c r="AC266" i="6"/>
  <c r="AD266" i="6" s="1"/>
  <c r="AA266" i="6"/>
  <c r="W266" i="6"/>
  <c r="X266" i="6" s="1"/>
  <c r="U266" i="6"/>
  <c r="R266" i="6"/>
  <c r="O266" i="6"/>
  <c r="N266" i="6"/>
  <c r="L266" i="6"/>
  <c r="H266" i="6"/>
  <c r="I266" i="6" s="1"/>
  <c r="F266" i="6"/>
  <c r="C266" i="6"/>
  <c r="AD265" i="6"/>
  <c r="AC265" i="6"/>
  <c r="AA265" i="6"/>
  <c r="X265" i="6"/>
  <c r="W265" i="6"/>
  <c r="U265" i="6"/>
  <c r="R265" i="6"/>
  <c r="N265" i="6"/>
  <c r="O265" i="6" s="1"/>
  <c r="L265" i="6"/>
  <c r="I265" i="6"/>
  <c r="H265" i="6"/>
  <c r="F265" i="6"/>
  <c r="C265" i="6"/>
  <c r="Z263" i="6"/>
  <c r="AA263" i="6" s="1"/>
  <c r="X263" i="6"/>
  <c r="W263" i="6"/>
  <c r="T263" i="6"/>
  <c r="U263" i="6" s="1"/>
  <c r="R263" i="6"/>
  <c r="Q263" i="6"/>
  <c r="L263" i="6"/>
  <c r="K263" i="6"/>
  <c r="F263" i="6"/>
  <c r="E263" i="6"/>
  <c r="B263" i="6"/>
  <c r="Z262" i="6"/>
  <c r="AA262" i="6" s="1"/>
  <c r="U262" i="6"/>
  <c r="T262" i="6"/>
  <c r="R262" i="6"/>
  <c r="Q262" i="6"/>
  <c r="N262" i="6"/>
  <c r="O262" i="6" s="1"/>
  <c r="L262" i="6"/>
  <c r="K262" i="6"/>
  <c r="E262" i="6"/>
  <c r="F262" i="6" s="1"/>
  <c r="B262" i="6"/>
  <c r="AD261" i="6"/>
  <c r="AC261" i="6"/>
  <c r="AA261" i="6"/>
  <c r="X261" i="6"/>
  <c r="W261" i="6"/>
  <c r="U261" i="6"/>
  <c r="R261" i="6"/>
  <c r="O261" i="6"/>
  <c r="N261" i="6"/>
  <c r="L261" i="6"/>
  <c r="I261" i="6"/>
  <c r="H261" i="6"/>
  <c r="F261" i="6"/>
  <c r="C261" i="6"/>
  <c r="AC260" i="6"/>
  <c r="AD260" i="6" s="1"/>
  <c r="AA260" i="6"/>
  <c r="W260" i="6"/>
  <c r="X260" i="6" s="1"/>
  <c r="U260" i="6"/>
  <c r="R260" i="6"/>
  <c r="O260" i="6"/>
  <c r="N260" i="6"/>
  <c r="L260" i="6"/>
  <c r="I260" i="6"/>
  <c r="H260" i="6"/>
  <c r="F260" i="6"/>
  <c r="C260" i="6"/>
  <c r="AD259" i="6"/>
  <c r="AC259" i="6"/>
  <c r="AA259" i="6"/>
  <c r="W259" i="6"/>
  <c r="X259" i="6" s="1"/>
  <c r="U259" i="6"/>
  <c r="R259" i="6"/>
  <c r="N259" i="6"/>
  <c r="O259" i="6" s="1"/>
  <c r="L259" i="6"/>
  <c r="H259" i="6"/>
  <c r="I259" i="6" s="1"/>
  <c r="F259" i="6"/>
  <c r="C259" i="6"/>
  <c r="AD258" i="6"/>
  <c r="AC258" i="6"/>
  <c r="AA258" i="6"/>
  <c r="X258" i="6"/>
  <c r="W258" i="6"/>
  <c r="U258" i="6"/>
  <c r="R258" i="6"/>
  <c r="N258" i="6"/>
  <c r="O258" i="6" s="1"/>
  <c r="L258" i="6"/>
  <c r="I258" i="6"/>
  <c r="H258" i="6"/>
  <c r="F258" i="6"/>
  <c r="C258" i="6"/>
  <c r="AD257" i="6"/>
  <c r="AC257" i="6"/>
  <c r="AA257" i="6"/>
  <c r="X257" i="6"/>
  <c r="W257" i="6"/>
  <c r="U257" i="6"/>
  <c r="R257" i="6"/>
  <c r="O257" i="6"/>
  <c r="N257" i="6"/>
  <c r="L257" i="6"/>
  <c r="H257" i="6"/>
  <c r="I257" i="6" s="1"/>
  <c r="F257" i="6"/>
  <c r="C257" i="6"/>
  <c r="AC256" i="6"/>
  <c r="AD256" i="6" s="1"/>
  <c r="AA256" i="6"/>
  <c r="W256" i="6"/>
  <c r="X256" i="6" s="1"/>
  <c r="U256" i="6"/>
  <c r="R256" i="6"/>
  <c r="O256" i="6"/>
  <c r="N256" i="6"/>
  <c r="L256" i="6"/>
  <c r="I256" i="6"/>
  <c r="H256" i="6"/>
  <c r="F256" i="6"/>
  <c r="C256" i="6"/>
  <c r="AC255" i="6"/>
  <c r="AD255" i="6" s="1"/>
  <c r="AA255" i="6"/>
  <c r="W255" i="6"/>
  <c r="X255" i="6" s="1"/>
  <c r="U255" i="6"/>
  <c r="R255" i="6"/>
  <c r="N255" i="6"/>
  <c r="O255" i="6" s="1"/>
  <c r="L255" i="6"/>
  <c r="H255" i="6"/>
  <c r="I255" i="6" s="1"/>
  <c r="F255" i="6"/>
  <c r="C255" i="6"/>
  <c r="AD254" i="6"/>
  <c r="AC254" i="6"/>
  <c r="AA254" i="6"/>
  <c r="X254" i="6"/>
  <c r="W254" i="6"/>
  <c r="U254" i="6"/>
  <c r="R254" i="6"/>
  <c r="N254" i="6"/>
  <c r="O254" i="6" s="1"/>
  <c r="L254" i="6"/>
  <c r="I254" i="6"/>
  <c r="H254" i="6"/>
  <c r="F254" i="6"/>
  <c r="C254" i="6"/>
  <c r="AD253" i="6"/>
  <c r="AC253" i="6"/>
  <c r="AA253" i="6"/>
  <c r="X253" i="6"/>
  <c r="W253" i="6"/>
  <c r="U253" i="6"/>
  <c r="R253" i="6"/>
  <c r="N253" i="6"/>
  <c r="O253" i="6" s="1"/>
  <c r="L253" i="6"/>
  <c r="I253" i="6"/>
  <c r="H253" i="6"/>
  <c r="F253" i="6"/>
  <c r="C253" i="6"/>
  <c r="AC252" i="6"/>
  <c r="AD252" i="6" s="1"/>
  <c r="AA252" i="6"/>
  <c r="W252" i="6"/>
  <c r="X252" i="6" s="1"/>
  <c r="U252" i="6"/>
  <c r="R252" i="6"/>
  <c r="O252" i="6"/>
  <c r="N252" i="6"/>
  <c r="L252" i="6"/>
  <c r="I252" i="6"/>
  <c r="H252" i="6"/>
  <c r="F252" i="6"/>
  <c r="C252" i="6"/>
  <c r="AD251" i="6"/>
  <c r="AC251" i="6"/>
  <c r="AA251" i="6"/>
  <c r="W251" i="6"/>
  <c r="X251" i="6" s="1"/>
  <c r="U251" i="6"/>
  <c r="R251" i="6"/>
  <c r="O251" i="6"/>
  <c r="N251" i="6"/>
  <c r="L251" i="6"/>
  <c r="H251" i="6"/>
  <c r="I251" i="6" s="1"/>
  <c r="F251" i="6"/>
  <c r="C251" i="6"/>
  <c r="AD250" i="6"/>
  <c r="AC250" i="6"/>
  <c r="AA250" i="6"/>
  <c r="X250" i="6"/>
  <c r="W250" i="6"/>
  <c r="U250" i="6"/>
  <c r="R250" i="6"/>
  <c r="N250" i="6"/>
  <c r="O250" i="6" s="1"/>
  <c r="L250" i="6"/>
  <c r="H250" i="6"/>
  <c r="I250" i="6" s="1"/>
  <c r="F250" i="6"/>
  <c r="C250" i="6"/>
  <c r="AD249" i="6"/>
  <c r="AC249" i="6"/>
  <c r="AA249" i="6"/>
  <c r="X249" i="6"/>
  <c r="W249" i="6"/>
  <c r="U249" i="6"/>
  <c r="R249" i="6"/>
  <c r="O249" i="6"/>
  <c r="N249" i="6"/>
  <c r="L249" i="6"/>
  <c r="H249" i="6"/>
  <c r="I249" i="6" s="1"/>
  <c r="F249" i="6"/>
  <c r="C249" i="6"/>
  <c r="AC248" i="6"/>
  <c r="AD248" i="6" s="1"/>
  <c r="AA248" i="6"/>
  <c r="W248" i="6"/>
  <c r="X248" i="6" s="1"/>
  <c r="U248" i="6"/>
  <c r="R248" i="6"/>
  <c r="O248" i="6"/>
  <c r="N248" i="6"/>
  <c r="L248" i="6"/>
  <c r="I248" i="6"/>
  <c r="H248" i="6"/>
  <c r="F248" i="6"/>
  <c r="C248" i="6"/>
  <c r="AC247" i="6"/>
  <c r="AD247" i="6" s="1"/>
  <c r="AA247" i="6"/>
  <c r="X247" i="6"/>
  <c r="W247" i="6"/>
  <c r="U247" i="6"/>
  <c r="R247" i="6"/>
  <c r="N247" i="6"/>
  <c r="O247" i="6" s="1"/>
  <c r="L247" i="6"/>
  <c r="H247" i="6"/>
  <c r="I247" i="6" s="1"/>
  <c r="F247" i="6"/>
  <c r="C247" i="6"/>
  <c r="AD246" i="6"/>
  <c r="AC246" i="6"/>
  <c r="AA246" i="6"/>
  <c r="X246" i="6"/>
  <c r="W246" i="6"/>
  <c r="U246" i="6"/>
  <c r="R246" i="6"/>
  <c r="N246" i="6"/>
  <c r="O246" i="6" s="1"/>
  <c r="L246" i="6"/>
  <c r="I246" i="6"/>
  <c r="H246" i="6"/>
  <c r="F246" i="6"/>
  <c r="C246" i="6"/>
  <c r="AD245" i="6"/>
  <c r="AC245" i="6"/>
  <c r="AA245" i="6"/>
  <c r="X245" i="6"/>
  <c r="W245" i="6"/>
  <c r="U245" i="6"/>
  <c r="R245" i="6"/>
  <c r="N245" i="6"/>
  <c r="O245" i="6" s="1"/>
  <c r="L245" i="6"/>
  <c r="I245" i="6"/>
  <c r="H245" i="6"/>
  <c r="F245" i="6"/>
  <c r="C245" i="6"/>
  <c r="AC244" i="6"/>
  <c r="AD244" i="6" s="1"/>
  <c r="AA244" i="6"/>
  <c r="W244" i="6"/>
  <c r="X244" i="6" s="1"/>
  <c r="U244" i="6"/>
  <c r="R244" i="6"/>
  <c r="O244" i="6"/>
  <c r="N244" i="6"/>
  <c r="L244" i="6"/>
  <c r="I244" i="6"/>
  <c r="H244" i="6"/>
  <c r="F244" i="6"/>
  <c r="C244" i="6"/>
  <c r="AD243" i="6"/>
  <c r="AC243" i="6"/>
  <c r="AA243" i="6"/>
  <c r="W243" i="6"/>
  <c r="X243" i="6" s="1"/>
  <c r="U243" i="6"/>
  <c r="R243" i="6"/>
  <c r="O243" i="6"/>
  <c r="N243" i="6"/>
  <c r="L243" i="6"/>
  <c r="I243" i="6"/>
  <c r="H243" i="6"/>
  <c r="F243" i="6"/>
  <c r="C243" i="6"/>
  <c r="AC242" i="6"/>
  <c r="AD242" i="6" s="1"/>
  <c r="AA242" i="6"/>
  <c r="X242" i="6"/>
  <c r="W242" i="6"/>
  <c r="U242" i="6"/>
  <c r="R242" i="6"/>
  <c r="N242" i="6"/>
  <c r="O242" i="6" s="1"/>
  <c r="L242" i="6"/>
  <c r="I242" i="6"/>
  <c r="H242" i="6"/>
  <c r="F242" i="6"/>
  <c r="C242" i="6"/>
  <c r="AD241" i="6"/>
  <c r="AC241" i="6"/>
  <c r="AA241" i="6"/>
  <c r="W241" i="6"/>
  <c r="X241" i="6" s="1"/>
  <c r="U241" i="6"/>
  <c r="R241" i="6"/>
  <c r="O241" i="6"/>
  <c r="N241" i="6"/>
  <c r="L241" i="6"/>
  <c r="I241" i="6"/>
  <c r="H241" i="6"/>
  <c r="F241" i="6"/>
  <c r="C241" i="6"/>
  <c r="AD240" i="6"/>
  <c r="AC240" i="6"/>
  <c r="AA240" i="6"/>
  <c r="W240" i="6"/>
  <c r="X240" i="6" s="1"/>
  <c r="U240" i="6"/>
  <c r="R240" i="6"/>
  <c r="O240" i="6"/>
  <c r="N240" i="6"/>
  <c r="L240" i="6"/>
  <c r="I240" i="6"/>
  <c r="H240" i="6"/>
  <c r="F240" i="6"/>
  <c r="C240" i="6"/>
  <c r="AC238" i="6"/>
  <c r="AD238" i="6" s="1"/>
  <c r="AA238" i="6"/>
  <c r="X238" i="6"/>
  <c r="W238" i="6"/>
  <c r="U238" i="6"/>
  <c r="R238" i="6"/>
  <c r="O238" i="6"/>
  <c r="N238" i="6"/>
  <c r="L238" i="6"/>
  <c r="H238" i="6"/>
  <c r="I238" i="6" s="1"/>
  <c r="F238" i="6"/>
  <c r="C238" i="6"/>
  <c r="AA236" i="6"/>
  <c r="Z236" i="6"/>
  <c r="W236" i="6"/>
  <c r="X236" i="6" s="1"/>
  <c r="U236" i="6"/>
  <c r="T236" i="6"/>
  <c r="R236" i="6"/>
  <c r="Q236" i="6"/>
  <c r="AC236" i="6" s="1"/>
  <c r="AD236" i="6" s="1"/>
  <c r="K236" i="6"/>
  <c r="L236" i="6" s="1"/>
  <c r="E236" i="6"/>
  <c r="F236" i="6" s="1"/>
  <c r="B236" i="6"/>
  <c r="H236" i="6" s="1"/>
  <c r="I236" i="6" s="1"/>
  <c r="AD235" i="6"/>
  <c r="AC235" i="6"/>
  <c r="AA235" i="6"/>
  <c r="W235" i="6"/>
  <c r="X235" i="6" s="1"/>
  <c r="U235" i="6"/>
  <c r="R235" i="6"/>
  <c r="N235" i="6"/>
  <c r="O235" i="6" s="1"/>
  <c r="L235" i="6"/>
  <c r="I235" i="6"/>
  <c r="H235" i="6"/>
  <c r="F235" i="6"/>
  <c r="C235" i="6"/>
  <c r="AC234" i="6"/>
  <c r="AD234" i="6" s="1"/>
  <c r="AA234" i="6"/>
  <c r="X234" i="6"/>
  <c r="W234" i="6"/>
  <c r="U234" i="6"/>
  <c r="R234" i="6"/>
  <c r="N234" i="6"/>
  <c r="O234" i="6" s="1"/>
  <c r="L234" i="6"/>
  <c r="I234" i="6"/>
  <c r="H234" i="6"/>
  <c r="F234" i="6"/>
  <c r="C234" i="6"/>
  <c r="AD233" i="6"/>
  <c r="AC233" i="6"/>
  <c r="AA233" i="6"/>
  <c r="W233" i="6"/>
  <c r="X233" i="6" s="1"/>
  <c r="U233" i="6"/>
  <c r="R233" i="6"/>
  <c r="N233" i="6"/>
  <c r="O233" i="6" s="1"/>
  <c r="L233" i="6"/>
  <c r="H233" i="6"/>
  <c r="I233" i="6" s="1"/>
  <c r="F233" i="6"/>
  <c r="C233" i="6"/>
  <c r="AD232" i="6"/>
  <c r="AC232" i="6"/>
  <c r="AA232" i="6"/>
  <c r="X232" i="6"/>
  <c r="W232" i="6"/>
  <c r="U232" i="6"/>
  <c r="R232" i="6"/>
  <c r="N232" i="6"/>
  <c r="O232" i="6" s="1"/>
  <c r="L232" i="6"/>
  <c r="I232" i="6"/>
  <c r="H232" i="6"/>
  <c r="F232" i="6"/>
  <c r="C232" i="6"/>
  <c r="AD231" i="6"/>
  <c r="AC231" i="6"/>
  <c r="AA231" i="6"/>
  <c r="W231" i="6"/>
  <c r="X231" i="6" s="1"/>
  <c r="U231" i="6"/>
  <c r="R231" i="6"/>
  <c r="N231" i="6"/>
  <c r="O231" i="6" s="1"/>
  <c r="L231" i="6"/>
  <c r="I231" i="6"/>
  <c r="H231" i="6"/>
  <c r="F231" i="6"/>
  <c r="C231" i="6"/>
  <c r="AD230" i="6"/>
  <c r="AC230" i="6"/>
  <c r="AA230" i="6"/>
  <c r="W230" i="6"/>
  <c r="X230" i="6" s="1"/>
  <c r="U230" i="6"/>
  <c r="R230" i="6"/>
  <c r="O230" i="6"/>
  <c r="N230" i="6"/>
  <c r="L230" i="6"/>
  <c r="I230" i="6"/>
  <c r="H230" i="6"/>
  <c r="F230" i="6"/>
  <c r="C230" i="6"/>
  <c r="AC229" i="6"/>
  <c r="AD229" i="6" s="1"/>
  <c r="AA229" i="6"/>
  <c r="W229" i="6"/>
  <c r="X229" i="6" s="1"/>
  <c r="U229" i="6"/>
  <c r="R229" i="6"/>
  <c r="N229" i="6"/>
  <c r="O229" i="6" s="1"/>
  <c r="L229" i="6"/>
  <c r="I229" i="6"/>
  <c r="H229" i="6"/>
  <c r="F229" i="6"/>
  <c r="C229" i="6"/>
  <c r="Z227" i="6"/>
  <c r="AA227" i="6" s="1"/>
  <c r="W227" i="6"/>
  <c r="X227" i="6" s="1"/>
  <c r="U227" i="6"/>
  <c r="T227" i="6"/>
  <c r="R227" i="6"/>
  <c r="Q227" i="6"/>
  <c r="N227" i="6"/>
  <c r="O227" i="6" s="1"/>
  <c r="K227" i="6"/>
  <c r="L227" i="6" s="1"/>
  <c r="F227" i="6"/>
  <c r="E227" i="6"/>
  <c r="C227" i="6"/>
  <c r="B227" i="6"/>
  <c r="H227" i="6" s="1"/>
  <c r="I227" i="6" s="1"/>
  <c r="AC226" i="6"/>
  <c r="AD226" i="6" s="1"/>
  <c r="AA226" i="6"/>
  <c r="W226" i="6"/>
  <c r="X226" i="6" s="1"/>
  <c r="U226" i="6"/>
  <c r="R226" i="6"/>
  <c r="O226" i="6"/>
  <c r="N226" i="6"/>
  <c r="L226" i="6"/>
  <c r="I226" i="6"/>
  <c r="H226" i="6"/>
  <c r="F226" i="6"/>
  <c r="C226" i="6"/>
  <c r="AD225" i="6"/>
  <c r="AC225" i="6"/>
  <c r="AA225" i="6"/>
  <c r="X225" i="6"/>
  <c r="W225" i="6"/>
  <c r="U225" i="6"/>
  <c r="R225" i="6"/>
  <c r="N225" i="6"/>
  <c r="O225" i="6" s="1"/>
  <c r="L225" i="6"/>
  <c r="I225" i="6"/>
  <c r="H225" i="6"/>
  <c r="F225" i="6"/>
  <c r="C225" i="6"/>
  <c r="AD224" i="6"/>
  <c r="AC224" i="6"/>
  <c r="AA224" i="6"/>
  <c r="X224" i="6"/>
  <c r="W224" i="6"/>
  <c r="U224" i="6"/>
  <c r="R224" i="6"/>
  <c r="O224" i="6"/>
  <c r="N224" i="6"/>
  <c r="L224" i="6"/>
  <c r="H224" i="6"/>
  <c r="I224" i="6" s="1"/>
  <c r="F224" i="6"/>
  <c r="C224" i="6"/>
  <c r="AD223" i="6"/>
  <c r="AC223" i="6"/>
  <c r="AA223" i="6"/>
  <c r="W223" i="6"/>
  <c r="X223" i="6" s="1"/>
  <c r="U223" i="6"/>
  <c r="R223" i="6"/>
  <c r="O223" i="6"/>
  <c r="N223" i="6"/>
  <c r="L223" i="6"/>
  <c r="I223" i="6"/>
  <c r="H223" i="6"/>
  <c r="F223" i="6"/>
  <c r="C223" i="6"/>
  <c r="AD222" i="6"/>
  <c r="AC222" i="6"/>
  <c r="AA222" i="6"/>
  <c r="X222" i="6"/>
  <c r="W222" i="6"/>
  <c r="U222" i="6"/>
  <c r="R222" i="6"/>
  <c r="N222" i="6"/>
  <c r="O222" i="6" s="1"/>
  <c r="L222" i="6"/>
  <c r="I222" i="6"/>
  <c r="H222" i="6"/>
  <c r="F222" i="6"/>
  <c r="C222" i="6"/>
  <c r="AD221" i="6"/>
  <c r="AC221" i="6"/>
  <c r="AA221" i="6"/>
  <c r="X221" i="6"/>
  <c r="W221" i="6"/>
  <c r="U221" i="6"/>
  <c r="R221" i="6"/>
  <c r="N221" i="6"/>
  <c r="O221" i="6" s="1"/>
  <c r="L221" i="6"/>
  <c r="H221" i="6"/>
  <c r="I221" i="6" s="1"/>
  <c r="F221" i="6"/>
  <c r="C221" i="6"/>
  <c r="AD220" i="6"/>
  <c r="AC220" i="6"/>
  <c r="AA220" i="6"/>
  <c r="X220" i="6"/>
  <c r="W220" i="6"/>
  <c r="U220" i="6"/>
  <c r="R220" i="6"/>
  <c r="O220" i="6"/>
  <c r="N220" i="6"/>
  <c r="L220" i="6"/>
  <c r="H220" i="6"/>
  <c r="I220" i="6" s="1"/>
  <c r="F220" i="6"/>
  <c r="C220" i="6"/>
  <c r="AC219" i="6"/>
  <c r="AD219" i="6" s="1"/>
  <c r="AA219" i="6"/>
  <c r="W219" i="6"/>
  <c r="X219" i="6" s="1"/>
  <c r="U219" i="6"/>
  <c r="R219" i="6"/>
  <c r="O219" i="6"/>
  <c r="N219" i="6"/>
  <c r="L219" i="6"/>
  <c r="I219" i="6"/>
  <c r="H219" i="6"/>
  <c r="F219" i="6"/>
  <c r="C219" i="6"/>
  <c r="AA218" i="6"/>
  <c r="Z218" i="6"/>
  <c r="AC218" i="6" s="1"/>
  <c r="AD218" i="6" s="1"/>
  <c r="U218" i="6"/>
  <c r="T218" i="6"/>
  <c r="Q218" i="6"/>
  <c r="L218" i="6"/>
  <c r="K218" i="6"/>
  <c r="E218" i="6"/>
  <c r="F218" i="6" s="1"/>
  <c r="B218" i="6"/>
  <c r="AD217" i="6"/>
  <c r="AC217" i="6"/>
  <c r="AA217" i="6"/>
  <c r="X217" i="6"/>
  <c r="W217" i="6"/>
  <c r="U217" i="6"/>
  <c r="R217" i="6"/>
  <c r="O217" i="6"/>
  <c r="N217" i="6"/>
  <c r="L217" i="6"/>
  <c r="I217" i="6"/>
  <c r="H217" i="6"/>
  <c r="F217" i="6"/>
  <c r="C217" i="6"/>
  <c r="AC216" i="6"/>
  <c r="AD216" i="6" s="1"/>
  <c r="AA216" i="6"/>
  <c r="W216" i="6"/>
  <c r="X216" i="6" s="1"/>
  <c r="U216" i="6"/>
  <c r="R216" i="6"/>
  <c r="N216" i="6"/>
  <c r="O216" i="6" s="1"/>
  <c r="L216" i="6"/>
  <c r="I216" i="6"/>
  <c r="H216" i="6"/>
  <c r="F216" i="6"/>
  <c r="C216" i="6"/>
  <c r="AD215" i="6"/>
  <c r="AC215" i="6"/>
  <c r="AA215" i="6"/>
  <c r="X215" i="6"/>
  <c r="W215" i="6"/>
  <c r="U215" i="6"/>
  <c r="R215" i="6"/>
  <c r="O215" i="6"/>
  <c r="N215" i="6"/>
  <c r="L215" i="6"/>
  <c r="H215" i="6"/>
  <c r="I215" i="6" s="1"/>
  <c r="F215" i="6"/>
  <c r="C215" i="6"/>
  <c r="AC214" i="6"/>
  <c r="AD214" i="6" s="1"/>
  <c r="AA214" i="6"/>
  <c r="W214" i="6"/>
  <c r="X214" i="6" s="1"/>
  <c r="U214" i="6"/>
  <c r="R214" i="6"/>
  <c r="N214" i="6"/>
  <c r="O214" i="6" s="1"/>
  <c r="L214" i="6"/>
  <c r="I214" i="6"/>
  <c r="H214" i="6"/>
  <c r="F214" i="6"/>
  <c r="C214" i="6"/>
  <c r="AD213" i="6"/>
  <c r="AC213" i="6"/>
  <c r="AA213" i="6"/>
  <c r="X213" i="6"/>
  <c r="W213" i="6"/>
  <c r="U213" i="6"/>
  <c r="R213" i="6"/>
  <c r="N213" i="6"/>
  <c r="O213" i="6" s="1"/>
  <c r="L213" i="6"/>
  <c r="H213" i="6"/>
  <c r="I213" i="6" s="1"/>
  <c r="F213" i="6"/>
  <c r="C213" i="6"/>
  <c r="AC211" i="6"/>
  <c r="AD211" i="6" s="1"/>
  <c r="AA211" i="6"/>
  <c r="W211" i="6"/>
  <c r="X211" i="6" s="1"/>
  <c r="U211" i="6"/>
  <c r="R211" i="6"/>
  <c r="O211" i="6"/>
  <c r="N211" i="6"/>
  <c r="L211" i="6"/>
  <c r="I211" i="6"/>
  <c r="H211" i="6"/>
  <c r="F211" i="6"/>
  <c r="C211" i="6"/>
  <c r="AC209" i="6"/>
  <c r="AD209" i="6" s="1"/>
  <c r="AA209" i="6"/>
  <c r="Z209" i="6"/>
  <c r="U209" i="6"/>
  <c r="T209" i="6"/>
  <c r="R209" i="6"/>
  <c r="Q209" i="6"/>
  <c r="L209" i="6"/>
  <c r="K209" i="6"/>
  <c r="H209" i="6"/>
  <c r="I209" i="6" s="1"/>
  <c r="F209" i="6"/>
  <c r="E209" i="6"/>
  <c r="C209" i="6"/>
  <c r="B209" i="6"/>
  <c r="N209" i="6" s="1"/>
  <c r="O209" i="6" s="1"/>
  <c r="AD208" i="6"/>
  <c r="AC208" i="6"/>
  <c r="AA208" i="6"/>
  <c r="X208" i="6"/>
  <c r="W208" i="6"/>
  <c r="U208" i="6"/>
  <c r="R208" i="6"/>
  <c r="O208" i="6"/>
  <c r="N208" i="6"/>
  <c r="L208" i="6"/>
  <c r="H208" i="6"/>
  <c r="I208" i="6" s="1"/>
  <c r="F208" i="6"/>
  <c r="C208" i="6"/>
  <c r="AD207" i="6"/>
  <c r="AC207" i="6"/>
  <c r="AA207" i="6"/>
  <c r="W207" i="6"/>
  <c r="X207" i="6" s="1"/>
  <c r="U207" i="6"/>
  <c r="R207" i="6"/>
  <c r="O207" i="6"/>
  <c r="N207" i="6"/>
  <c r="L207" i="6"/>
  <c r="I207" i="6"/>
  <c r="H207" i="6"/>
  <c r="F207" i="6"/>
  <c r="C207" i="6"/>
  <c r="AD206" i="6"/>
  <c r="AC206" i="6"/>
  <c r="AA206" i="6"/>
  <c r="X206" i="6"/>
  <c r="W206" i="6"/>
  <c r="U206" i="6"/>
  <c r="R206" i="6"/>
  <c r="N206" i="6"/>
  <c r="O206" i="6" s="1"/>
  <c r="L206" i="6"/>
  <c r="I206" i="6"/>
  <c r="H206" i="6"/>
  <c r="F206" i="6"/>
  <c r="C206" i="6"/>
  <c r="AC205" i="6"/>
  <c r="AD205" i="6" s="1"/>
  <c r="AA205" i="6"/>
  <c r="X205" i="6"/>
  <c r="W205" i="6"/>
  <c r="U205" i="6"/>
  <c r="R205" i="6"/>
  <c r="N205" i="6"/>
  <c r="O205" i="6" s="1"/>
  <c r="L205" i="6"/>
  <c r="H205" i="6"/>
  <c r="I205" i="6" s="1"/>
  <c r="F205" i="6"/>
  <c r="C205" i="6"/>
  <c r="AD204" i="6"/>
  <c r="AC204" i="6"/>
  <c r="AA204" i="6"/>
  <c r="W204" i="6"/>
  <c r="X204" i="6" s="1"/>
  <c r="U204" i="6"/>
  <c r="R204" i="6"/>
  <c r="O204" i="6"/>
  <c r="N204" i="6"/>
  <c r="L204" i="6"/>
  <c r="H204" i="6"/>
  <c r="I204" i="6" s="1"/>
  <c r="F204" i="6"/>
  <c r="C204" i="6"/>
  <c r="AD203" i="6"/>
  <c r="AC203" i="6"/>
  <c r="AA203" i="6"/>
  <c r="W203" i="6"/>
  <c r="X203" i="6" s="1"/>
  <c r="U203" i="6"/>
  <c r="R203" i="6"/>
  <c r="N203" i="6"/>
  <c r="O203" i="6" s="1"/>
  <c r="L203" i="6"/>
  <c r="I203" i="6"/>
  <c r="H203" i="6"/>
  <c r="F203" i="6"/>
  <c r="C203" i="6"/>
  <c r="AC202" i="6"/>
  <c r="AD202" i="6" s="1"/>
  <c r="AA202" i="6"/>
  <c r="W202" i="6"/>
  <c r="X202" i="6" s="1"/>
  <c r="U202" i="6"/>
  <c r="R202" i="6"/>
  <c r="N202" i="6"/>
  <c r="O202" i="6" s="1"/>
  <c r="L202" i="6"/>
  <c r="I202" i="6"/>
  <c r="H202" i="6"/>
  <c r="F202" i="6"/>
  <c r="C202" i="6"/>
  <c r="AD201" i="6"/>
  <c r="AC201" i="6"/>
  <c r="AA201" i="6"/>
  <c r="W201" i="6"/>
  <c r="X201" i="6" s="1"/>
  <c r="U201" i="6"/>
  <c r="R201" i="6"/>
  <c r="N201" i="6"/>
  <c r="O201" i="6" s="1"/>
  <c r="L201" i="6"/>
  <c r="H201" i="6"/>
  <c r="I201" i="6" s="1"/>
  <c r="F201" i="6"/>
  <c r="C201" i="6"/>
  <c r="AC197" i="6"/>
  <c r="AD197" i="6" s="1"/>
  <c r="AA197" i="6"/>
  <c r="Z197" i="6"/>
  <c r="U197" i="6"/>
  <c r="T197" i="6"/>
  <c r="R197" i="6"/>
  <c r="Q197" i="6"/>
  <c r="L197" i="6"/>
  <c r="K197" i="6"/>
  <c r="E197" i="6"/>
  <c r="H197" i="6" s="1"/>
  <c r="I197" i="6" s="1"/>
  <c r="C197" i="6"/>
  <c r="B197" i="6"/>
  <c r="N197" i="6" s="1"/>
  <c r="O197" i="6" s="1"/>
  <c r="Z196" i="6"/>
  <c r="AA196" i="6" s="1"/>
  <c r="U196" i="6"/>
  <c r="T196" i="6"/>
  <c r="W196" i="6" s="1"/>
  <c r="X196" i="6" s="1"/>
  <c r="R196" i="6"/>
  <c r="Q196" i="6"/>
  <c r="N196" i="6"/>
  <c r="O196" i="6" s="1"/>
  <c r="L196" i="6"/>
  <c r="K196" i="6"/>
  <c r="F196" i="6"/>
  <c r="E196" i="6"/>
  <c r="B196" i="6"/>
  <c r="C196" i="6" s="1"/>
  <c r="AC195" i="6"/>
  <c r="AD195" i="6" s="1"/>
  <c r="AA195" i="6"/>
  <c r="X195" i="6"/>
  <c r="W195" i="6"/>
  <c r="U195" i="6"/>
  <c r="R195" i="6"/>
  <c r="N195" i="6"/>
  <c r="O195" i="6" s="1"/>
  <c r="L195" i="6"/>
  <c r="I195" i="6"/>
  <c r="H195" i="6"/>
  <c r="F195" i="6"/>
  <c r="C195" i="6"/>
  <c r="AC194" i="6"/>
  <c r="AD194" i="6" s="1"/>
  <c r="AA194" i="6"/>
  <c r="W194" i="6"/>
  <c r="X194" i="6" s="1"/>
  <c r="U194" i="6"/>
  <c r="R194" i="6"/>
  <c r="N194" i="6"/>
  <c r="O194" i="6" s="1"/>
  <c r="L194" i="6"/>
  <c r="I194" i="6"/>
  <c r="H194" i="6"/>
  <c r="F194" i="6"/>
  <c r="C194" i="6"/>
  <c r="AA193" i="6"/>
  <c r="Z193" i="6"/>
  <c r="U193" i="6"/>
  <c r="T193" i="6"/>
  <c r="W193" i="6" s="1"/>
  <c r="X193" i="6" s="1"/>
  <c r="R193" i="6"/>
  <c r="Q193" i="6"/>
  <c r="AC193" i="6" s="1"/>
  <c r="AD193" i="6" s="1"/>
  <c r="K193" i="6"/>
  <c r="L193" i="6" s="1"/>
  <c r="H193" i="6"/>
  <c r="I193" i="6" s="1"/>
  <c r="F193" i="6"/>
  <c r="E193" i="6"/>
  <c r="C193" i="6"/>
  <c r="B193" i="6"/>
  <c r="N193" i="6" s="1"/>
  <c r="O193" i="6" s="1"/>
  <c r="AC192" i="6"/>
  <c r="AD192" i="6" s="1"/>
  <c r="AA192" i="6"/>
  <c r="X192" i="6"/>
  <c r="W192" i="6"/>
  <c r="U192" i="6"/>
  <c r="R192" i="6"/>
  <c r="N192" i="6"/>
  <c r="O192" i="6" s="1"/>
  <c r="L192" i="6"/>
  <c r="I192" i="6"/>
  <c r="H192" i="6"/>
  <c r="F192" i="6"/>
  <c r="C192" i="6"/>
  <c r="AD191" i="6"/>
  <c r="AC191" i="6"/>
  <c r="AA191" i="6"/>
  <c r="W191" i="6"/>
  <c r="X191" i="6" s="1"/>
  <c r="U191" i="6"/>
  <c r="R191" i="6"/>
  <c r="N191" i="6"/>
  <c r="O191" i="6" s="1"/>
  <c r="L191" i="6"/>
  <c r="H191" i="6"/>
  <c r="I191" i="6" s="1"/>
  <c r="F191" i="6"/>
  <c r="C191" i="6"/>
  <c r="AD190" i="6"/>
  <c r="AC190" i="6"/>
  <c r="AA190" i="6"/>
  <c r="X190" i="6"/>
  <c r="W190" i="6"/>
  <c r="U190" i="6"/>
  <c r="R190" i="6"/>
  <c r="N190" i="6"/>
  <c r="O190" i="6" s="1"/>
  <c r="L190" i="6"/>
  <c r="I190" i="6"/>
  <c r="H190" i="6"/>
  <c r="F190" i="6"/>
  <c r="C190" i="6"/>
  <c r="AD189" i="6"/>
  <c r="AC189" i="6"/>
  <c r="AA189" i="6"/>
  <c r="W189" i="6"/>
  <c r="X189" i="6" s="1"/>
  <c r="U189" i="6"/>
  <c r="R189" i="6"/>
  <c r="O189" i="6"/>
  <c r="N189" i="6"/>
  <c r="L189" i="6"/>
  <c r="I189" i="6"/>
  <c r="H189" i="6"/>
  <c r="F189" i="6"/>
  <c r="C189" i="6"/>
  <c r="AC188" i="6"/>
  <c r="AD188" i="6" s="1"/>
  <c r="AA188" i="6"/>
  <c r="X188" i="6"/>
  <c r="W188" i="6"/>
  <c r="U188" i="6"/>
  <c r="R188" i="6"/>
  <c r="O188" i="6"/>
  <c r="N188" i="6"/>
  <c r="L188" i="6"/>
  <c r="I188" i="6"/>
  <c r="H188" i="6"/>
  <c r="F188" i="6"/>
  <c r="C188" i="6"/>
  <c r="AD187" i="6"/>
  <c r="AC187" i="6"/>
  <c r="AA187" i="6"/>
  <c r="X187" i="6"/>
  <c r="W187" i="6"/>
  <c r="U187" i="6"/>
  <c r="R187" i="6"/>
  <c r="O187" i="6"/>
  <c r="N187" i="6"/>
  <c r="L187" i="6"/>
  <c r="H187" i="6"/>
  <c r="I187" i="6" s="1"/>
  <c r="F187" i="6"/>
  <c r="C187" i="6"/>
  <c r="AD186" i="6"/>
  <c r="AC186" i="6"/>
  <c r="AA186" i="6"/>
  <c r="X186" i="6"/>
  <c r="W186" i="6"/>
  <c r="U186" i="6"/>
  <c r="R186" i="6"/>
  <c r="O186" i="6"/>
  <c r="N186" i="6"/>
  <c r="L186" i="6"/>
  <c r="I186" i="6"/>
  <c r="H186" i="6"/>
  <c r="F186" i="6"/>
  <c r="C186" i="6"/>
  <c r="AD184" i="6"/>
  <c r="AC184" i="6"/>
  <c r="AA184" i="6"/>
  <c r="W184" i="6"/>
  <c r="X184" i="6" s="1"/>
  <c r="U184" i="6"/>
  <c r="R184" i="6"/>
  <c r="N184" i="6"/>
  <c r="O184" i="6" s="1"/>
  <c r="L184" i="6"/>
  <c r="I184" i="6"/>
  <c r="H184" i="6"/>
  <c r="F184" i="6"/>
  <c r="C184" i="6"/>
  <c r="AC183" i="6"/>
  <c r="AD183" i="6" s="1"/>
  <c r="AA183" i="6"/>
  <c r="X183" i="6"/>
  <c r="W183" i="6"/>
  <c r="U183" i="6"/>
  <c r="R183" i="6"/>
  <c r="O183" i="6"/>
  <c r="N183" i="6"/>
  <c r="L183" i="6"/>
  <c r="H183" i="6"/>
  <c r="I183" i="6" s="1"/>
  <c r="F183" i="6"/>
  <c r="C183" i="6"/>
  <c r="Z182" i="6"/>
  <c r="AA182" i="6" s="1"/>
  <c r="T182" i="6"/>
  <c r="R182" i="6"/>
  <c r="Q182" i="6"/>
  <c r="AC182" i="6" s="1"/>
  <c r="AD182" i="6" s="1"/>
  <c r="L182" i="6"/>
  <c r="K182" i="6"/>
  <c r="F182" i="6"/>
  <c r="E182" i="6"/>
  <c r="B182" i="6"/>
  <c r="AC181" i="6"/>
  <c r="AD181" i="6" s="1"/>
  <c r="AA181" i="6"/>
  <c r="X181" i="6"/>
  <c r="W181" i="6"/>
  <c r="U181" i="6"/>
  <c r="R181" i="6"/>
  <c r="O181" i="6"/>
  <c r="N181" i="6"/>
  <c r="L181" i="6"/>
  <c r="H181" i="6"/>
  <c r="I181" i="6" s="1"/>
  <c r="F181" i="6"/>
  <c r="C181" i="6"/>
  <c r="AC180" i="6"/>
  <c r="AD180" i="6" s="1"/>
  <c r="AA180" i="6"/>
  <c r="W180" i="6"/>
  <c r="X180" i="6" s="1"/>
  <c r="U180" i="6"/>
  <c r="R180" i="6"/>
  <c r="O180" i="6"/>
  <c r="N180" i="6"/>
  <c r="L180" i="6"/>
  <c r="I180" i="6"/>
  <c r="H180" i="6"/>
  <c r="F180" i="6"/>
  <c r="C180" i="6"/>
  <c r="AD179" i="6"/>
  <c r="AC179" i="6"/>
  <c r="AA179" i="6"/>
  <c r="W179" i="6"/>
  <c r="X179" i="6" s="1"/>
  <c r="U179" i="6"/>
  <c r="R179" i="6"/>
  <c r="N179" i="6"/>
  <c r="O179" i="6" s="1"/>
  <c r="L179" i="6"/>
  <c r="H179" i="6"/>
  <c r="I179" i="6" s="1"/>
  <c r="F179" i="6"/>
  <c r="C179" i="6"/>
  <c r="AC178" i="6"/>
  <c r="AD178" i="6" s="1"/>
  <c r="AA178" i="6"/>
  <c r="X178" i="6"/>
  <c r="W178" i="6"/>
  <c r="U178" i="6"/>
  <c r="R178" i="6"/>
  <c r="O178" i="6"/>
  <c r="N178" i="6"/>
  <c r="L178" i="6"/>
  <c r="I178" i="6"/>
  <c r="H178" i="6"/>
  <c r="F178" i="6"/>
  <c r="C178" i="6"/>
  <c r="AD177" i="6"/>
  <c r="AC177" i="6"/>
  <c r="AA177" i="6"/>
  <c r="X177" i="6"/>
  <c r="W177" i="6"/>
  <c r="U177" i="6"/>
  <c r="R177" i="6"/>
  <c r="N177" i="6"/>
  <c r="O177" i="6" s="1"/>
  <c r="L177" i="6"/>
  <c r="H177" i="6"/>
  <c r="I177" i="6" s="1"/>
  <c r="F177" i="6"/>
  <c r="C177" i="6"/>
  <c r="AC175" i="6"/>
  <c r="AD175" i="6" s="1"/>
  <c r="AA175" i="6"/>
  <c r="W175" i="6"/>
  <c r="X175" i="6" s="1"/>
  <c r="U175" i="6"/>
  <c r="R175" i="6"/>
  <c r="O175" i="6"/>
  <c r="N175" i="6"/>
  <c r="L175" i="6"/>
  <c r="I175" i="6"/>
  <c r="H175" i="6"/>
  <c r="F175" i="6"/>
  <c r="C175" i="6"/>
  <c r="AA171" i="6"/>
  <c r="Z171" i="6"/>
  <c r="Z172" i="6" s="1"/>
  <c r="T171" i="6"/>
  <c r="U171" i="6" s="1"/>
  <c r="Q171" i="6"/>
  <c r="L171" i="6"/>
  <c r="K171" i="6"/>
  <c r="H171" i="6"/>
  <c r="I171" i="6" s="1"/>
  <c r="F171" i="6"/>
  <c r="E171" i="6"/>
  <c r="B171" i="6"/>
  <c r="N171" i="6" s="1"/>
  <c r="O171" i="6" s="1"/>
  <c r="Z170" i="6"/>
  <c r="AA170" i="6" s="1"/>
  <c r="W170" i="6"/>
  <c r="X170" i="6" s="1"/>
  <c r="U170" i="6"/>
  <c r="T170" i="6"/>
  <c r="R170" i="6"/>
  <c r="Q170" i="6"/>
  <c r="L170" i="6"/>
  <c r="K170" i="6"/>
  <c r="H170" i="6"/>
  <c r="I170" i="6" s="1"/>
  <c r="F170" i="6"/>
  <c r="E170" i="6"/>
  <c r="B170" i="6"/>
  <c r="AC169" i="6"/>
  <c r="AD169" i="6" s="1"/>
  <c r="AA169" i="6"/>
  <c r="X169" i="6"/>
  <c r="W169" i="6"/>
  <c r="U169" i="6"/>
  <c r="R169" i="6"/>
  <c r="O169" i="6"/>
  <c r="N169" i="6"/>
  <c r="L169" i="6"/>
  <c r="H169" i="6"/>
  <c r="I169" i="6" s="1"/>
  <c r="F169" i="6"/>
  <c r="C169" i="6"/>
  <c r="AC168" i="6"/>
  <c r="AD168" i="6" s="1"/>
  <c r="AA168" i="6"/>
  <c r="W168" i="6"/>
  <c r="X168" i="6" s="1"/>
  <c r="U168" i="6"/>
  <c r="R168" i="6"/>
  <c r="O168" i="6"/>
  <c r="N168" i="6"/>
  <c r="L168" i="6"/>
  <c r="I168" i="6"/>
  <c r="H168" i="6"/>
  <c r="F168" i="6"/>
  <c r="C168" i="6"/>
  <c r="AD167" i="6"/>
  <c r="AC167" i="6"/>
  <c r="AA167" i="6"/>
  <c r="W167" i="6"/>
  <c r="X167" i="6" s="1"/>
  <c r="U167" i="6"/>
  <c r="R167" i="6"/>
  <c r="N167" i="6"/>
  <c r="O167" i="6" s="1"/>
  <c r="L167" i="6"/>
  <c r="H167" i="6"/>
  <c r="I167" i="6" s="1"/>
  <c r="F167" i="6"/>
  <c r="C167" i="6"/>
  <c r="AC166" i="6"/>
  <c r="AD166" i="6" s="1"/>
  <c r="AA166" i="6"/>
  <c r="Z166" i="6"/>
  <c r="W166" i="6"/>
  <c r="X166" i="6" s="1"/>
  <c r="U166" i="6"/>
  <c r="T166" i="6"/>
  <c r="R166" i="6"/>
  <c r="Q166" i="6"/>
  <c r="O166" i="6"/>
  <c r="K166" i="6"/>
  <c r="L166" i="6" s="1"/>
  <c r="H166" i="6"/>
  <c r="I166" i="6" s="1"/>
  <c r="F166" i="6"/>
  <c r="E166" i="6"/>
  <c r="C166" i="6"/>
  <c r="B166" i="6"/>
  <c r="N166" i="6" s="1"/>
  <c r="AC165" i="6"/>
  <c r="AD165" i="6" s="1"/>
  <c r="AA165" i="6"/>
  <c r="W165" i="6"/>
  <c r="X165" i="6" s="1"/>
  <c r="U165" i="6"/>
  <c r="R165" i="6"/>
  <c r="O165" i="6"/>
  <c r="N165" i="6"/>
  <c r="L165" i="6"/>
  <c r="H165" i="6"/>
  <c r="I165" i="6" s="1"/>
  <c r="F165" i="6"/>
  <c r="C165" i="6"/>
  <c r="AD164" i="6"/>
  <c r="AC164" i="6"/>
  <c r="AA164" i="6"/>
  <c r="X164" i="6"/>
  <c r="W164" i="6"/>
  <c r="U164" i="6"/>
  <c r="R164" i="6"/>
  <c r="O164" i="6"/>
  <c r="N164" i="6"/>
  <c r="L164" i="6"/>
  <c r="H164" i="6"/>
  <c r="I164" i="6" s="1"/>
  <c r="F164" i="6"/>
  <c r="C164" i="6"/>
  <c r="AD163" i="6"/>
  <c r="AC163" i="6"/>
  <c r="AA163" i="6"/>
  <c r="X163" i="6"/>
  <c r="W163" i="6"/>
  <c r="U163" i="6"/>
  <c r="R163" i="6"/>
  <c r="N163" i="6"/>
  <c r="O163" i="6" s="1"/>
  <c r="L163" i="6"/>
  <c r="I163" i="6"/>
  <c r="H163" i="6"/>
  <c r="F163" i="6"/>
  <c r="C163" i="6"/>
  <c r="AD162" i="6"/>
  <c r="AC162" i="6"/>
  <c r="AA162" i="6"/>
  <c r="X162" i="6"/>
  <c r="W162" i="6"/>
  <c r="U162" i="6"/>
  <c r="R162" i="6"/>
  <c r="N162" i="6"/>
  <c r="O162" i="6" s="1"/>
  <c r="L162" i="6"/>
  <c r="H162" i="6"/>
  <c r="I162" i="6" s="1"/>
  <c r="F162" i="6"/>
  <c r="C162" i="6"/>
  <c r="AC161" i="6"/>
  <c r="AD161" i="6" s="1"/>
  <c r="AA161" i="6"/>
  <c r="X161" i="6"/>
  <c r="W161" i="6"/>
  <c r="U161" i="6"/>
  <c r="R161" i="6"/>
  <c r="O161" i="6"/>
  <c r="N161" i="6"/>
  <c r="L161" i="6"/>
  <c r="H161" i="6"/>
  <c r="I161" i="6" s="1"/>
  <c r="F161" i="6"/>
  <c r="C161" i="6"/>
  <c r="AD160" i="6"/>
  <c r="AC160" i="6"/>
  <c r="AA160" i="6"/>
  <c r="X160" i="6"/>
  <c r="W160" i="6"/>
  <c r="U160" i="6"/>
  <c r="R160" i="6"/>
  <c r="O160" i="6"/>
  <c r="N160" i="6"/>
  <c r="L160" i="6"/>
  <c r="H160" i="6"/>
  <c r="I160" i="6" s="1"/>
  <c r="F160" i="6"/>
  <c r="C160" i="6"/>
  <c r="AA158" i="6"/>
  <c r="Z158" i="6"/>
  <c r="U158" i="6"/>
  <c r="T158" i="6"/>
  <c r="Q158" i="6"/>
  <c r="K158" i="6"/>
  <c r="L158" i="6" s="1"/>
  <c r="F158" i="6"/>
  <c r="E158" i="6"/>
  <c r="H158" i="6" s="1"/>
  <c r="I158" i="6" s="1"/>
  <c r="C158" i="6"/>
  <c r="B158" i="6"/>
  <c r="AC157" i="6"/>
  <c r="AD157" i="6" s="1"/>
  <c r="AA157" i="6"/>
  <c r="X157" i="6"/>
  <c r="W157" i="6"/>
  <c r="U157" i="6"/>
  <c r="R157" i="6"/>
  <c r="O157" i="6"/>
  <c r="N157" i="6"/>
  <c r="L157" i="6"/>
  <c r="I157" i="6"/>
  <c r="H157" i="6"/>
  <c r="F157" i="6"/>
  <c r="C157" i="6"/>
  <c r="AD156" i="6"/>
  <c r="AC156" i="6"/>
  <c r="AA156" i="6"/>
  <c r="W156" i="6"/>
  <c r="X156" i="6" s="1"/>
  <c r="U156" i="6"/>
  <c r="R156" i="6"/>
  <c r="N156" i="6"/>
  <c r="O156" i="6" s="1"/>
  <c r="L156" i="6"/>
  <c r="H156" i="6"/>
  <c r="I156" i="6" s="1"/>
  <c r="F156" i="6"/>
  <c r="C156" i="6"/>
  <c r="AD155" i="6"/>
  <c r="AC155" i="6"/>
  <c r="AA155" i="6"/>
  <c r="X155" i="6"/>
  <c r="W155" i="6"/>
  <c r="U155" i="6"/>
  <c r="R155" i="6"/>
  <c r="O155" i="6"/>
  <c r="N155" i="6"/>
  <c r="L155" i="6"/>
  <c r="I155" i="6"/>
  <c r="H155" i="6"/>
  <c r="F155" i="6"/>
  <c r="C155" i="6"/>
  <c r="AC154" i="6"/>
  <c r="AD154" i="6" s="1"/>
  <c r="AA154" i="6"/>
  <c r="X154" i="6"/>
  <c r="W154" i="6"/>
  <c r="U154" i="6"/>
  <c r="R154" i="6"/>
  <c r="O154" i="6"/>
  <c r="N154" i="6"/>
  <c r="L154" i="6"/>
  <c r="I154" i="6"/>
  <c r="H154" i="6"/>
  <c r="F154" i="6"/>
  <c r="C154" i="6"/>
  <c r="AC153" i="6"/>
  <c r="AD153" i="6" s="1"/>
  <c r="AA153" i="6"/>
  <c r="W153" i="6"/>
  <c r="X153" i="6" s="1"/>
  <c r="U153" i="6"/>
  <c r="R153" i="6"/>
  <c r="O153" i="6"/>
  <c r="N153" i="6"/>
  <c r="L153" i="6"/>
  <c r="I153" i="6"/>
  <c r="H153" i="6"/>
  <c r="F153" i="6"/>
  <c r="C153" i="6"/>
  <c r="AD151" i="6"/>
  <c r="AC151" i="6"/>
  <c r="AA151" i="6"/>
  <c r="W151" i="6"/>
  <c r="X151" i="6" s="1"/>
  <c r="U151" i="6"/>
  <c r="R151" i="6"/>
  <c r="O151" i="6"/>
  <c r="N151" i="6"/>
  <c r="L151" i="6"/>
  <c r="H151" i="6"/>
  <c r="I151" i="6" s="1"/>
  <c r="F151" i="6"/>
  <c r="C151" i="6"/>
  <c r="AC149" i="6"/>
  <c r="AD149" i="6" s="1"/>
  <c r="AA149" i="6"/>
  <c r="Z149" i="6"/>
  <c r="W149" i="6"/>
  <c r="X149" i="6" s="1"/>
  <c r="U149" i="6"/>
  <c r="T149" i="6"/>
  <c r="R149" i="6"/>
  <c r="Q149" i="6"/>
  <c r="K149" i="6"/>
  <c r="L149" i="6" s="1"/>
  <c r="H149" i="6"/>
  <c r="I149" i="6" s="1"/>
  <c r="F149" i="6"/>
  <c r="E149" i="6"/>
  <c r="C149" i="6"/>
  <c r="B149" i="6"/>
  <c r="Z148" i="6"/>
  <c r="X148" i="6"/>
  <c r="W148" i="6"/>
  <c r="U148" i="6"/>
  <c r="T148" i="6"/>
  <c r="Q148" i="6"/>
  <c r="R148" i="6" s="1"/>
  <c r="L148" i="6"/>
  <c r="K148" i="6"/>
  <c r="N148" i="6" s="1"/>
  <c r="O148" i="6" s="1"/>
  <c r="E148" i="6"/>
  <c r="F148" i="6" s="1"/>
  <c r="C148" i="6"/>
  <c r="B148" i="6"/>
  <c r="AD147" i="6"/>
  <c r="AC147" i="6"/>
  <c r="AA147" i="6"/>
  <c r="X147" i="6"/>
  <c r="W147" i="6"/>
  <c r="U147" i="6"/>
  <c r="R147" i="6"/>
  <c r="N147" i="6"/>
  <c r="O147" i="6" s="1"/>
  <c r="L147" i="6"/>
  <c r="I147" i="6"/>
  <c r="H147" i="6"/>
  <c r="F147" i="6"/>
  <c r="C147" i="6"/>
  <c r="AD146" i="6"/>
  <c r="AC146" i="6"/>
  <c r="AA146" i="6"/>
  <c r="X146" i="6"/>
  <c r="W146" i="6"/>
  <c r="U146" i="6"/>
  <c r="R146" i="6"/>
  <c r="N146" i="6"/>
  <c r="O146" i="6" s="1"/>
  <c r="L146" i="6"/>
  <c r="I146" i="6"/>
  <c r="H146" i="6"/>
  <c r="F146" i="6"/>
  <c r="C146" i="6"/>
  <c r="AC145" i="6"/>
  <c r="AD145" i="6" s="1"/>
  <c r="AA145" i="6"/>
  <c r="X145" i="6"/>
  <c r="W145" i="6"/>
  <c r="U145" i="6"/>
  <c r="R145" i="6"/>
  <c r="O145" i="6"/>
  <c r="N145" i="6"/>
  <c r="L145" i="6"/>
  <c r="H145" i="6"/>
  <c r="I145" i="6" s="1"/>
  <c r="F145" i="6"/>
  <c r="C145" i="6"/>
  <c r="AD144" i="6"/>
  <c r="AC144" i="6"/>
  <c r="AA144" i="6"/>
  <c r="X144" i="6"/>
  <c r="W144" i="6"/>
  <c r="U144" i="6"/>
  <c r="R144" i="6"/>
  <c r="O144" i="6"/>
  <c r="N144" i="6"/>
  <c r="L144" i="6"/>
  <c r="H144" i="6"/>
  <c r="I144" i="6" s="1"/>
  <c r="F144" i="6"/>
  <c r="C144" i="6"/>
  <c r="AD143" i="6"/>
  <c r="AC143" i="6"/>
  <c r="AA143" i="6"/>
  <c r="X143" i="6"/>
  <c r="W143" i="6"/>
  <c r="U143" i="6"/>
  <c r="R143" i="6"/>
  <c r="N143" i="6"/>
  <c r="O143" i="6" s="1"/>
  <c r="L143" i="6"/>
  <c r="I143" i="6"/>
  <c r="H143" i="6"/>
  <c r="F143" i="6"/>
  <c r="C143" i="6"/>
  <c r="AA141" i="6"/>
  <c r="Z141" i="6"/>
  <c r="T141" i="6"/>
  <c r="U141" i="6" s="1"/>
  <c r="R141" i="6"/>
  <c r="Q141" i="6"/>
  <c r="L141" i="6"/>
  <c r="K141" i="6"/>
  <c r="H141" i="6"/>
  <c r="I141" i="6" s="1"/>
  <c r="F141" i="6"/>
  <c r="E141" i="6"/>
  <c r="C141" i="6"/>
  <c r="B141" i="6"/>
  <c r="N141" i="6" s="1"/>
  <c r="O141" i="6" s="1"/>
  <c r="AD140" i="6"/>
  <c r="AC140" i="6"/>
  <c r="AA140" i="6"/>
  <c r="X140" i="6"/>
  <c r="W140" i="6"/>
  <c r="U140" i="6"/>
  <c r="R140" i="6"/>
  <c r="O140" i="6"/>
  <c r="N140" i="6"/>
  <c r="L140" i="6"/>
  <c r="H140" i="6"/>
  <c r="I140" i="6" s="1"/>
  <c r="F140" i="6"/>
  <c r="C140" i="6"/>
  <c r="AD139" i="6"/>
  <c r="AC139" i="6"/>
  <c r="AA139" i="6"/>
  <c r="X139" i="6"/>
  <c r="W139" i="6"/>
  <c r="U139" i="6"/>
  <c r="R139" i="6"/>
  <c r="O139" i="6"/>
  <c r="N139" i="6"/>
  <c r="L139" i="6"/>
  <c r="I139" i="6"/>
  <c r="H139" i="6"/>
  <c r="F139" i="6"/>
  <c r="C139" i="6"/>
  <c r="AD138" i="6"/>
  <c r="AC138" i="6"/>
  <c r="AA138" i="6"/>
  <c r="X138" i="6"/>
  <c r="W138" i="6"/>
  <c r="U138" i="6"/>
  <c r="R138" i="6"/>
  <c r="N138" i="6"/>
  <c r="O138" i="6" s="1"/>
  <c r="L138" i="6"/>
  <c r="I138" i="6"/>
  <c r="H138" i="6"/>
  <c r="F138" i="6"/>
  <c r="C138" i="6"/>
  <c r="AC137" i="6"/>
  <c r="AD137" i="6" s="1"/>
  <c r="AA137" i="6"/>
  <c r="W137" i="6"/>
  <c r="X137" i="6" s="1"/>
  <c r="U137" i="6"/>
  <c r="R137" i="6"/>
  <c r="O137" i="6"/>
  <c r="N137" i="6"/>
  <c r="L137" i="6"/>
  <c r="H137" i="6"/>
  <c r="I137" i="6" s="1"/>
  <c r="F137" i="6"/>
  <c r="C137" i="6"/>
  <c r="AD136" i="6"/>
  <c r="AC136" i="6"/>
  <c r="AA136" i="6"/>
  <c r="X136" i="6"/>
  <c r="W136" i="6"/>
  <c r="U136" i="6"/>
  <c r="R136" i="6"/>
  <c r="N136" i="6"/>
  <c r="O136" i="6" s="1"/>
  <c r="L136" i="6"/>
  <c r="H136" i="6"/>
  <c r="I136" i="6" s="1"/>
  <c r="F136" i="6"/>
  <c r="C136" i="6"/>
  <c r="AC135" i="6"/>
  <c r="AD135" i="6" s="1"/>
  <c r="AA135" i="6"/>
  <c r="X135" i="6"/>
  <c r="W135" i="6"/>
  <c r="U135" i="6"/>
  <c r="R135" i="6"/>
  <c r="N135" i="6"/>
  <c r="O135" i="6" s="1"/>
  <c r="L135" i="6"/>
  <c r="I135" i="6"/>
  <c r="H135" i="6"/>
  <c r="F135" i="6"/>
  <c r="C135" i="6"/>
  <c r="AD134" i="6"/>
  <c r="AC134" i="6"/>
  <c r="AA134" i="6"/>
  <c r="W134" i="6"/>
  <c r="X134" i="6" s="1"/>
  <c r="U134" i="6"/>
  <c r="R134" i="6"/>
  <c r="N134" i="6"/>
  <c r="O134" i="6" s="1"/>
  <c r="L134" i="6"/>
  <c r="I134" i="6"/>
  <c r="H134" i="6"/>
  <c r="F134" i="6"/>
  <c r="C134" i="6"/>
  <c r="AC133" i="6"/>
  <c r="AD133" i="6" s="1"/>
  <c r="AA133" i="6"/>
  <c r="X133" i="6"/>
  <c r="W133" i="6"/>
  <c r="U133" i="6"/>
  <c r="R133" i="6"/>
  <c r="O133" i="6"/>
  <c r="N133" i="6"/>
  <c r="L133" i="6"/>
  <c r="H133" i="6"/>
  <c r="I133" i="6" s="1"/>
  <c r="F133" i="6"/>
  <c r="C133" i="6"/>
  <c r="AD132" i="6"/>
  <c r="AC132" i="6"/>
  <c r="AA132" i="6"/>
  <c r="X132" i="6"/>
  <c r="W132" i="6"/>
  <c r="U132" i="6"/>
  <c r="R132" i="6"/>
  <c r="O132" i="6"/>
  <c r="N132" i="6"/>
  <c r="L132" i="6"/>
  <c r="H132" i="6"/>
  <c r="I132" i="6" s="1"/>
  <c r="F132" i="6"/>
  <c r="C132" i="6"/>
  <c r="AD131" i="6"/>
  <c r="AC131" i="6"/>
  <c r="AA131" i="6"/>
  <c r="X131" i="6"/>
  <c r="W131" i="6"/>
  <c r="U131" i="6"/>
  <c r="R131" i="6"/>
  <c r="N131" i="6"/>
  <c r="O131" i="6" s="1"/>
  <c r="L131" i="6"/>
  <c r="I131" i="6"/>
  <c r="H131" i="6"/>
  <c r="F131" i="6"/>
  <c r="C131" i="6"/>
  <c r="AD130" i="6"/>
  <c r="AC130" i="6"/>
  <c r="AA130" i="6"/>
  <c r="W130" i="6"/>
  <c r="X130" i="6" s="1"/>
  <c r="U130" i="6"/>
  <c r="R130" i="6"/>
  <c r="O130" i="6"/>
  <c r="N130" i="6"/>
  <c r="L130" i="6"/>
  <c r="I130" i="6"/>
  <c r="H130" i="6"/>
  <c r="F130" i="6"/>
  <c r="C130" i="6"/>
  <c r="AC129" i="6"/>
  <c r="AD129" i="6" s="1"/>
  <c r="AA129" i="6"/>
  <c r="X129" i="6"/>
  <c r="W129" i="6"/>
  <c r="U129" i="6"/>
  <c r="R129" i="6"/>
  <c r="O129" i="6"/>
  <c r="N129" i="6"/>
  <c r="L129" i="6"/>
  <c r="I129" i="6"/>
  <c r="H129" i="6"/>
  <c r="F129" i="6"/>
  <c r="C129" i="6"/>
  <c r="AD127" i="6"/>
  <c r="AC127" i="6"/>
  <c r="AA127" i="6"/>
  <c r="X127" i="6"/>
  <c r="W127" i="6"/>
  <c r="U127" i="6"/>
  <c r="R127" i="6"/>
  <c r="O127" i="6"/>
  <c r="N127" i="6"/>
  <c r="L127" i="6"/>
  <c r="H127" i="6"/>
  <c r="I127" i="6" s="1"/>
  <c r="F127" i="6"/>
  <c r="C127" i="6"/>
  <c r="AA124" i="6"/>
  <c r="Z124" i="6"/>
  <c r="T124" i="6"/>
  <c r="W124" i="6" s="1"/>
  <c r="X124" i="6" s="1"/>
  <c r="R124" i="6"/>
  <c r="Q124" i="6"/>
  <c r="K124" i="6"/>
  <c r="E124" i="6"/>
  <c r="C124" i="6"/>
  <c r="B124" i="6"/>
  <c r="N124" i="6" s="1"/>
  <c r="O124" i="6" s="1"/>
  <c r="AC123" i="6"/>
  <c r="AD123" i="6" s="1"/>
  <c r="AA123" i="6"/>
  <c r="W123" i="6"/>
  <c r="X123" i="6" s="1"/>
  <c r="U123" i="6"/>
  <c r="R123" i="6"/>
  <c r="O123" i="6"/>
  <c r="N123" i="6"/>
  <c r="L123" i="6"/>
  <c r="I123" i="6"/>
  <c r="H123" i="6"/>
  <c r="F123" i="6"/>
  <c r="C123" i="6"/>
  <c r="Z122" i="6"/>
  <c r="AA122" i="6" s="1"/>
  <c r="T122" i="6"/>
  <c r="U122" i="6" s="1"/>
  <c r="R122" i="6"/>
  <c r="Q122" i="6"/>
  <c r="L122" i="6"/>
  <c r="K122" i="6"/>
  <c r="F122" i="6"/>
  <c r="E122" i="6"/>
  <c r="B122" i="6"/>
  <c r="N122" i="6" s="1"/>
  <c r="O122" i="6" s="1"/>
  <c r="AC121" i="6"/>
  <c r="AD121" i="6" s="1"/>
  <c r="AA121" i="6"/>
  <c r="X121" i="6"/>
  <c r="W121" i="6"/>
  <c r="U121" i="6"/>
  <c r="R121" i="6"/>
  <c r="O121" i="6"/>
  <c r="N121" i="6"/>
  <c r="L121" i="6"/>
  <c r="H121" i="6"/>
  <c r="I121" i="6" s="1"/>
  <c r="F121" i="6"/>
  <c r="C121" i="6"/>
  <c r="AC120" i="6"/>
  <c r="AD120" i="6" s="1"/>
  <c r="AA120" i="6"/>
  <c r="X120" i="6"/>
  <c r="W120" i="6"/>
  <c r="U120" i="6"/>
  <c r="R120" i="6"/>
  <c r="O120" i="6"/>
  <c r="N120" i="6"/>
  <c r="L120" i="6"/>
  <c r="I120" i="6"/>
  <c r="H120" i="6"/>
  <c r="F120" i="6"/>
  <c r="C120" i="6"/>
  <c r="AD119" i="6"/>
  <c r="AC119" i="6"/>
  <c r="AA119" i="6"/>
  <c r="W119" i="6"/>
  <c r="X119" i="6" s="1"/>
  <c r="U119" i="6"/>
  <c r="R119" i="6"/>
  <c r="N119" i="6"/>
  <c r="O119" i="6" s="1"/>
  <c r="L119" i="6"/>
  <c r="H119" i="6"/>
  <c r="I119" i="6" s="1"/>
  <c r="F119" i="6"/>
  <c r="C119" i="6"/>
  <c r="Z118" i="6"/>
  <c r="AA118" i="6" s="1"/>
  <c r="T118" i="6"/>
  <c r="U118" i="6" s="1"/>
  <c r="Q118" i="6"/>
  <c r="K118" i="6"/>
  <c r="L118" i="6" s="1"/>
  <c r="E118" i="6"/>
  <c r="F118" i="6" s="1"/>
  <c r="B118" i="6"/>
  <c r="AC117" i="6"/>
  <c r="AD117" i="6" s="1"/>
  <c r="AA117" i="6"/>
  <c r="W117" i="6"/>
  <c r="X117" i="6" s="1"/>
  <c r="U117" i="6"/>
  <c r="R117" i="6"/>
  <c r="O117" i="6"/>
  <c r="N117" i="6"/>
  <c r="L117" i="6"/>
  <c r="I117" i="6"/>
  <c r="H117" i="6"/>
  <c r="F117" i="6"/>
  <c r="C117" i="6"/>
  <c r="AC116" i="6"/>
  <c r="AD116" i="6" s="1"/>
  <c r="AA116" i="6"/>
  <c r="W116" i="6"/>
  <c r="X116" i="6" s="1"/>
  <c r="U116" i="6"/>
  <c r="R116" i="6"/>
  <c r="O116" i="6"/>
  <c r="N116" i="6"/>
  <c r="L116" i="6"/>
  <c r="H116" i="6"/>
  <c r="I116" i="6" s="1"/>
  <c r="F116" i="6"/>
  <c r="C116" i="6"/>
  <c r="AC115" i="6"/>
  <c r="AD115" i="6" s="1"/>
  <c r="AA115" i="6"/>
  <c r="X115" i="6"/>
  <c r="W115" i="6"/>
  <c r="U115" i="6"/>
  <c r="R115" i="6"/>
  <c r="O115" i="6"/>
  <c r="N115" i="6"/>
  <c r="L115" i="6"/>
  <c r="H115" i="6"/>
  <c r="I115" i="6" s="1"/>
  <c r="F115" i="6"/>
  <c r="C115" i="6"/>
  <c r="AC114" i="6"/>
  <c r="AD114" i="6" s="1"/>
  <c r="AA114" i="6"/>
  <c r="W114" i="6"/>
  <c r="X114" i="6" s="1"/>
  <c r="U114" i="6"/>
  <c r="R114" i="6"/>
  <c r="O114" i="6"/>
  <c r="N114" i="6"/>
  <c r="L114" i="6"/>
  <c r="H114" i="6"/>
  <c r="I114" i="6" s="1"/>
  <c r="F114" i="6"/>
  <c r="C114" i="6"/>
  <c r="AC113" i="6"/>
  <c r="AD113" i="6" s="1"/>
  <c r="AA113" i="6"/>
  <c r="W113" i="6"/>
  <c r="X113" i="6" s="1"/>
  <c r="U113" i="6"/>
  <c r="R113" i="6"/>
  <c r="O113" i="6"/>
  <c r="N113" i="6"/>
  <c r="L113" i="6"/>
  <c r="I113" i="6"/>
  <c r="H113" i="6"/>
  <c r="F113" i="6"/>
  <c r="C113" i="6"/>
  <c r="AD112" i="6"/>
  <c r="AC112" i="6"/>
  <c r="AA112" i="6"/>
  <c r="X112" i="6"/>
  <c r="W112" i="6"/>
  <c r="U112" i="6"/>
  <c r="R112" i="6"/>
  <c r="N112" i="6"/>
  <c r="O112" i="6" s="1"/>
  <c r="L112" i="6"/>
  <c r="H112" i="6"/>
  <c r="I112" i="6" s="1"/>
  <c r="F112" i="6"/>
  <c r="C112" i="6"/>
  <c r="AC111" i="6"/>
  <c r="AD111" i="6" s="1"/>
  <c r="AA111" i="6"/>
  <c r="X111" i="6"/>
  <c r="W111" i="6"/>
  <c r="U111" i="6"/>
  <c r="R111" i="6"/>
  <c r="O111" i="6"/>
  <c r="N111" i="6"/>
  <c r="L111" i="6"/>
  <c r="H111" i="6"/>
  <c r="I111" i="6" s="1"/>
  <c r="F111" i="6"/>
  <c r="C111" i="6"/>
  <c r="AD110" i="6"/>
  <c r="AC110" i="6"/>
  <c r="AA110" i="6"/>
  <c r="X110" i="6"/>
  <c r="W110" i="6"/>
  <c r="U110" i="6"/>
  <c r="R110" i="6"/>
  <c r="N110" i="6"/>
  <c r="O110" i="6" s="1"/>
  <c r="L110" i="6"/>
  <c r="H110" i="6"/>
  <c r="I110" i="6" s="1"/>
  <c r="F110" i="6"/>
  <c r="C110" i="6"/>
  <c r="AC109" i="6"/>
  <c r="AD109" i="6" s="1"/>
  <c r="AA109" i="6"/>
  <c r="W109" i="6"/>
  <c r="X109" i="6" s="1"/>
  <c r="U109" i="6"/>
  <c r="R109" i="6"/>
  <c r="O109" i="6"/>
  <c r="N109" i="6"/>
  <c r="L109" i="6"/>
  <c r="I109" i="6"/>
  <c r="H109" i="6"/>
  <c r="F109" i="6"/>
  <c r="C109" i="6"/>
  <c r="AD108" i="6"/>
  <c r="AC108" i="6"/>
  <c r="AA108" i="6"/>
  <c r="X108" i="6"/>
  <c r="W108" i="6"/>
  <c r="U108" i="6"/>
  <c r="R108" i="6"/>
  <c r="N108" i="6"/>
  <c r="O108" i="6" s="1"/>
  <c r="L108" i="6"/>
  <c r="H108" i="6"/>
  <c r="I108" i="6" s="1"/>
  <c r="F108" i="6"/>
  <c r="C108" i="6"/>
  <c r="AD107" i="6"/>
  <c r="AC107" i="6"/>
  <c r="AA107" i="6"/>
  <c r="X107" i="6"/>
  <c r="W107" i="6"/>
  <c r="U107" i="6"/>
  <c r="R107" i="6"/>
  <c r="O107" i="6"/>
  <c r="N107" i="6"/>
  <c r="L107" i="6"/>
  <c r="H107" i="6"/>
  <c r="I107" i="6" s="1"/>
  <c r="F107" i="6"/>
  <c r="C107" i="6"/>
  <c r="AD106" i="6"/>
  <c r="AC106" i="6"/>
  <c r="AA106" i="6"/>
  <c r="X106" i="6"/>
  <c r="W106" i="6"/>
  <c r="U106" i="6"/>
  <c r="R106" i="6"/>
  <c r="N106" i="6"/>
  <c r="O106" i="6" s="1"/>
  <c r="L106" i="6"/>
  <c r="I106" i="6"/>
  <c r="H106" i="6"/>
  <c r="F106" i="6"/>
  <c r="C106" i="6"/>
  <c r="AC105" i="6"/>
  <c r="AD105" i="6" s="1"/>
  <c r="AA105" i="6"/>
  <c r="X105" i="6"/>
  <c r="W105" i="6"/>
  <c r="U105" i="6"/>
  <c r="R105" i="6"/>
  <c r="O105" i="6"/>
  <c r="N105" i="6"/>
  <c r="L105" i="6"/>
  <c r="H105" i="6"/>
  <c r="I105" i="6" s="1"/>
  <c r="F105" i="6"/>
  <c r="C105" i="6"/>
  <c r="AD104" i="6"/>
  <c r="AC104" i="6"/>
  <c r="AA104" i="6"/>
  <c r="W104" i="6"/>
  <c r="X104" i="6" s="1"/>
  <c r="U104" i="6"/>
  <c r="R104" i="6"/>
  <c r="N104" i="6"/>
  <c r="O104" i="6" s="1"/>
  <c r="L104" i="6"/>
  <c r="H104" i="6"/>
  <c r="I104" i="6" s="1"/>
  <c r="F104" i="6"/>
  <c r="C104" i="6"/>
  <c r="AC103" i="6"/>
  <c r="AD103" i="6" s="1"/>
  <c r="AA103" i="6"/>
  <c r="X103" i="6"/>
  <c r="W103" i="6"/>
  <c r="U103" i="6"/>
  <c r="R103" i="6"/>
  <c r="N103" i="6"/>
  <c r="O103" i="6" s="1"/>
  <c r="L103" i="6"/>
  <c r="I103" i="6"/>
  <c r="H103" i="6"/>
  <c r="F103" i="6"/>
  <c r="C103" i="6"/>
  <c r="AC102" i="6"/>
  <c r="AD102" i="6" s="1"/>
  <c r="AA102" i="6"/>
  <c r="X102" i="6"/>
  <c r="W102" i="6"/>
  <c r="U102" i="6"/>
  <c r="R102" i="6"/>
  <c r="O102" i="6"/>
  <c r="N102" i="6"/>
  <c r="L102" i="6"/>
  <c r="H102" i="6"/>
  <c r="I102" i="6" s="1"/>
  <c r="F102" i="6"/>
  <c r="C102" i="6"/>
  <c r="AC101" i="6"/>
  <c r="AD101" i="6" s="1"/>
  <c r="AA101" i="6"/>
  <c r="W101" i="6"/>
  <c r="X101" i="6" s="1"/>
  <c r="U101" i="6"/>
  <c r="R101" i="6"/>
  <c r="O101" i="6"/>
  <c r="N101" i="6"/>
  <c r="L101" i="6"/>
  <c r="I101" i="6"/>
  <c r="H101" i="6"/>
  <c r="F101" i="6"/>
  <c r="C101" i="6"/>
  <c r="AC100" i="6"/>
  <c r="AD100" i="6" s="1"/>
  <c r="AA100" i="6"/>
  <c r="W100" i="6"/>
  <c r="X100" i="6" s="1"/>
  <c r="U100" i="6"/>
  <c r="R100" i="6"/>
  <c r="N100" i="6"/>
  <c r="O100" i="6" s="1"/>
  <c r="L100" i="6"/>
  <c r="H100" i="6"/>
  <c r="I100" i="6" s="1"/>
  <c r="F100" i="6"/>
  <c r="C100" i="6"/>
  <c r="AC99" i="6"/>
  <c r="AD99" i="6" s="1"/>
  <c r="AA99" i="6"/>
  <c r="X99" i="6"/>
  <c r="W99" i="6"/>
  <c r="U99" i="6"/>
  <c r="R99" i="6"/>
  <c r="O99" i="6"/>
  <c r="N99" i="6"/>
  <c r="L99" i="6"/>
  <c r="I99" i="6"/>
  <c r="H99" i="6"/>
  <c r="F99" i="6"/>
  <c r="C99" i="6"/>
  <c r="AC98" i="6"/>
  <c r="AD98" i="6" s="1"/>
  <c r="AA98" i="6"/>
  <c r="W98" i="6"/>
  <c r="X98" i="6" s="1"/>
  <c r="U98" i="6"/>
  <c r="R98" i="6"/>
  <c r="O98" i="6"/>
  <c r="N98" i="6"/>
  <c r="L98" i="6"/>
  <c r="H98" i="6"/>
  <c r="I98" i="6" s="1"/>
  <c r="F98" i="6"/>
  <c r="C98" i="6"/>
  <c r="AC97" i="6"/>
  <c r="AD97" i="6" s="1"/>
  <c r="AA97" i="6"/>
  <c r="W97" i="6"/>
  <c r="X97" i="6" s="1"/>
  <c r="U97" i="6"/>
  <c r="R97" i="6"/>
  <c r="O97" i="6"/>
  <c r="N97" i="6"/>
  <c r="L97" i="6"/>
  <c r="I97" i="6"/>
  <c r="H97" i="6"/>
  <c r="F97" i="6"/>
  <c r="C97" i="6"/>
  <c r="AD96" i="6"/>
  <c r="AC96" i="6"/>
  <c r="AA96" i="6"/>
  <c r="X96" i="6"/>
  <c r="W96" i="6"/>
  <c r="U96" i="6"/>
  <c r="R96" i="6"/>
  <c r="N96" i="6"/>
  <c r="O96" i="6" s="1"/>
  <c r="L96" i="6"/>
  <c r="H96" i="6"/>
  <c r="I96" i="6" s="1"/>
  <c r="F96" i="6"/>
  <c r="C96" i="6"/>
  <c r="AC95" i="6"/>
  <c r="AD95" i="6" s="1"/>
  <c r="AA95" i="6"/>
  <c r="X95" i="6"/>
  <c r="W95" i="6"/>
  <c r="U95" i="6"/>
  <c r="R95" i="6"/>
  <c r="O95" i="6"/>
  <c r="N95" i="6"/>
  <c r="L95" i="6"/>
  <c r="H95" i="6"/>
  <c r="I95" i="6" s="1"/>
  <c r="F95" i="6"/>
  <c r="C95" i="6"/>
  <c r="AC94" i="6"/>
  <c r="AD94" i="6" s="1"/>
  <c r="AA94" i="6"/>
  <c r="X94" i="6"/>
  <c r="W94" i="6"/>
  <c r="U94" i="6"/>
  <c r="R94" i="6"/>
  <c r="N94" i="6"/>
  <c r="O94" i="6" s="1"/>
  <c r="L94" i="6"/>
  <c r="H94" i="6"/>
  <c r="I94" i="6" s="1"/>
  <c r="F94" i="6"/>
  <c r="C94" i="6"/>
  <c r="AC92" i="6"/>
  <c r="AD92" i="6" s="1"/>
  <c r="AA92" i="6"/>
  <c r="W92" i="6"/>
  <c r="X92" i="6" s="1"/>
  <c r="U92" i="6"/>
  <c r="R92" i="6"/>
  <c r="O92" i="6"/>
  <c r="N92" i="6"/>
  <c r="L92" i="6"/>
  <c r="I92" i="6"/>
  <c r="H92" i="6"/>
  <c r="F92" i="6"/>
  <c r="C92" i="6"/>
  <c r="AD91" i="6"/>
  <c r="AC91" i="6"/>
  <c r="AA91" i="6"/>
  <c r="W91" i="6"/>
  <c r="X91" i="6" s="1"/>
  <c r="U91" i="6"/>
  <c r="R91" i="6"/>
  <c r="N91" i="6"/>
  <c r="O91" i="6" s="1"/>
  <c r="L91" i="6"/>
  <c r="H91" i="6"/>
  <c r="I91" i="6" s="1"/>
  <c r="F91" i="6"/>
  <c r="C91" i="6"/>
  <c r="AC90" i="6"/>
  <c r="AD90" i="6" s="1"/>
  <c r="AA90" i="6"/>
  <c r="X90" i="6"/>
  <c r="W90" i="6"/>
  <c r="U90" i="6"/>
  <c r="R90" i="6"/>
  <c r="O90" i="6"/>
  <c r="N90" i="6"/>
  <c r="L90" i="6"/>
  <c r="I90" i="6"/>
  <c r="H90" i="6"/>
  <c r="F90" i="6"/>
  <c r="C90" i="6"/>
  <c r="AC89" i="6"/>
  <c r="AD89" i="6" s="1"/>
  <c r="AA89" i="6"/>
  <c r="X89" i="6"/>
  <c r="W89" i="6"/>
  <c r="U89" i="6"/>
  <c r="R89" i="6"/>
  <c r="O89" i="6"/>
  <c r="N89" i="6"/>
  <c r="L89" i="6"/>
  <c r="H89" i="6"/>
  <c r="I89" i="6" s="1"/>
  <c r="F89" i="6"/>
  <c r="C89" i="6"/>
  <c r="AA88" i="6"/>
  <c r="Z88" i="6"/>
  <c r="T88" i="6"/>
  <c r="U88" i="6" s="1"/>
  <c r="Q88" i="6"/>
  <c r="N88" i="6"/>
  <c r="O88" i="6" s="1"/>
  <c r="L88" i="6"/>
  <c r="K88" i="6"/>
  <c r="H88" i="6"/>
  <c r="I88" i="6" s="1"/>
  <c r="E88" i="6"/>
  <c r="F88" i="6" s="1"/>
  <c r="C88" i="6"/>
  <c r="B88" i="6"/>
  <c r="AC87" i="6"/>
  <c r="AD87" i="6" s="1"/>
  <c r="AA87" i="6"/>
  <c r="X87" i="6"/>
  <c r="W87" i="6"/>
  <c r="U87" i="6"/>
  <c r="R87" i="6"/>
  <c r="N87" i="6"/>
  <c r="O87" i="6" s="1"/>
  <c r="L87" i="6"/>
  <c r="I87" i="6"/>
  <c r="H87" i="6"/>
  <c r="F87" i="6"/>
  <c r="C87" i="6"/>
  <c r="AD86" i="6"/>
  <c r="AC86" i="6"/>
  <c r="AA86" i="6"/>
  <c r="W86" i="6"/>
  <c r="X86" i="6" s="1"/>
  <c r="U86" i="6"/>
  <c r="R86" i="6"/>
  <c r="O86" i="6"/>
  <c r="N86" i="6"/>
  <c r="L86" i="6"/>
  <c r="I86" i="6"/>
  <c r="H86" i="6"/>
  <c r="F86" i="6"/>
  <c r="C86" i="6"/>
  <c r="AC85" i="6"/>
  <c r="AD85" i="6" s="1"/>
  <c r="AA85" i="6"/>
  <c r="X85" i="6"/>
  <c r="W85" i="6"/>
  <c r="U85" i="6"/>
  <c r="R85" i="6"/>
  <c r="O85" i="6"/>
  <c r="N85" i="6"/>
  <c r="L85" i="6"/>
  <c r="I85" i="6"/>
  <c r="H85" i="6"/>
  <c r="F85" i="6"/>
  <c r="C85" i="6"/>
  <c r="AC84" i="6"/>
  <c r="AD84" i="6" s="1"/>
  <c r="AA84" i="6"/>
  <c r="W84" i="6"/>
  <c r="X84" i="6" s="1"/>
  <c r="U84" i="6"/>
  <c r="R84" i="6"/>
  <c r="N84" i="6"/>
  <c r="O84" i="6" s="1"/>
  <c r="L84" i="6"/>
  <c r="H84" i="6"/>
  <c r="I84" i="6" s="1"/>
  <c r="F84" i="6"/>
  <c r="C84" i="6"/>
  <c r="AD83" i="6"/>
  <c r="AC83" i="6"/>
  <c r="AA83" i="6"/>
  <c r="X83" i="6"/>
  <c r="W83" i="6"/>
  <c r="U83" i="6"/>
  <c r="R83" i="6"/>
  <c r="O83" i="6"/>
  <c r="N83" i="6"/>
  <c r="L83" i="6"/>
  <c r="H83" i="6"/>
  <c r="I83" i="6" s="1"/>
  <c r="F83" i="6"/>
  <c r="C83" i="6"/>
  <c r="AC82" i="6"/>
  <c r="AD82" i="6" s="1"/>
  <c r="AA82" i="6"/>
  <c r="W82" i="6"/>
  <c r="X82" i="6" s="1"/>
  <c r="U82" i="6"/>
  <c r="R82" i="6"/>
  <c r="O82" i="6"/>
  <c r="N82" i="6"/>
  <c r="L82" i="6"/>
  <c r="I82" i="6"/>
  <c r="H82" i="6"/>
  <c r="F82" i="6"/>
  <c r="C82" i="6"/>
  <c r="AC81" i="6"/>
  <c r="AD81" i="6" s="1"/>
  <c r="AA81" i="6"/>
  <c r="X81" i="6"/>
  <c r="W81" i="6"/>
  <c r="U81" i="6"/>
  <c r="R81" i="6"/>
  <c r="O81" i="6"/>
  <c r="N81" i="6"/>
  <c r="L81" i="6"/>
  <c r="I81" i="6"/>
  <c r="H81" i="6"/>
  <c r="F81" i="6"/>
  <c r="C81" i="6"/>
  <c r="AC80" i="6"/>
  <c r="AD80" i="6" s="1"/>
  <c r="AA80" i="6"/>
  <c r="X80" i="6"/>
  <c r="W80" i="6"/>
  <c r="U80" i="6"/>
  <c r="R80" i="6"/>
  <c r="O80" i="6"/>
  <c r="N80" i="6"/>
  <c r="L80" i="6"/>
  <c r="H80" i="6"/>
  <c r="I80" i="6" s="1"/>
  <c r="F80" i="6"/>
  <c r="C80" i="6"/>
  <c r="AD79" i="6"/>
  <c r="AC79" i="6"/>
  <c r="AA79" i="6"/>
  <c r="X79" i="6"/>
  <c r="W79" i="6"/>
  <c r="U79" i="6"/>
  <c r="R79" i="6"/>
  <c r="N79" i="6"/>
  <c r="O79" i="6" s="1"/>
  <c r="L79" i="6"/>
  <c r="I79" i="6"/>
  <c r="H79" i="6"/>
  <c r="F79" i="6"/>
  <c r="C79" i="6"/>
  <c r="AD78" i="6"/>
  <c r="AC78" i="6"/>
  <c r="AA78" i="6"/>
  <c r="X78" i="6"/>
  <c r="W78" i="6"/>
  <c r="U78" i="6"/>
  <c r="R78" i="6"/>
  <c r="O78" i="6"/>
  <c r="N78" i="6"/>
  <c r="L78" i="6"/>
  <c r="I78" i="6"/>
  <c r="H78" i="6"/>
  <c r="F78" i="6"/>
  <c r="C78" i="6"/>
  <c r="AC77" i="6"/>
  <c r="AD77" i="6" s="1"/>
  <c r="AA77" i="6"/>
  <c r="X77" i="6"/>
  <c r="W77" i="6"/>
  <c r="U77" i="6"/>
  <c r="R77" i="6"/>
  <c r="O77" i="6"/>
  <c r="N77" i="6"/>
  <c r="L77" i="6"/>
  <c r="H77" i="6"/>
  <c r="I77" i="6" s="1"/>
  <c r="F77" i="6"/>
  <c r="C77" i="6"/>
  <c r="AD76" i="6"/>
  <c r="AC76" i="6"/>
  <c r="AA76" i="6"/>
  <c r="W76" i="6"/>
  <c r="X76" i="6" s="1"/>
  <c r="U76" i="6"/>
  <c r="R76" i="6"/>
  <c r="O76" i="6"/>
  <c r="N76" i="6"/>
  <c r="L76" i="6"/>
  <c r="H76" i="6"/>
  <c r="I76" i="6" s="1"/>
  <c r="F76" i="6"/>
  <c r="C76" i="6"/>
  <c r="AC75" i="6"/>
  <c r="AD75" i="6" s="1"/>
  <c r="AA75" i="6"/>
  <c r="X75" i="6"/>
  <c r="W75" i="6"/>
  <c r="U75" i="6"/>
  <c r="R75" i="6"/>
  <c r="N75" i="6"/>
  <c r="O75" i="6" s="1"/>
  <c r="L75" i="6"/>
  <c r="I75" i="6"/>
  <c r="H75" i="6"/>
  <c r="F75" i="6"/>
  <c r="C75" i="6"/>
  <c r="Z73" i="6"/>
  <c r="AC73" i="6" s="1"/>
  <c r="AD73" i="6" s="1"/>
  <c r="X73" i="6"/>
  <c r="W73" i="6"/>
  <c r="T73" i="6"/>
  <c r="U73" i="6" s="1"/>
  <c r="Q73" i="6"/>
  <c r="R73" i="6" s="1"/>
  <c r="K73" i="6"/>
  <c r="N73" i="6" s="1"/>
  <c r="O73" i="6" s="1"/>
  <c r="H73" i="6"/>
  <c r="I73" i="6" s="1"/>
  <c r="F73" i="6"/>
  <c r="E73" i="6"/>
  <c r="C73" i="6"/>
  <c r="B73" i="6"/>
  <c r="AC72" i="6"/>
  <c r="AD72" i="6" s="1"/>
  <c r="AA72" i="6"/>
  <c r="X72" i="6"/>
  <c r="W72" i="6"/>
  <c r="U72" i="6"/>
  <c r="R72" i="6"/>
  <c r="N72" i="6"/>
  <c r="O72" i="6" s="1"/>
  <c r="L72" i="6"/>
  <c r="H72" i="6"/>
  <c r="I72" i="6" s="1"/>
  <c r="F72" i="6"/>
  <c r="C72" i="6"/>
  <c r="AC71" i="6"/>
  <c r="AD71" i="6" s="1"/>
  <c r="AA71" i="6"/>
  <c r="X71" i="6"/>
  <c r="W71" i="6"/>
  <c r="U71" i="6"/>
  <c r="R71" i="6"/>
  <c r="O71" i="6"/>
  <c r="N71" i="6"/>
  <c r="L71" i="6"/>
  <c r="I71" i="6"/>
  <c r="H71" i="6"/>
  <c r="F71" i="6"/>
  <c r="C71" i="6"/>
  <c r="AC70" i="6"/>
  <c r="AD70" i="6" s="1"/>
  <c r="AA70" i="6"/>
  <c r="W70" i="6"/>
  <c r="X70" i="6" s="1"/>
  <c r="U70" i="6"/>
  <c r="R70" i="6"/>
  <c r="N70" i="6"/>
  <c r="O70" i="6" s="1"/>
  <c r="L70" i="6"/>
  <c r="H70" i="6"/>
  <c r="I70" i="6" s="1"/>
  <c r="F70" i="6"/>
  <c r="C70" i="6"/>
  <c r="AC69" i="6"/>
  <c r="AD69" i="6" s="1"/>
  <c r="AA69" i="6"/>
  <c r="W69" i="6"/>
  <c r="X69" i="6" s="1"/>
  <c r="U69" i="6"/>
  <c r="R69" i="6"/>
  <c r="N69" i="6"/>
  <c r="O69" i="6" s="1"/>
  <c r="L69" i="6"/>
  <c r="H69" i="6"/>
  <c r="I69" i="6" s="1"/>
  <c r="F69" i="6"/>
  <c r="C69" i="6"/>
  <c r="AD68" i="6"/>
  <c r="AC68" i="6"/>
  <c r="AA68" i="6"/>
  <c r="W68" i="6"/>
  <c r="X68" i="6" s="1"/>
  <c r="U68" i="6"/>
  <c r="R68" i="6"/>
  <c r="N68" i="6"/>
  <c r="O68" i="6" s="1"/>
  <c r="L68" i="6"/>
  <c r="H68" i="6"/>
  <c r="I68" i="6" s="1"/>
  <c r="F68" i="6"/>
  <c r="C68" i="6"/>
  <c r="AD67" i="6"/>
  <c r="AC67" i="6"/>
  <c r="AA67" i="6"/>
  <c r="X67" i="6"/>
  <c r="W67" i="6"/>
  <c r="U67" i="6"/>
  <c r="R67" i="6"/>
  <c r="N67" i="6"/>
  <c r="O67" i="6" s="1"/>
  <c r="L67" i="6"/>
  <c r="I67" i="6"/>
  <c r="H67" i="6"/>
  <c r="F67" i="6"/>
  <c r="C67" i="6"/>
  <c r="AC66" i="6"/>
  <c r="AD66" i="6" s="1"/>
  <c r="AA66" i="6"/>
  <c r="W66" i="6"/>
  <c r="X66" i="6" s="1"/>
  <c r="U66" i="6"/>
  <c r="R66" i="6"/>
  <c r="N66" i="6"/>
  <c r="O66" i="6" s="1"/>
  <c r="L66" i="6"/>
  <c r="I66" i="6"/>
  <c r="H66" i="6"/>
  <c r="F66" i="6"/>
  <c r="C66" i="6"/>
  <c r="AD65" i="6"/>
  <c r="AC65" i="6"/>
  <c r="AA65" i="6"/>
  <c r="W65" i="6"/>
  <c r="X65" i="6" s="1"/>
  <c r="U65" i="6"/>
  <c r="R65" i="6"/>
  <c r="O65" i="6"/>
  <c r="N65" i="6"/>
  <c r="L65" i="6"/>
  <c r="I65" i="6"/>
  <c r="H65" i="6"/>
  <c r="F65" i="6"/>
  <c r="C65" i="6"/>
  <c r="AC64" i="6"/>
  <c r="AD64" i="6" s="1"/>
  <c r="AA64" i="6"/>
  <c r="W64" i="6"/>
  <c r="X64" i="6" s="1"/>
  <c r="U64" i="6"/>
  <c r="R64" i="6"/>
  <c r="N64" i="6"/>
  <c r="O64" i="6" s="1"/>
  <c r="L64" i="6"/>
  <c r="I64" i="6"/>
  <c r="H64" i="6"/>
  <c r="F64" i="6"/>
  <c r="C64" i="6"/>
  <c r="AA62" i="6"/>
  <c r="Z62" i="6"/>
  <c r="W62" i="6"/>
  <c r="X62" i="6" s="1"/>
  <c r="U62" i="6"/>
  <c r="T62" i="6"/>
  <c r="R62" i="6"/>
  <c r="Q62" i="6"/>
  <c r="K62" i="6"/>
  <c r="L62" i="6" s="1"/>
  <c r="F62" i="6"/>
  <c r="E62" i="6"/>
  <c r="C62" i="6"/>
  <c r="B62" i="6"/>
  <c r="H62" i="6" s="1"/>
  <c r="I62" i="6" s="1"/>
  <c r="AA61" i="6"/>
  <c r="Z61" i="6"/>
  <c r="T61" i="6"/>
  <c r="U61" i="6" s="1"/>
  <c r="Q61" i="6"/>
  <c r="W61" i="6" s="1"/>
  <c r="X61" i="6" s="1"/>
  <c r="K61" i="6"/>
  <c r="L61" i="6" s="1"/>
  <c r="E61" i="6"/>
  <c r="H61" i="6" s="1"/>
  <c r="I61" i="6" s="1"/>
  <c r="C61" i="6"/>
  <c r="B61" i="6"/>
  <c r="N61" i="6" s="1"/>
  <c r="O61" i="6" s="1"/>
  <c r="AC60" i="6"/>
  <c r="AD60" i="6" s="1"/>
  <c r="AA60" i="6"/>
  <c r="X60" i="6"/>
  <c r="W60" i="6"/>
  <c r="U60" i="6"/>
  <c r="R60" i="6"/>
  <c r="O60" i="6"/>
  <c r="N60" i="6"/>
  <c r="L60" i="6"/>
  <c r="H60" i="6"/>
  <c r="I60" i="6" s="1"/>
  <c r="F60" i="6"/>
  <c r="C60" i="6"/>
  <c r="AD59" i="6"/>
  <c r="AC59" i="6"/>
  <c r="AA59" i="6"/>
  <c r="X59" i="6"/>
  <c r="W59" i="6"/>
  <c r="U59" i="6"/>
  <c r="R59" i="6"/>
  <c r="N59" i="6"/>
  <c r="O59" i="6" s="1"/>
  <c r="L59" i="6"/>
  <c r="H59" i="6"/>
  <c r="I59" i="6" s="1"/>
  <c r="F59" i="6"/>
  <c r="C59" i="6"/>
  <c r="AC58" i="6"/>
  <c r="AD58" i="6" s="1"/>
  <c r="AA58" i="6"/>
  <c r="X58" i="6"/>
  <c r="W58" i="6"/>
  <c r="U58" i="6"/>
  <c r="R58" i="6"/>
  <c r="O58" i="6"/>
  <c r="N58" i="6"/>
  <c r="L58" i="6"/>
  <c r="I58" i="6"/>
  <c r="H58" i="6"/>
  <c r="F58" i="6"/>
  <c r="C58" i="6"/>
  <c r="AC57" i="6"/>
  <c r="AD57" i="6" s="1"/>
  <c r="AA57" i="6"/>
  <c r="W57" i="6"/>
  <c r="X57" i="6" s="1"/>
  <c r="U57" i="6"/>
  <c r="R57" i="6"/>
  <c r="O57" i="6"/>
  <c r="N57" i="6"/>
  <c r="L57" i="6"/>
  <c r="I57" i="6"/>
  <c r="H57" i="6"/>
  <c r="F57" i="6"/>
  <c r="C57" i="6"/>
  <c r="AC56" i="6"/>
  <c r="AD56" i="6" s="1"/>
  <c r="AA56" i="6"/>
  <c r="W56" i="6"/>
  <c r="X56" i="6" s="1"/>
  <c r="U56" i="6"/>
  <c r="R56" i="6"/>
  <c r="O56" i="6"/>
  <c r="N56" i="6"/>
  <c r="L56" i="6"/>
  <c r="H56" i="6"/>
  <c r="I56" i="6" s="1"/>
  <c r="F56" i="6"/>
  <c r="C56" i="6"/>
  <c r="AD55" i="6"/>
  <c r="AC55" i="6"/>
  <c r="AA55" i="6"/>
  <c r="X55" i="6"/>
  <c r="W55" i="6"/>
  <c r="U55" i="6"/>
  <c r="R55" i="6"/>
  <c r="N55" i="6"/>
  <c r="O55" i="6" s="1"/>
  <c r="L55" i="6"/>
  <c r="H55" i="6"/>
  <c r="I55" i="6" s="1"/>
  <c r="F55" i="6"/>
  <c r="C55" i="6"/>
  <c r="AC54" i="6"/>
  <c r="AD54" i="6" s="1"/>
  <c r="AA54" i="6"/>
  <c r="X54" i="6"/>
  <c r="W54" i="6"/>
  <c r="U54" i="6"/>
  <c r="R54" i="6"/>
  <c r="N54" i="6"/>
  <c r="O54" i="6" s="1"/>
  <c r="L54" i="6"/>
  <c r="I54" i="6"/>
  <c r="H54" i="6"/>
  <c r="F54" i="6"/>
  <c r="C54" i="6"/>
  <c r="AC53" i="6"/>
  <c r="AD53" i="6" s="1"/>
  <c r="AA53" i="6"/>
  <c r="W53" i="6"/>
  <c r="X53" i="6" s="1"/>
  <c r="U53" i="6"/>
  <c r="R53" i="6"/>
  <c r="O53" i="6"/>
  <c r="N53" i="6"/>
  <c r="L53" i="6"/>
  <c r="H53" i="6"/>
  <c r="I53" i="6" s="1"/>
  <c r="F53" i="6"/>
  <c r="C53" i="6"/>
  <c r="AC52" i="6"/>
  <c r="AD52" i="6" s="1"/>
  <c r="AA52" i="6"/>
  <c r="X52" i="6"/>
  <c r="W52" i="6"/>
  <c r="U52" i="6"/>
  <c r="R52" i="6"/>
  <c r="O52" i="6"/>
  <c r="N52" i="6"/>
  <c r="L52" i="6"/>
  <c r="H52" i="6"/>
  <c r="I52" i="6" s="1"/>
  <c r="F52" i="6"/>
  <c r="C52" i="6"/>
  <c r="AD51" i="6"/>
  <c r="AC51" i="6"/>
  <c r="AA51" i="6"/>
  <c r="X51" i="6"/>
  <c r="W51" i="6"/>
  <c r="U51" i="6"/>
  <c r="R51" i="6"/>
  <c r="N51" i="6"/>
  <c r="O51" i="6" s="1"/>
  <c r="L51" i="6"/>
  <c r="H51" i="6"/>
  <c r="I51" i="6" s="1"/>
  <c r="F51" i="6"/>
  <c r="C51" i="6"/>
  <c r="AC50" i="6"/>
  <c r="AD50" i="6" s="1"/>
  <c r="AA50" i="6"/>
  <c r="X50" i="6"/>
  <c r="W50" i="6"/>
  <c r="U50" i="6"/>
  <c r="R50" i="6"/>
  <c r="O50" i="6"/>
  <c r="N50" i="6"/>
  <c r="L50" i="6"/>
  <c r="I50" i="6"/>
  <c r="H50" i="6"/>
  <c r="F50" i="6"/>
  <c r="C50" i="6"/>
  <c r="AC49" i="6"/>
  <c r="AD49" i="6" s="1"/>
  <c r="AA49" i="6"/>
  <c r="W49" i="6"/>
  <c r="X49" i="6" s="1"/>
  <c r="U49" i="6"/>
  <c r="R49" i="6"/>
  <c r="O49" i="6"/>
  <c r="N49" i="6"/>
  <c r="L49" i="6"/>
  <c r="I49" i="6"/>
  <c r="H49" i="6"/>
  <c r="F49" i="6"/>
  <c r="C49" i="6"/>
  <c r="AC48" i="6"/>
  <c r="AD48" i="6" s="1"/>
  <c r="AA48" i="6"/>
  <c r="X48" i="6"/>
  <c r="W48" i="6"/>
  <c r="U48" i="6"/>
  <c r="R48" i="6"/>
  <c r="O48" i="6"/>
  <c r="N48" i="6"/>
  <c r="L48" i="6"/>
  <c r="H48" i="6"/>
  <c r="I48" i="6" s="1"/>
  <c r="F48" i="6"/>
  <c r="C48" i="6"/>
  <c r="AD47" i="6"/>
  <c r="AC47" i="6"/>
  <c r="AA47" i="6"/>
  <c r="X47" i="6"/>
  <c r="W47" i="6"/>
  <c r="U47" i="6"/>
  <c r="R47" i="6"/>
  <c r="O47" i="6"/>
  <c r="N47" i="6"/>
  <c r="L47" i="6"/>
  <c r="H47" i="6"/>
  <c r="I47" i="6" s="1"/>
  <c r="F47" i="6"/>
  <c r="C47" i="6"/>
  <c r="AC46" i="6"/>
  <c r="AD46" i="6" s="1"/>
  <c r="AA46" i="6"/>
  <c r="X46" i="6"/>
  <c r="W46" i="6"/>
  <c r="U46" i="6"/>
  <c r="R46" i="6"/>
  <c r="N46" i="6"/>
  <c r="O46" i="6" s="1"/>
  <c r="L46" i="6"/>
  <c r="I46" i="6"/>
  <c r="H46" i="6"/>
  <c r="F46" i="6"/>
  <c r="C46" i="6"/>
  <c r="AC44" i="6"/>
  <c r="AD44" i="6" s="1"/>
  <c r="AA44" i="6"/>
  <c r="W44" i="6"/>
  <c r="X44" i="6" s="1"/>
  <c r="U44" i="6"/>
  <c r="R44" i="6"/>
  <c r="O44" i="6"/>
  <c r="N44" i="6"/>
  <c r="L44" i="6"/>
  <c r="H44" i="6"/>
  <c r="I44" i="6" s="1"/>
  <c r="F44" i="6"/>
  <c r="C44" i="6"/>
  <c r="AC43" i="6"/>
  <c r="AD43" i="6" s="1"/>
  <c r="AA43" i="6"/>
  <c r="X43" i="6"/>
  <c r="W43" i="6"/>
  <c r="U43" i="6"/>
  <c r="R43" i="6"/>
  <c r="O43" i="6"/>
  <c r="N43" i="6"/>
  <c r="L43" i="6"/>
  <c r="H43" i="6"/>
  <c r="I43" i="6" s="1"/>
  <c r="F43" i="6"/>
  <c r="C43" i="6"/>
  <c r="AC42" i="6"/>
  <c r="AD42" i="6" s="1"/>
  <c r="AA42" i="6"/>
  <c r="X42" i="6"/>
  <c r="W42" i="6"/>
  <c r="U42" i="6"/>
  <c r="R42" i="6"/>
  <c r="N42" i="6"/>
  <c r="O42" i="6" s="1"/>
  <c r="L42" i="6"/>
  <c r="H42" i="6"/>
  <c r="I42" i="6" s="1"/>
  <c r="F42" i="6"/>
  <c r="C42" i="6"/>
  <c r="Z40" i="6"/>
  <c r="AA40" i="6" s="1"/>
  <c r="T40" i="6"/>
  <c r="U40" i="6" s="1"/>
  <c r="R40" i="6"/>
  <c r="Q40" i="6"/>
  <c r="K40" i="6"/>
  <c r="L40" i="6" s="1"/>
  <c r="E40" i="6"/>
  <c r="F40" i="6" s="1"/>
  <c r="C40" i="6"/>
  <c r="B40" i="6"/>
  <c r="H40" i="6" s="1"/>
  <c r="I40" i="6" s="1"/>
  <c r="AC39" i="6"/>
  <c r="AD39" i="6" s="1"/>
  <c r="AA39" i="6"/>
  <c r="X39" i="6"/>
  <c r="W39" i="6"/>
  <c r="U39" i="6"/>
  <c r="R39" i="6"/>
  <c r="O39" i="6"/>
  <c r="N39" i="6"/>
  <c r="L39" i="6"/>
  <c r="H39" i="6"/>
  <c r="I39" i="6" s="1"/>
  <c r="F39" i="6"/>
  <c r="C39" i="6"/>
  <c r="AC38" i="6"/>
  <c r="AD38" i="6" s="1"/>
  <c r="AA38" i="6"/>
  <c r="X38" i="6"/>
  <c r="W38" i="6"/>
  <c r="U38" i="6"/>
  <c r="R38" i="6"/>
  <c r="N38" i="6"/>
  <c r="O38" i="6" s="1"/>
  <c r="L38" i="6"/>
  <c r="H38" i="6"/>
  <c r="I38" i="6" s="1"/>
  <c r="F38" i="6"/>
  <c r="C38" i="6"/>
  <c r="AC37" i="6"/>
  <c r="AD37" i="6" s="1"/>
  <c r="AA37" i="6"/>
  <c r="X37" i="6"/>
  <c r="W37" i="6"/>
  <c r="U37" i="6"/>
  <c r="R37" i="6"/>
  <c r="O37" i="6"/>
  <c r="N37" i="6"/>
  <c r="L37" i="6"/>
  <c r="H37" i="6"/>
  <c r="I37" i="6" s="1"/>
  <c r="F37" i="6"/>
  <c r="C37" i="6"/>
  <c r="AC36" i="6"/>
  <c r="AD36" i="6" s="1"/>
  <c r="AA36" i="6"/>
  <c r="W36" i="6"/>
  <c r="X36" i="6" s="1"/>
  <c r="U36" i="6"/>
  <c r="R36" i="6"/>
  <c r="O36" i="6"/>
  <c r="N36" i="6"/>
  <c r="L36" i="6"/>
  <c r="I36" i="6"/>
  <c r="H36" i="6"/>
  <c r="F36" i="6"/>
  <c r="C36" i="6"/>
  <c r="AC35" i="6"/>
  <c r="AD35" i="6" s="1"/>
  <c r="AA35" i="6"/>
  <c r="X35" i="6"/>
  <c r="W35" i="6"/>
  <c r="U35" i="6"/>
  <c r="R35" i="6"/>
  <c r="O35" i="6"/>
  <c r="N35" i="6"/>
  <c r="L35" i="6"/>
  <c r="H35" i="6"/>
  <c r="I35" i="6" s="1"/>
  <c r="F35" i="6"/>
  <c r="C35" i="6"/>
  <c r="AD34" i="6"/>
  <c r="AC34" i="6"/>
  <c r="AA34" i="6"/>
  <c r="X34" i="6"/>
  <c r="W34" i="6"/>
  <c r="U34" i="6"/>
  <c r="R34" i="6"/>
  <c r="O34" i="6"/>
  <c r="N34" i="6"/>
  <c r="L34" i="6"/>
  <c r="H34" i="6"/>
  <c r="I34" i="6" s="1"/>
  <c r="F34" i="6"/>
  <c r="C34" i="6"/>
  <c r="AC33" i="6"/>
  <c r="AD33" i="6" s="1"/>
  <c r="AA33" i="6"/>
  <c r="X33" i="6"/>
  <c r="W33" i="6"/>
  <c r="U33" i="6"/>
  <c r="R33" i="6"/>
  <c r="N33" i="6"/>
  <c r="O33" i="6" s="1"/>
  <c r="L33" i="6"/>
  <c r="I33" i="6"/>
  <c r="H33" i="6"/>
  <c r="F33" i="6"/>
  <c r="C33" i="6"/>
  <c r="AC32" i="6"/>
  <c r="AD32" i="6" s="1"/>
  <c r="AA32" i="6"/>
  <c r="W32" i="6"/>
  <c r="X32" i="6" s="1"/>
  <c r="U32" i="6"/>
  <c r="R32" i="6"/>
  <c r="O32" i="6"/>
  <c r="N32" i="6"/>
  <c r="L32" i="6"/>
  <c r="H32" i="6"/>
  <c r="I32" i="6" s="1"/>
  <c r="F32" i="6"/>
  <c r="C32" i="6"/>
  <c r="AC31" i="6"/>
  <c r="AD31" i="6" s="1"/>
  <c r="AA31" i="6"/>
  <c r="X31" i="6"/>
  <c r="W31" i="6"/>
  <c r="U31" i="6"/>
  <c r="R31" i="6"/>
  <c r="O31" i="6"/>
  <c r="N31" i="6"/>
  <c r="L31" i="6"/>
  <c r="H31" i="6"/>
  <c r="I31" i="6" s="1"/>
  <c r="F31" i="6"/>
  <c r="C31" i="6"/>
  <c r="Z29" i="6"/>
  <c r="AA29" i="6" s="1"/>
  <c r="W29" i="6"/>
  <c r="X29" i="6" s="1"/>
  <c r="U29" i="6"/>
  <c r="T29" i="6"/>
  <c r="R29" i="6"/>
  <c r="Q29" i="6"/>
  <c r="K29" i="6"/>
  <c r="L29" i="6" s="1"/>
  <c r="I29" i="6"/>
  <c r="H29" i="6"/>
  <c r="F29" i="6"/>
  <c r="E29" i="6"/>
  <c r="B29" i="6"/>
  <c r="C29" i="6" s="1"/>
  <c r="AC28" i="6"/>
  <c r="AD28" i="6" s="1"/>
  <c r="AA28" i="6"/>
  <c r="W28" i="6"/>
  <c r="X28" i="6" s="1"/>
  <c r="U28" i="6"/>
  <c r="R28" i="6"/>
  <c r="O28" i="6"/>
  <c r="N28" i="6"/>
  <c r="L28" i="6"/>
  <c r="H28" i="6"/>
  <c r="I28" i="6" s="1"/>
  <c r="F28" i="6"/>
  <c r="C28" i="6"/>
  <c r="AC27" i="6"/>
  <c r="AD27" i="6" s="1"/>
  <c r="AA27" i="6"/>
  <c r="X27" i="6"/>
  <c r="W27" i="6"/>
  <c r="U27" i="6"/>
  <c r="R27" i="6"/>
  <c r="O27" i="6"/>
  <c r="N27" i="6"/>
  <c r="L27" i="6"/>
  <c r="H27" i="6"/>
  <c r="I27" i="6" s="1"/>
  <c r="F27" i="6"/>
  <c r="C27" i="6"/>
  <c r="AC26" i="6"/>
  <c r="AD26" i="6" s="1"/>
  <c r="AA26" i="6"/>
  <c r="X26" i="6"/>
  <c r="W26" i="6"/>
  <c r="U26" i="6"/>
  <c r="R26" i="6"/>
  <c r="N26" i="6"/>
  <c r="O26" i="6" s="1"/>
  <c r="L26" i="6"/>
  <c r="H26" i="6"/>
  <c r="I26" i="6" s="1"/>
  <c r="F26" i="6"/>
  <c r="C26" i="6"/>
  <c r="AC25" i="6"/>
  <c r="AD25" i="6" s="1"/>
  <c r="AA25" i="6"/>
  <c r="X25" i="6"/>
  <c r="W25" i="6"/>
  <c r="U25" i="6"/>
  <c r="R25" i="6"/>
  <c r="O25" i="6"/>
  <c r="N25" i="6"/>
  <c r="L25" i="6"/>
  <c r="H25" i="6"/>
  <c r="I25" i="6" s="1"/>
  <c r="F25" i="6"/>
  <c r="C25" i="6"/>
  <c r="AC24" i="6"/>
  <c r="AD24" i="6" s="1"/>
  <c r="AA24" i="6"/>
  <c r="W24" i="6"/>
  <c r="X24" i="6" s="1"/>
  <c r="U24" i="6"/>
  <c r="R24" i="6"/>
  <c r="O24" i="6"/>
  <c r="N24" i="6"/>
  <c r="L24" i="6"/>
  <c r="I24" i="6"/>
  <c r="H24" i="6"/>
  <c r="F24" i="6"/>
  <c r="C24" i="6"/>
  <c r="AC23" i="6"/>
  <c r="AD23" i="6" s="1"/>
  <c r="AA23" i="6"/>
  <c r="X23" i="6"/>
  <c r="W23" i="6"/>
  <c r="U23" i="6"/>
  <c r="R23" i="6"/>
  <c r="O23" i="6"/>
  <c r="N23" i="6"/>
  <c r="L23" i="6"/>
  <c r="H23" i="6"/>
  <c r="I23" i="6" s="1"/>
  <c r="F23" i="6"/>
  <c r="C23" i="6"/>
  <c r="AD22" i="6"/>
  <c r="AC22" i="6"/>
  <c r="AA22" i="6"/>
  <c r="X22" i="6"/>
  <c r="W22" i="6"/>
  <c r="U22" i="6"/>
  <c r="R22" i="6"/>
  <c r="O22" i="6"/>
  <c r="N22" i="6"/>
  <c r="L22" i="6"/>
  <c r="H22" i="6"/>
  <c r="I22" i="6" s="1"/>
  <c r="F22" i="6"/>
  <c r="C22" i="6"/>
  <c r="AC21" i="6"/>
  <c r="AD21" i="6" s="1"/>
  <c r="AA21" i="6"/>
  <c r="X21" i="6"/>
  <c r="W21" i="6"/>
  <c r="U21" i="6"/>
  <c r="R21" i="6"/>
  <c r="N21" i="6"/>
  <c r="O21" i="6" s="1"/>
  <c r="L21" i="6"/>
  <c r="I21" i="6"/>
  <c r="H21" i="6"/>
  <c r="F21" i="6"/>
  <c r="C21" i="6"/>
  <c r="AC19" i="6"/>
  <c r="AD19" i="6" s="1"/>
  <c r="AA19" i="6"/>
  <c r="W19" i="6"/>
  <c r="X19" i="6" s="1"/>
  <c r="U19" i="6"/>
  <c r="R19" i="6"/>
  <c r="O19" i="6"/>
  <c r="N19" i="6"/>
  <c r="L19" i="6"/>
  <c r="H19" i="6"/>
  <c r="I19" i="6" s="1"/>
  <c r="F19" i="6"/>
  <c r="C19" i="6"/>
  <c r="Z18" i="6"/>
  <c r="AA18" i="6" s="1"/>
  <c r="T18" i="6"/>
  <c r="U18" i="6" s="1"/>
  <c r="Q18" i="6"/>
  <c r="R18" i="6" s="1"/>
  <c r="L18" i="6"/>
  <c r="K18" i="6"/>
  <c r="E18" i="6"/>
  <c r="F18" i="6" s="1"/>
  <c r="B18" i="6"/>
  <c r="C18" i="6" s="1"/>
  <c r="AD17" i="6"/>
  <c r="AC17" i="6"/>
  <c r="AA17" i="6"/>
  <c r="X17" i="6"/>
  <c r="W17" i="6"/>
  <c r="U17" i="6"/>
  <c r="R17" i="6"/>
  <c r="N17" i="6"/>
  <c r="O17" i="6" s="1"/>
  <c r="L17" i="6"/>
  <c r="I17" i="6"/>
  <c r="H17" i="6"/>
  <c r="F17" i="6"/>
  <c r="C17" i="6"/>
  <c r="AC16" i="6"/>
  <c r="AD16" i="6" s="1"/>
  <c r="AA16" i="6"/>
  <c r="X16" i="6"/>
  <c r="W16" i="6"/>
  <c r="U16" i="6"/>
  <c r="R16" i="6"/>
  <c r="O16" i="6"/>
  <c r="N16" i="6"/>
  <c r="L16" i="6"/>
  <c r="H16" i="6"/>
  <c r="I16" i="6" s="1"/>
  <c r="F16" i="6"/>
  <c r="C16" i="6"/>
  <c r="AC15" i="6"/>
  <c r="AD15" i="6" s="1"/>
  <c r="AA15" i="6"/>
  <c r="W15" i="6"/>
  <c r="X15" i="6" s="1"/>
  <c r="U15" i="6"/>
  <c r="R15" i="6"/>
  <c r="O15" i="6"/>
  <c r="N15" i="6"/>
  <c r="L15" i="6"/>
  <c r="H15" i="6"/>
  <c r="I15" i="6" s="1"/>
  <c r="F15" i="6"/>
  <c r="C15" i="6"/>
  <c r="AC14" i="6"/>
  <c r="AD14" i="6" s="1"/>
  <c r="AA14" i="6"/>
  <c r="X14" i="6"/>
  <c r="W14" i="6"/>
  <c r="U14" i="6"/>
  <c r="R14" i="6"/>
  <c r="N14" i="6"/>
  <c r="O14" i="6" s="1"/>
  <c r="L14" i="6"/>
  <c r="H14" i="6"/>
  <c r="I14" i="6" s="1"/>
  <c r="F14" i="6"/>
  <c r="C14" i="6"/>
  <c r="AD13" i="6"/>
  <c r="AC13" i="6"/>
  <c r="AA13" i="6"/>
  <c r="X13" i="6"/>
  <c r="W13" i="6"/>
  <c r="U13" i="6"/>
  <c r="R13" i="6"/>
  <c r="N13" i="6"/>
  <c r="O13" i="6" s="1"/>
  <c r="L13" i="6"/>
  <c r="H13" i="6"/>
  <c r="I13" i="6" s="1"/>
  <c r="F13" i="6"/>
  <c r="C13" i="6"/>
  <c r="AC12" i="6"/>
  <c r="AD12" i="6" s="1"/>
  <c r="AA12" i="6"/>
  <c r="X12" i="6"/>
  <c r="W12" i="6"/>
  <c r="U12" i="6"/>
  <c r="R12" i="6"/>
  <c r="O12" i="6"/>
  <c r="N12" i="6"/>
  <c r="L12" i="6"/>
  <c r="H12" i="6"/>
  <c r="I12" i="6" s="1"/>
  <c r="F12" i="6"/>
  <c r="C12" i="6"/>
  <c r="AC11" i="6"/>
  <c r="AD11" i="6" s="1"/>
  <c r="AA11" i="6"/>
  <c r="X11" i="6"/>
  <c r="W11" i="6"/>
  <c r="U11" i="6"/>
  <c r="R11" i="6"/>
  <c r="O11" i="6"/>
  <c r="N11" i="6"/>
  <c r="L11" i="6"/>
  <c r="H11" i="6"/>
  <c r="I11" i="6" s="1"/>
  <c r="F11" i="6"/>
  <c r="C11" i="6"/>
  <c r="AC10" i="6"/>
  <c r="AD10" i="6" s="1"/>
  <c r="AA10" i="6"/>
  <c r="X10" i="6"/>
  <c r="W10" i="6"/>
  <c r="U10" i="6"/>
  <c r="R10" i="6"/>
  <c r="O10" i="6"/>
  <c r="N10" i="6"/>
  <c r="L10" i="6"/>
  <c r="H10" i="6"/>
  <c r="I10" i="6" s="1"/>
  <c r="F10" i="6"/>
  <c r="C10" i="6"/>
  <c r="AD8" i="6"/>
  <c r="AC8" i="6"/>
  <c r="AA8" i="6"/>
  <c r="X8" i="6"/>
  <c r="W8" i="6"/>
  <c r="U8" i="6"/>
  <c r="R8" i="6"/>
  <c r="N8" i="6"/>
  <c r="O8" i="6" s="1"/>
  <c r="L8" i="6"/>
  <c r="I8" i="6"/>
  <c r="H8" i="6"/>
  <c r="F8" i="6"/>
  <c r="C8" i="6"/>
  <c r="AC444" i="5"/>
  <c r="W444" i="5"/>
  <c r="X440" i="5" s="1"/>
  <c r="N444" i="5"/>
  <c r="O432" i="5" s="1"/>
  <c r="H444" i="5"/>
  <c r="I416" i="5" s="1"/>
  <c r="AA442" i="5"/>
  <c r="Z442" i="5"/>
  <c r="T442" i="5"/>
  <c r="U442" i="5" s="1"/>
  <c r="Q442" i="5"/>
  <c r="R442" i="5" s="1"/>
  <c r="L442" i="5"/>
  <c r="K442" i="5"/>
  <c r="E442" i="5"/>
  <c r="F442" i="5" s="1"/>
  <c r="B442" i="5"/>
  <c r="H442" i="5" s="1"/>
  <c r="I442" i="5" s="1"/>
  <c r="Z441" i="5"/>
  <c r="AA441" i="5" s="1"/>
  <c r="T441" i="5"/>
  <c r="U441" i="5" s="1"/>
  <c r="Q441" i="5"/>
  <c r="W441" i="5" s="1"/>
  <c r="X441" i="5" s="1"/>
  <c r="L441" i="5"/>
  <c r="K441" i="5"/>
  <c r="E441" i="5"/>
  <c r="F441" i="5" s="1"/>
  <c r="B441" i="5"/>
  <c r="C441" i="5" s="1"/>
  <c r="AD440" i="5"/>
  <c r="AC440" i="5"/>
  <c r="AA440" i="5"/>
  <c r="W440" i="5"/>
  <c r="U440" i="5"/>
  <c r="R440" i="5"/>
  <c r="O440" i="5"/>
  <c r="N440" i="5"/>
  <c r="L440" i="5"/>
  <c r="H440" i="5"/>
  <c r="I440" i="5" s="1"/>
  <c r="F440" i="5"/>
  <c r="C440" i="5"/>
  <c r="AC439" i="5"/>
  <c r="AD439" i="5" s="1"/>
  <c r="AA439" i="5"/>
  <c r="W439" i="5"/>
  <c r="X439" i="5" s="1"/>
  <c r="U439" i="5"/>
  <c r="R439" i="5"/>
  <c r="N439" i="5"/>
  <c r="L439" i="5"/>
  <c r="I439" i="5"/>
  <c r="H439" i="5"/>
  <c r="F439" i="5"/>
  <c r="C439" i="5"/>
  <c r="AD438" i="5"/>
  <c r="AC438" i="5"/>
  <c r="AA438" i="5"/>
  <c r="W438" i="5"/>
  <c r="X438" i="5" s="1"/>
  <c r="U438" i="5"/>
  <c r="R438" i="5"/>
  <c r="N438" i="5"/>
  <c r="O438" i="5" s="1"/>
  <c r="L438" i="5"/>
  <c r="H438" i="5"/>
  <c r="F438" i="5"/>
  <c r="C438" i="5"/>
  <c r="AC437" i="5"/>
  <c r="AD437" i="5" s="1"/>
  <c r="AA437" i="5"/>
  <c r="W437" i="5"/>
  <c r="U437" i="5"/>
  <c r="R437" i="5"/>
  <c r="O437" i="5"/>
  <c r="N437" i="5"/>
  <c r="L437" i="5"/>
  <c r="H437" i="5"/>
  <c r="I437" i="5" s="1"/>
  <c r="F437" i="5"/>
  <c r="C437" i="5"/>
  <c r="AC436" i="5"/>
  <c r="AD436" i="5" s="1"/>
  <c r="AA436" i="5"/>
  <c r="X436" i="5"/>
  <c r="W436" i="5"/>
  <c r="U436" i="5"/>
  <c r="R436" i="5"/>
  <c r="N436" i="5"/>
  <c r="O436" i="5" s="1"/>
  <c r="L436" i="5"/>
  <c r="H436" i="5"/>
  <c r="I436" i="5" s="1"/>
  <c r="F436" i="5"/>
  <c r="C436" i="5"/>
  <c r="AC435" i="5"/>
  <c r="AD435" i="5" s="1"/>
  <c r="AA435" i="5"/>
  <c r="W435" i="5"/>
  <c r="X435" i="5" s="1"/>
  <c r="U435" i="5"/>
  <c r="R435" i="5"/>
  <c r="N435" i="5"/>
  <c r="L435" i="5"/>
  <c r="H435" i="5"/>
  <c r="I435" i="5" s="1"/>
  <c r="F435" i="5"/>
  <c r="C435" i="5"/>
  <c r="AD434" i="5"/>
  <c r="AC434" i="5"/>
  <c r="AA434" i="5"/>
  <c r="W434" i="5"/>
  <c r="X434" i="5" s="1"/>
  <c r="U434" i="5"/>
  <c r="R434" i="5"/>
  <c r="N434" i="5"/>
  <c r="O434" i="5" s="1"/>
  <c r="L434" i="5"/>
  <c r="H434" i="5"/>
  <c r="F434" i="5"/>
  <c r="C434" i="5"/>
  <c r="AC433" i="5"/>
  <c r="AD433" i="5" s="1"/>
  <c r="AA433" i="5"/>
  <c r="X433" i="5"/>
  <c r="W433" i="5"/>
  <c r="U433" i="5"/>
  <c r="R433" i="5"/>
  <c r="N433" i="5"/>
  <c r="O433" i="5" s="1"/>
  <c r="L433" i="5"/>
  <c r="H433" i="5"/>
  <c r="I433" i="5" s="1"/>
  <c r="F433" i="5"/>
  <c r="C433" i="5"/>
  <c r="AC432" i="5"/>
  <c r="AD432" i="5" s="1"/>
  <c r="AA432" i="5"/>
  <c r="X432" i="5"/>
  <c r="W432" i="5"/>
  <c r="U432" i="5"/>
  <c r="R432" i="5"/>
  <c r="N432" i="5"/>
  <c r="L432" i="5"/>
  <c r="H432" i="5"/>
  <c r="I432" i="5" s="1"/>
  <c r="F432" i="5"/>
  <c r="C432" i="5"/>
  <c r="AA429" i="5"/>
  <c r="Z429" i="5"/>
  <c r="W429" i="5"/>
  <c r="X429" i="5" s="1"/>
  <c r="U429" i="5"/>
  <c r="T429" i="5"/>
  <c r="Q429" i="5"/>
  <c r="R429" i="5" s="1"/>
  <c r="K429" i="5"/>
  <c r="N429" i="5" s="1"/>
  <c r="O429" i="5" s="1"/>
  <c r="H429" i="5"/>
  <c r="I429" i="5" s="1"/>
  <c r="E429" i="5"/>
  <c r="F429" i="5" s="1"/>
  <c r="C429" i="5"/>
  <c r="B429" i="5"/>
  <c r="Z428" i="5"/>
  <c r="AA428" i="5" s="1"/>
  <c r="W428" i="5"/>
  <c r="X428" i="5" s="1"/>
  <c r="T428" i="5"/>
  <c r="U428" i="5" s="1"/>
  <c r="Q428" i="5"/>
  <c r="AC428" i="5" s="1"/>
  <c r="AD428" i="5" s="1"/>
  <c r="K428" i="5"/>
  <c r="L428" i="5" s="1"/>
  <c r="I428" i="5"/>
  <c r="H428" i="5"/>
  <c r="F428" i="5"/>
  <c r="E428" i="5"/>
  <c r="C428" i="5"/>
  <c r="B428" i="5"/>
  <c r="AC427" i="5"/>
  <c r="AD427" i="5" s="1"/>
  <c r="AA427" i="5"/>
  <c r="X427" i="5"/>
  <c r="W427" i="5"/>
  <c r="U427" i="5"/>
  <c r="R427" i="5"/>
  <c r="N427" i="5"/>
  <c r="L427" i="5"/>
  <c r="H427" i="5"/>
  <c r="I427" i="5" s="1"/>
  <c r="F427" i="5"/>
  <c r="C427" i="5"/>
  <c r="AC426" i="5"/>
  <c r="AD426" i="5" s="1"/>
  <c r="AA426" i="5"/>
  <c r="W426" i="5"/>
  <c r="X426" i="5" s="1"/>
  <c r="U426" i="5"/>
  <c r="R426" i="5"/>
  <c r="O426" i="5"/>
  <c r="N426" i="5"/>
  <c r="L426" i="5"/>
  <c r="H426" i="5"/>
  <c r="F426" i="5"/>
  <c r="C426" i="5"/>
  <c r="AD425" i="5"/>
  <c r="AC425" i="5"/>
  <c r="AA425" i="5"/>
  <c r="W425" i="5"/>
  <c r="U425" i="5"/>
  <c r="R425" i="5"/>
  <c r="N425" i="5"/>
  <c r="O425" i="5" s="1"/>
  <c r="L425" i="5"/>
  <c r="I425" i="5"/>
  <c r="H425" i="5"/>
  <c r="F425" i="5"/>
  <c r="C425" i="5"/>
  <c r="AC424" i="5"/>
  <c r="AD424" i="5" s="1"/>
  <c r="AA424" i="5"/>
  <c r="W424" i="5"/>
  <c r="X424" i="5" s="1"/>
  <c r="U424" i="5"/>
  <c r="R424" i="5"/>
  <c r="N424" i="5"/>
  <c r="O424" i="5" s="1"/>
  <c r="L424" i="5"/>
  <c r="I424" i="5"/>
  <c r="H424" i="5"/>
  <c r="F424" i="5"/>
  <c r="C424" i="5"/>
  <c r="AC423" i="5"/>
  <c r="AD423" i="5" s="1"/>
  <c r="AA423" i="5"/>
  <c r="W423" i="5"/>
  <c r="X423" i="5" s="1"/>
  <c r="U423" i="5"/>
  <c r="R423" i="5"/>
  <c r="O423" i="5"/>
  <c r="N423" i="5"/>
  <c r="L423" i="5"/>
  <c r="H423" i="5"/>
  <c r="I423" i="5" s="1"/>
  <c r="F423" i="5"/>
  <c r="C423" i="5"/>
  <c r="AC422" i="5"/>
  <c r="AD422" i="5" s="1"/>
  <c r="AA422" i="5"/>
  <c r="W422" i="5"/>
  <c r="U422" i="5"/>
  <c r="R422" i="5"/>
  <c r="O422" i="5"/>
  <c r="N422" i="5"/>
  <c r="L422" i="5"/>
  <c r="H422" i="5"/>
  <c r="F422" i="5"/>
  <c r="C422" i="5"/>
  <c r="AC421" i="5"/>
  <c r="AD421" i="5" s="1"/>
  <c r="AA421" i="5"/>
  <c r="X421" i="5"/>
  <c r="W421" i="5"/>
  <c r="U421" i="5"/>
  <c r="R421" i="5"/>
  <c r="N421" i="5"/>
  <c r="O421" i="5" s="1"/>
  <c r="L421" i="5"/>
  <c r="I421" i="5"/>
  <c r="H421" i="5"/>
  <c r="F421" i="5"/>
  <c r="C421" i="5"/>
  <c r="AD420" i="5"/>
  <c r="AC420" i="5"/>
  <c r="AA420" i="5"/>
  <c r="W420" i="5"/>
  <c r="X420" i="5" s="1"/>
  <c r="U420" i="5"/>
  <c r="R420" i="5"/>
  <c r="N420" i="5"/>
  <c r="O420" i="5" s="1"/>
  <c r="L420" i="5"/>
  <c r="H420" i="5"/>
  <c r="I420" i="5" s="1"/>
  <c r="F420" i="5"/>
  <c r="C420" i="5"/>
  <c r="AC419" i="5"/>
  <c r="AD419" i="5" s="1"/>
  <c r="AA419" i="5"/>
  <c r="W419" i="5"/>
  <c r="U419" i="5"/>
  <c r="R419" i="5"/>
  <c r="O419" i="5"/>
  <c r="N419" i="5"/>
  <c r="L419" i="5"/>
  <c r="H419" i="5"/>
  <c r="I419" i="5" s="1"/>
  <c r="F419" i="5"/>
  <c r="C419" i="5"/>
  <c r="AC418" i="5"/>
  <c r="AD418" i="5" s="1"/>
  <c r="AA418" i="5"/>
  <c r="X418" i="5"/>
  <c r="W418" i="5"/>
  <c r="U418" i="5"/>
  <c r="R418" i="5"/>
  <c r="N418" i="5"/>
  <c r="O418" i="5" s="1"/>
  <c r="L418" i="5"/>
  <c r="H418" i="5"/>
  <c r="I418" i="5" s="1"/>
  <c r="F418" i="5"/>
  <c r="C418" i="5"/>
  <c r="AD417" i="5"/>
  <c r="AC417" i="5"/>
  <c r="AA417" i="5"/>
  <c r="X417" i="5"/>
  <c r="W417" i="5"/>
  <c r="U417" i="5"/>
  <c r="R417" i="5"/>
  <c r="N417" i="5"/>
  <c r="O417" i="5" s="1"/>
  <c r="L417" i="5"/>
  <c r="H417" i="5"/>
  <c r="I417" i="5" s="1"/>
  <c r="F417" i="5"/>
  <c r="C417" i="5"/>
  <c r="AD416" i="5"/>
  <c r="AC416" i="5"/>
  <c r="AA416" i="5"/>
  <c r="W416" i="5"/>
  <c r="X416" i="5" s="1"/>
  <c r="U416" i="5"/>
  <c r="R416" i="5"/>
  <c r="N416" i="5"/>
  <c r="O416" i="5" s="1"/>
  <c r="L416" i="5"/>
  <c r="H416" i="5"/>
  <c r="F416" i="5"/>
  <c r="C416" i="5"/>
  <c r="AC415" i="5"/>
  <c r="AD415" i="5" s="1"/>
  <c r="AA415" i="5"/>
  <c r="X415" i="5"/>
  <c r="W415" i="5"/>
  <c r="U415" i="5"/>
  <c r="R415" i="5"/>
  <c r="N415" i="5"/>
  <c r="L415" i="5"/>
  <c r="H415" i="5"/>
  <c r="I415" i="5" s="1"/>
  <c r="F415" i="5"/>
  <c r="C415" i="5"/>
  <c r="AC414" i="5"/>
  <c r="AD414" i="5" s="1"/>
  <c r="AA414" i="5"/>
  <c r="X414" i="5"/>
  <c r="W414" i="5"/>
  <c r="U414" i="5"/>
  <c r="R414" i="5"/>
  <c r="N414" i="5"/>
  <c r="L414" i="5"/>
  <c r="H414" i="5"/>
  <c r="I414" i="5" s="1"/>
  <c r="F414" i="5"/>
  <c r="C414" i="5"/>
  <c r="AD413" i="5"/>
  <c r="AC413" i="5"/>
  <c r="AA413" i="5"/>
  <c r="W413" i="5"/>
  <c r="U413" i="5"/>
  <c r="R413" i="5"/>
  <c r="N413" i="5"/>
  <c r="O413" i="5" s="1"/>
  <c r="L413" i="5"/>
  <c r="H413" i="5"/>
  <c r="F413" i="5"/>
  <c r="C413" i="5"/>
  <c r="AD412" i="5"/>
  <c r="AC412" i="5"/>
  <c r="AA412" i="5"/>
  <c r="W412" i="5"/>
  <c r="X412" i="5" s="1"/>
  <c r="U412" i="5"/>
  <c r="R412" i="5"/>
  <c r="N412" i="5"/>
  <c r="O412" i="5" s="1"/>
  <c r="L412" i="5"/>
  <c r="I412" i="5"/>
  <c r="H412" i="5"/>
  <c r="F412" i="5"/>
  <c r="C412" i="5"/>
  <c r="AC411" i="5"/>
  <c r="AD411" i="5" s="1"/>
  <c r="AA411" i="5"/>
  <c r="X411" i="5"/>
  <c r="W411" i="5"/>
  <c r="U411" i="5"/>
  <c r="R411" i="5"/>
  <c r="N411" i="5"/>
  <c r="L411" i="5"/>
  <c r="H411" i="5"/>
  <c r="I411" i="5" s="1"/>
  <c r="F411" i="5"/>
  <c r="C411" i="5"/>
  <c r="AC410" i="5"/>
  <c r="AD410" i="5" s="1"/>
  <c r="AA410" i="5"/>
  <c r="W410" i="5"/>
  <c r="X410" i="5" s="1"/>
  <c r="U410" i="5"/>
  <c r="R410" i="5"/>
  <c r="O410" i="5"/>
  <c r="N410" i="5"/>
  <c r="L410" i="5"/>
  <c r="H410" i="5"/>
  <c r="F410" i="5"/>
  <c r="C410" i="5"/>
  <c r="AD409" i="5"/>
  <c r="AC409" i="5"/>
  <c r="AA409" i="5"/>
  <c r="W409" i="5"/>
  <c r="U409" i="5"/>
  <c r="R409" i="5"/>
  <c r="N409" i="5"/>
  <c r="O409" i="5" s="1"/>
  <c r="L409" i="5"/>
  <c r="I409" i="5"/>
  <c r="H409" i="5"/>
  <c r="F409" i="5"/>
  <c r="C409" i="5"/>
  <c r="AC408" i="5"/>
  <c r="AD408" i="5" s="1"/>
  <c r="AA408" i="5"/>
  <c r="W408" i="5"/>
  <c r="X408" i="5" s="1"/>
  <c r="U408" i="5"/>
  <c r="R408" i="5"/>
  <c r="N408" i="5"/>
  <c r="O408" i="5" s="1"/>
  <c r="L408" i="5"/>
  <c r="I408" i="5"/>
  <c r="H408" i="5"/>
  <c r="F408" i="5"/>
  <c r="C408" i="5"/>
  <c r="AC407" i="5"/>
  <c r="AD407" i="5" s="1"/>
  <c r="AA407" i="5"/>
  <c r="W407" i="5"/>
  <c r="X407" i="5" s="1"/>
  <c r="U407" i="5"/>
  <c r="R407" i="5"/>
  <c r="O407" i="5"/>
  <c r="N407" i="5"/>
  <c r="L407" i="5"/>
  <c r="H407" i="5"/>
  <c r="I407" i="5" s="1"/>
  <c r="F407" i="5"/>
  <c r="C407" i="5"/>
  <c r="AA403" i="5"/>
  <c r="Z403" i="5"/>
  <c r="T403" i="5"/>
  <c r="U403" i="5" s="1"/>
  <c r="Q403" i="5"/>
  <c r="W403" i="5" s="1"/>
  <c r="X403" i="5" s="1"/>
  <c r="K403" i="5"/>
  <c r="N403" i="5" s="1"/>
  <c r="O403" i="5" s="1"/>
  <c r="F403" i="5"/>
  <c r="E403" i="5"/>
  <c r="H403" i="5" s="1"/>
  <c r="I403" i="5" s="1"/>
  <c r="C403" i="5"/>
  <c r="B403" i="5"/>
  <c r="AD402" i="5"/>
  <c r="AC402" i="5"/>
  <c r="AA402" i="5"/>
  <c r="W402" i="5"/>
  <c r="X402" i="5" s="1"/>
  <c r="U402" i="5"/>
  <c r="R402" i="5"/>
  <c r="N402" i="5"/>
  <c r="O402" i="5" s="1"/>
  <c r="L402" i="5"/>
  <c r="H402" i="5"/>
  <c r="F402" i="5"/>
  <c r="C402" i="5"/>
  <c r="AC401" i="5"/>
  <c r="AD401" i="5" s="1"/>
  <c r="AA401" i="5"/>
  <c r="W401" i="5"/>
  <c r="U401" i="5"/>
  <c r="R401" i="5"/>
  <c r="O401" i="5"/>
  <c r="N401" i="5"/>
  <c r="L401" i="5"/>
  <c r="H401" i="5"/>
  <c r="I401" i="5" s="1"/>
  <c r="F401" i="5"/>
  <c r="C401" i="5"/>
  <c r="AC400" i="5"/>
  <c r="AD400" i="5" s="1"/>
  <c r="AA400" i="5"/>
  <c r="X400" i="5"/>
  <c r="W400" i="5"/>
  <c r="U400" i="5"/>
  <c r="R400" i="5"/>
  <c r="N400" i="5"/>
  <c r="O400" i="5" s="1"/>
  <c r="L400" i="5"/>
  <c r="H400" i="5"/>
  <c r="I400" i="5" s="1"/>
  <c r="F400" i="5"/>
  <c r="C400" i="5"/>
  <c r="AC399" i="5"/>
  <c r="AD399" i="5" s="1"/>
  <c r="AA399" i="5"/>
  <c r="W399" i="5"/>
  <c r="X399" i="5" s="1"/>
  <c r="U399" i="5"/>
  <c r="R399" i="5"/>
  <c r="N399" i="5"/>
  <c r="L399" i="5"/>
  <c r="H399" i="5"/>
  <c r="I399" i="5" s="1"/>
  <c r="F399" i="5"/>
  <c r="C399" i="5"/>
  <c r="AD398" i="5"/>
  <c r="AC398" i="5"/>
  <c r="AA398" i="5"/>
  <c r="W398" i="5"/>
  <c r="X398" i="5" s="1"/>
  <c r="U398" i="5"/>
  <c r="R398" i="5"/>
  <c r="N398" i="5"/>
  <c r="O398" i="5" s="1"/>
  <c r="L398" i="5"/>
  <c r="H398" i="5"/>
  <c r="F398" i="5"/>
  <c r="C398" i="5"/>
  <c r="AC397" i="5"/>
  <c r="AD397" i="5" s="1"/>
  <c r="AA397" i="5"/>
  <c r="X397" i="5"/>
  <c r="W397" i="5"/>
  <c r="U397" i="5"/>
  <c r="R397" i="5"/>
  <c r="N397" i="5"/>
  <c r="O397" i="5" s="1"/>
  <c r="L397" i="5"/>
  <c r="H397" i="5"/>
  <c r="I397" i="5" s="1"/>
  <c r="F397" i="5"/>
  <c r="C397" i="5"/>
  <c r="Z396" i="5"/>
  <c r="AC396" i="5" s="1"/>
  <c r="AD396" i="5" s="1"/>
  <c r="W396" i="5"/>
  <c r="X396" i="5" s="1"/>
  <c r="T396" i="5"/>
  <c r="U396" i="5" s="1"/>
  <c r="R396" i="5"/>
  <c r="Q396" i="5"/>
  <c r="L396" i="5"/>
  <c r="K396" i="5"/>
  <c r="N396" i="5" s="1"/>
  <c r="O396" i="5" s="1"/>
  <c r="H396" i="5"/>
  <c r="I396" i="5" s="1"/>
  <c r="E396" i="5"/>
  <c r="F396" i="5" s="1"/>
  <c r="B396" i="5"/>
  <c r="C396" i="5" s="1"/>
  <c r="AC395" i="5"/>
  <c r="AD395" i="5" s="1"/>
  <c r="AA395" i="5"/>
  <c r="X395" i="5"/>
  <c r="W395" i="5"/>
  <c r="U395" i="5"/>
  <c r="R395" i="5"/>
  <c r="N395" i="5"/>
  <c r="O395" i="5" s="1"/>
  <c r="L395" i="5"/>
  <c r="H395" i="5"/>
  <c r="I395" i="5" s="1"/>
  <c r="F395" i="5"/>
  <c r="C395" i="5"/>
  <c r="AD394" i="5"/>
  <c r="AC394" i="5"/>
  <c r="AA394" i="5"/>
  <c r="X394" i="5"/>
  <c r="W394" i="5"/>
  <c r="U394" i="5"/>
  <c r="R394" i="5"/>
  <c r="N394" i="5"/>
  <c r="O394" i="5" s="1"/>
  <c r="L394" i="5"/>
  <c r="H394" i="5"/>
  <c r="I394" i="5" s="1"/>
  <c r="F394" i="5"/>
  <c r="C394" i="5"/>
  <c r="AA393" i="5"/>
  <c r="Z393" i="5"/>
  <c r="T393" i="5"/>
  <c r="U393" i="5" s="1"/>
  <c r="Q393" i="5"/>
  <c r="W393" i="5" s="1"/>
  <c r="X393" i="5" s="1"/>
  <c r="K393" i="5"/>
  <c r="N393" i="5" s="1"/>
  <c r="O393" i="5" s="1"/>
  <c r="F393" i="5"/>
  <c r="E393" i="5"/>
  <c r="H393" i="5" s="1"/>
  <c r="I393" i="5" s="1"/>
  <c r="C393" i="5"/>
  <c r="B393" i="5"/>
  <c r="AD392" i="5"/>
  <c r="AC392" i="5"/>
  <c r="AA392" i="5"/>
  <c r="W392" i="5"/>
  <c r="X392" i="5" s="1"/>
  <c r="U392" i="5"/>
  <c r="R392" i="5"/>
  <c r="N392" i="5"/>
  <c r="O392" i="5" s="1"/>
  <c r="L392" i="5"/>
  <c r="H392" i="5"/>
  <c r="F392" i="5"/>
  <c r="C392" i="5"/>
  <c r="AC391" i="5"/>
  <c r="AD391" i="5" s="1"/>
  <c r="AA391" i="5"/>
  <c r="W391" i="5"/>
  <c r="U391" i="5"/>
  <c r="R391" i="5"/>
  <c r="O391" i="5"/>
  <c r="N391" i="5"/>
  <c r="L391" i="5"/>
  <c r="H391" i="5"/>
  <c r="I391" i="5" s="1"/>
  <c r="F391" i="5"/>
  <c r="C391" i="5"/>
  <c r="AC390" i="5"/>
  <c r="AD390" i="5" s="1"/>
  <c r="AA390" i="5"/>
  <c r="X390" i="5"/>
  <c r="W390" i="5"/>
  <c r="U390" i="5"/>
  <c r="R390" i="5"/>
  <c r="N390" i="5"/>
  <c r="O390" i="5" s="1"/>
  <c r="L390" i="5"/>
  <c r="H390" i="5"/>
  <c r="I390" i="5" s="1"/>
  <c r="F390" i="5"/>
  <c r="C390" i="5"/>
  <c r="AC389" i="5"/>
  <c r="AD389" i="5" s="1"/>
  <c r="AA389" i="5"/>
  <c r="W389" i="5"/>
  <c r="X389" i="5" s="1"/>
  <c r="U389" i="5"/>
  <c r="R389" i="5"/>
  <c r="N389" i="5"/>
  <c r="L389" i="5"/>
  <c r="H389" i="5"/>
  <c r="I389" i="5" s="1"/>
  <c r="F389" i="5"/>
  <c r="C389" i="5"/>
  <c r="AD388" i="5"/>
  <c r="AC388" i="5"/>
  <c r="AA388" i="5"/>
  <c r="W388" i="5"/>
  <c r="X388" i="5" s="1"/>
  <c r="U388" i="5"/>
  <c r="R388" i="5"/>
  <c r="N388" i="5"/>
  <c r="O388" i="5" s="1"/>
  <c r="L388" i="5"/>
  <c r="H388" i="5"/>
  <c r="F388" i="5"/>
  <c r="C388" i="5"/>
  <c r="AD386" i="5"/>
  <c r="AC386" i="5"/>
  <c r="AA386" i="5"/>
  <c r="W386" i="5"/>
  <c r="X386" i="5" s="1"/>
  <c r="U386" i="5"/>
  <c r="R386" i="5"/>
  <c r="N386" i="5"/>
  <c r="O386" i="5" s="1"/>
  <c r="L386" i="5"/>
  <c r="I386" i="5"/>
  <c r="H386" i="5"/>
  <c r="F386" i="5"/>
  <c r="C386" i="5"/>
  <c r="AC385" i="5"/>
  <c r="AD385" i="5" s="1"/>
  <c r="AA385" i="5"/>
  <c r="W385" i="5"/>
  <c r="X385" i="5" s="1"/>
  <c r="U385" i="5"/>
  <c r="R385" i="5"/>
  <c r="N385" i="5"/>
  <c r="O385" i="5" s="1"/>
  <c r="L385" i="5"/>
  <c r="I385" i="5"/>
  <c r="H385" i="5"/>
  <c r="F385" i="5"/>
  <c r="C385" i="5"/>
  <c r="AD383" i="5"/>
  <c r="AC383" i="5"/>
  <c r="AA383" i="5"/>
  <c r="W383" i="5"/>
  <c r="X383" i="5" s="1"/>
  <c r="U383" i="5"/>
  <c r="R383" i="5"/>
  <c r="N383" i="5"/>
  <c r="O383" i="5" s="1"/>
  <c r="L383" i="5"/>
  <c r="H383" i="5"/>
  <c r="I383" i="5" s="1"/>
  <c r="F383" i="5"/>
  <c r="C383" i="5"/>
  <c r="AD382" i="5"/>
  <c r="AC382" i="5"/>
  <c r="AA382" i="5"/>
  <c r="W382" i="5"/>
  <c r="X382" i="5" s="1"/>
  <c r="U382" i="5"/>
  <c r="R382" i="5"/>
  <c r="N382" i="5"/>
  <c r="O382" i="5" s="1"/>
  <c r="L382" i="5"/>
  <c r="H382" i="5"/>
  <c r="F382" i="5"/>
  <c r="C382" i="5"/>
  <c r="AD381" i="5"/>
  <c r="AC381" i="5"/>
  <c r="AA381" i="5"/>
  <c r="W381" i="5"/>
  <c r="X381" i="5" s="1"/>
  <c r="U381" i="5"/>
  <c r="R381" i="5"/>
  <c r="N381" i="5"/>
  <c r="O381" i="5" s="1"/>
  <c r="L381" i="5"/>
  <c r="I381" i="5"/>
  <c r="H381" i="5"/>
  <c r="F381" i="5"/>
  <c r="C381" i="5"/>
  <c r="AC380" i="5"/>
  <c r="AD380" i="5" s="1"/>
  <c r="AA380" i="5"/>
  <c r="W380" i="5"/>
  <c r="X380" i="5" s="1"/>
  <c r="U380" i="5"/>
  <c r="R380" i="5"/>
  <c r="N380" i="5"/>
  <c r="O380" i="5" s="1"/>
  <c r="L380" i="5"/>
  <c r="I380" i="5"/>
  <c r="H380" i="5"/>
  <c r="F380" i="5"/>
  <c r="C380" i="5"/>
  <c r="AD379" i="5"/>
  <c r="AC379" i="5"/>
  <c r="AA379" i="5"/>
  <c r="W379" i="5"/>
  <c r="X379" i="5" s="1"/>
  <c r="U379" i="5"/>
  <c r="R379" i="5"/>
  <c r="N379" i="5"/>
  <c r="O379" i="5" s="1"/>
  <c r="L379" i="5"/>
  <c r="H379" i="5"/>
  <c r="I379" i="5" s="1"/>
  <c r="F379" i="5"/>
  <c r="C379" i="5"/>
  <c r="AD378" i="5"/>
  <c r="AC378" i="5"/>
  <c r="AA378" i="5"/>
  <c r="W378" i="5"/>
  <c r="X378" i="5" s="1"/>
  <c r="U378" i="5"/>
  <c r="R378" i="5"/>
  <c r="N378" i="5"/>
  <c r="O378" i="5" s="1"/>
  <c r="L378" i="5"/>
  <c r="H378" i="5"/>
  <c r="F378" i="5"/>
  <c r="C378" i="5"/>
  <c r="AD377" i="5"/>
  <c r="AC377" i="5"/>
  <c r="AA377" i="5"/>
  <c r="W377" i="5"/>
  <c r="X377" i="5" s="1"/>
  <c r="U377" i="5"/>
  <c r="R377" i="5"/>
  <c r="N377" i="5"/>
  <c r="O377" i="5" s="1"/>
  <c r="L377" i="5"/>
  <c r="I377" i="5"/>
  <c r="H377" i="5"/>
  <c r="F377" i="5"/>
  <c r="C377" i="5"/>
  <c r="AC376" i="5"/>
  <c r="AD376" i="5" s="1"/>
  <c r="AA376" i="5"/>
  <c r="X376" i="5"/>
  <c r="W376" i="5"/>
  <c r="U376" i="5"/>
  <c r="R376" i="5"/>
  <c r="N376" i="5"/>
  <c r="O376" i="5" s="1"/>
  <c r="L376" i="5"/>
  <c r="H376" i="5"/>
  <c r="I376" i="5" s="1"/>
  <c r="F376" i="5"/>
  <c r="C376" i="5"/>
  <c r="AD375" i="5"/>
  <c r="AC375" i="5"/>
  <c r="AA375" i="5"/>
  <c r="W375" i="5"/>
  <c r="X375" i="5" s="1"/>
  <c r="U375" i="5"/>
  <c r="R375" i="5"/>
  <c r="N375" i="5"/>
  <c r="O375" i="5" s="1"/>
  <c r="L375" i="5"/>
  <c r="H375" i="5"/>
  <c r="I375" i="5" s="1"/>
  <c r="F375" i="5"/>
  <c r="C375" i="5"/>
  <c r="AD374" i="5"/>
  <c r="AC374" i="5"/>
  <c r="AA374" i="5"/>
  <c r="W374" i="5"/>
  <c r="X374" i="5" s="1"/>
  <c r="U374" i="5"/>
  <c r="R374" i="5"/>
  <c r="N374" i="5"/>
  <c r="O374" i="5" s="1"/>
  <c r="L374" i="5"/>
  <c r="H374" i="5"/>
  <c r="F374" i="5"/>
  <c r="C374" i="5"/>
  <c r="AD373" i="5"/>
  <c r="AC373" i="5"/>
  <c r="AA373" i="5"/>
  <c r="W373" i="5"/>
  <c r="X373" i="5" s="1"/>
  <c r="U373" i="5"/>
  <c r="R373" i="5"/>
  <c r="O373" i="5"/>
  <c r="N373" i="5"/>
  <c r="L373" i="5"/>
  <c r="I373" i="5"/>
  <c r="H373" i="5"/>
  <c r="F373" i="5"/>
  <c r="C373" i="5"/>
  <c r="AC372" i="5"/>
  <c r="AD372" i="5" s="1"/>
  <c r="AA372" i="5"/>
  <c r="W372" i="5"/>
  <c r="X372" i="5" s="1"/>
  <c r="U372" i="5"/>
  <c r="R372" i="5"/>
  <c r="N372" i="5"/>
  <c r="O372" i="5" s="1"/>
  <c r="L372" i="5"/>
  <c r="I372" i="5"/>
  <c r="H372" i="5"/>
  <c r="F372" i="5"/>
  <c r="C372" i="5"/>
  <c r="AD371" i="5"/>
  <c r="AC371" i="5"/>
  <c r="AA371" i="5"/>
  <c r="W371" i="5"/>
  <c r="X371" i="5" s="1"/>
  <c r="U371" i="5"/>
  <c r="R371" i="5"/>
  <c r="N371" i="5"/>
  <c r="O371" i="5" s="1"/>
  <c r="L371" i="5"/>
  <c r="H371" i="5"/>
  <c r="I371" i="5" s="1"/>
  <c r="F371" i="5"/>
  <c r="C371" i="5"/>
  <c r="AD370" i="5"/>
  <c r="AC370" i="5"/>
  <c r="AA370" i="5"/>
  <c r="W370" i="5"/>
  <c r="X370" i="5" s="1"/>
  <c r="U370" i="5"/>
  <c r="R370" i="5"/>
  <c r="N370" i="5"/>
  <c r="O370" i="5" s="1"/>
  <c r="L370" i="5"/>
  <c r="H370" i="5"/>
  <c r="F370" i="5"/>
  <c r="C370" i="5"/>
  <c r="AC369" i="5"/>
  <c r="AD369" i="5" s="1"/>
  <c r="AA369" i="5"/>
  <c r="W369" i="5"/>
  <c r="X369" i="5" s="1"/>
  <c r="U369" i="5"/>
  <c r="R369" i="5"/>
  <c r="N369" i="5"/>
  <c r="O369" i="5" s="1"/>
  <c r="L369" i="5"/>
  <c r="I369" i="5"/>
  <c r="H369" i="5"/>
  <c r="F369" i="5"/>
  <c r="C369" i="5"/>
  <c r="Z368" i="5"/>
  <c r="AA368" i="5" s="1"/>
  <c r="U368" i="5"/>
  <c r="T368" i="5"/>
  <c r="Q368" i="5"/>
  <c r="O368" i="5"/>
  <c r="N368" i="5"/>
  <c r="L368" i="5"/>
  <c r="K368" i="5"/>
  <c r="E368" i="5"/>
  <c r="F368" i="5" s="1"/>
  <c r="B368" i="5"/>
  <c r="H368" i="5" s="1"/>
  <c r="I368" i="5" s="1"/>
  <c r="AD367" i="5"/>
  <c r="AC367" i="5"/>
  <c r="AA367" i="5"/>
  <c r="W367" i="5"/>
  <c r="X367" i="5" s="1"/>
  <c r="U367" i="5"/>
  <c r="R367" i="5"/>
  <c r="N367" i="5"/>
  <c r="O367" i="5" s="1"/>
  <c r="L367" i="5"/>
  <c r="H367" i="5"/>
  <c r="F367" i="5"/>
  <c r="C367" i="5"/>
  <c r="AD366" i="5"/>
  <c r="AC366" i="5"/>
  <c r="AA366" i="5"/>
  <c r="W366" i="5"/>
  <c r="X366" i="5" s="1"/>
  <c r="U366" i="5"/>
  <c r="R366" i="5"/>
  <c r="O366" i="5"/>
  <c r="N366" i="5"/>
  <c r="L366" i="5"/>
  <c r="I366" i="5"/>
  <c r="H366" i="5"/>
  <c r="F366" i="5"/>
  <c r="C366" i="5"/>
  <c r="AC365" i="5"/>
  <c r="AD365" i="5" s="1"/>
  <c r="AA365" i="5"/>
  <c r="W365" i="5"/>
  <c r="X365" i="5" s="1"/>
  <c r="U365" i="5"/>
  <c r="R365" i="5"/>
  <c r="N365" i="5"/>
  <c r="O365" i="5" s="1"/>
  <c r="L365" i="5"/>
  <c r="I365" i="5"/>
  <c r="H365" i="5"/>
  <c r="F365" i="5"/>
  <c r="C365" i="5"/>
  <c r="AD364" i="5"/>
  <c r="AC364" i="5"/>
  <c r="AA364" i="5"/>
  <c r="W364" i="5"/>
  <c r="X364" i="5" s="1"/>
  <c r="U364" i="5"/>
  <c r="R364" i="5"/>
  <c r="N364" i="5"/>
  <c r="O364" i="5" s="1"/>
  <c r="L364" i="5"/>
  <c r="H364" i="5"/>
  <c r="I364" i="5" s="1"/>
  <c r="F364" i="5"/>
  <c r="C364" i="5"/>
  <c r="AD363" i="5"/>
  <c r="AC363" i="5"/>
  <c r="AA363" i="5"/>
  <c r="W363" i="5"/>
  <c r="X363" i="5" s="1"/>
  <c r="U363" i="5"/>
  <c r="R363" i="5"/>
  <c r="N363" i="5"/>
  <c r="O363" i="5" s="1"/>
  <c r="L363" i="5"/>
  <c r="H363" i="5"/>
  <c r="F363" i="5"/>
  <c r="C363" i="5"/>
  <c r="AC362" i="5"/>
  <c r="AD362" i="5" s="1"/>
  <c r="AA362" i="5"/>
  <c r="W362" i="5"/>
  <c r="X362" i="5" s="1"/>
  <c r="U362" i="5"/>
  <c r="R362" i="5"/>
  <c r="N362" i="5"/>
  <c r="O362" i="5" s="1"/>
  <c r="L362" i="5"/>
  <c r="I362" i="5"/>
  <c r="H362" i="5"/>
  <c r="F362" i="5"/>
  <c r="C362" i="5"/>
  <c r="AC361" i="5"/>
  <c r="AD361" i="5" s="1"/>
  <c r="AA361" i="5"/>
  <c r="X361" i="5"/>
  <c r="W361" i="5"/>
  <c r="U361" i="5"/>
  <c r="R361" i="5"/>
  <c r="N361" i="5"/>
  <c r="O361" i="5" s="1"/>
  <c r="L361" i="5"/>
  <c r="I361" i="5"/>
  <c r="H361" i="5"/>
  <c r="F361" i="5"/>
  <c r="C361" i="5"/>
  <c r="AD360" i="5"/>
  <c r="AC360" i="5"/>
  <c r="AA360" i="5"/>
  <c r="X360" i="5"/>
  <c r="W360" i="5"/>
  <c r="U360" i="5"/>
  <c r="R360" i="5"/>
  <c r="N360" i="5"/>
  <c r="O360" i="5" s="1"/>
  <c r="L360" i="5"/>
  <c r="H360" i="5"/>
  <c r="I360" i="5" s="1"/>
  <c r="F360" i="5"/>
  <c r="C360" i="5"/>
  <c r="AA358" i="5"/>
  <c r="Z358" i="5"/>
  <c r="T358" i="5"/>
  <c r="W358" i="5" s="1"/>
  <c r="X358" i="5" s="1"/>
  <c r="R358" i="5"/>
  <c r="Q358" i="5"/>
  <c r="AC358" i="5" s="1"/>
  <c r="AD358" i="5" s="1"/>
  <c r="K358" i="5"/>
  <c r="L358" i="5" s="1"/>
  <c r="H358" i="5"/>
  <c r="I358" i="5" s="1"/>
  <c r="F358" i="5"/>
  <c r="E358" i="5"/>
  <c r="C358" i="5"/>
  <c r="B358" i="5"/>
  <c r="N358" i="5" s="1"/>
  <c r="O358" i="5" s="1"/>
  <c r="AC357" i="5"/>
  <c r="AD357" i="5" s="1"/>
  <c r="AA357" i="5"/>
  <c r="W357" i="5"/>
  <c r="X357" i="5" s="1"/>
  <c r="U357" i="5"/>
  <c r="R357" i="5"/>
  <c r="N357" i="5"/>
  <c r="O357" i="5" s="1"/>
  <c r="L357" i="5"/>
  <c r="I357" i="5"/>
  <c r="H357" i="5"/>
  <c r="F357" i="5"/>
  <c r="C357" i="5"/>
  <c r="AD356" i="5"/>
  <c r="AC356" i="5"/>
  <c r="AA356" i="5"/>
  <c r="W356" i="5"/>
  <c r="X356" i="5" s="1"/>
  <c r="U356" i="5"/>
  <c r="R356" i="5"/>
  <c r="N356" i="5"/>
  <c r="O356" i="5" s="1"/>
  <c r="L356" i="5"/>
  <c r="H356" i="5"/>
  <c r="I356" i="5" s="1"/>
  <c r="F356" i="5"/>
  <c r="C356" i="5"/>
  <c r="AD355" i="5"/>
  <c r="AC355" i="5"/>
  <c r="AA355" i="5"/>
  <c r="W355" i="5"/>
  <c r="X355" i="5" s="1"/>
  <c r="U355" i="5"/>
  <c r="R355" i="5"/>
  <c r="N355" i="5"/>
  <c r="O355" i="5" s="1"/>
  <c r="L355" i="5"/>
  <c r="H355" i="5"/>
  <c r="F355" i="5"/>
  <c r="C355" i="5"/>
  <c r="AC354" i="5"/>
  <c r="AD354" i="5" s="1"/>
  <c r="AA354" i="5"/>
  <c r="W354" i="5"/>
  <c r="X354" i="5" s="1"/>
  <c r="U354" i="5"/>
  <c r="R354" i="5"/>
  <c r="N354" i="5"/>
  <c r="O354" i="5" s="1"/>
  <c r="L354" i="5"/>
  <c r="I354" i="5"/>
  <c r="H354" i="5"/>
  <c r="F354" i="5"/>
  <c r="C354" i="5"/>
  <c r="AC353" i="5"/>
  <c r="AD353" i="5" s="1"/>
  <c r="AA353" i="5"/>
  <c r="X353" i="5"/>
  <c r="W353" i="5"/>
  <c r="U353" i="5"/>
  <c r="R353" i="5"/>
  <c r="N353" i="5"/>
  <c r="O353" i="5" s="1"/>
  <c r="L353" i="5"/>
  <c r="I353" i="5"/>
  <c r="H353" i="5"/>
  <c r="F353" i="5"/>
  <c r="C353" i="5"/>
  <c r="AD352" i="5"/>
  <c r="AC352" i="5"/>
  <c r="AA352" i="5"/>
  <c r="X352" i="5"/>
  <c r="W352" i="5"/>
  <c r="U352" i="5"/>
  <c r="R352" i="5"/>
  <c r="N352" i="5"/>
  <c r="O352" i="5" s="1"/>
  <c r="L352" i="5"/>
  <c r="H352" i="5"/>
  <c r="I352" i="5" s="1"/>
  <c r="F352" i="5"/>
  <c r="C352" i="5"/>
  <c r="AD351" i="5"/>
  <c r="AC351" i="5"/>
  <c r="AA351" i="5"/>
  <c r="W351" i="5"/>
  <c r="X351" i="5" s="1"/>
  <c r="U351" i="5"/>
  <c r="R351" i="5"/>
  <c r="N351" i="5"/>
  <c r="O351" i="5" s="1"/>
  <c r="L351" i="5"/>
  <c r="H351" i="5"/>
  <c r="F351" i="5"/>
  <c r="C351" i="5"/>
  <c r="AC350" i="5"/>
  <c r="AD350" i="5" s="1"/>
  <c r="AA350" i="5"/>
  <c r="W350" i="5"/>
  <c r="X350" i="5" s="1"/>
  <c r="U350" i="5"/>
  <c r="R350" i="5"/>
  <c r="O350" i="5"/>
  <c r="N350" i="5"/>
  <c r="L350" i="5"/>
  <c r="I350" i="5"/>
  <c r="H350" i="5"/>
  <c r="F350" i="5"/>
  <c r="C350" i="5"/>
  <c r="AC349" i="5"/>
  <c r="AD349" i="5" s="1"/>
  <c r="AA349" i="5"/>
  <c r="X349" i="5"/>
  <c r="W349" i="5"/>
  <c r="U349" i="5"/>
  <c r="R349" i="5"/>
  <c r="N349" i="5"/>
  <c r="O349" i="5" s="1"/>
  <c r="L349" i="5"/>
  <c r="H349" i="5"/>
  <c r="I349" i="5" s="1"/>
  <c r="F349" i="5"/>
  <c r="C349" i="5"/>
  <c r="AD347" i="5"/>
  <c r="AC347" i="5"/>
  <c r="AA347" i="5"/>
  <c r="X347" i="5"/>
  <c r="W347" i="5"/>
  <c r="U347" i="5"/>
  <c r="R347" i="5"/>
  <c r="N347" i="5"/>
  <c r="O347" i="5" s="1"/>
  <c r="L347" i="5"/>
  <c r="H347" i="5"/>
  <c r="I347" i="5" s="1"/>
  <c r="F347" i="5"/>
  <c r="C347" i="5"/>
  <c r="AC344" i="5"/>
  <c r="AD344" i="5" s="1"/>
  <c r="Z344" i="5"/>
  <c r="AA344" i="5" s="1"/>
  <c r="U344" i="5"/>
  <c r="T344" i="5"/>
  <c r="Q344" i="5"/>
  <c r="N344" i="5"/>
  <c r="O344" i="5" s="1"/>
  <c r="L344" i="5"/>
  <c r="K344" i="5"/>
  <c r="E344" i="5"/>
  <c r="F344" i="5" s="1"/>
  <c r="B344" i="5"/>
  <c r="H344" i="5" s="1"/>
  <c r="I344" i="5" s="1"/>
  <c r="AA343" i="5"/>
  <c r="Z343" i="5"/>
  <c r="T343" i="5"/>
  <c r="W343" i="5" s="1"/>
  <c r="X343" i="5" s="1"/>
  <c r="R343" i="5"/>
  <c r="Q343" i="5"/>
  <c r="AC343" i="5" s="1"/>
  <c r="AD343" i="5" s="1"/>
  <c r="K343" i="5"/>
  <c r="L343" i="5" s="1"/>
  <c r="H343" i="5"/>
  <c r="I343" i="5" s="1"/>
  <c r="F343" i="5"/>
  <c r="E343" i="5"/>
  <c r="C343" i="5"/>
  <c r="B343" i="5"/>
  <c r="AC342" i="5"/>
  <c r="AD342" i="5" s="1"/>
  <c r="AA342" i="5"/>
  <c r="Z342" i="5"/>
  <c r="U342" i="5"/>
  <c r="T342" i="5"/>
  <c r="Q342" i="5"/>
  <c r="N342" i="5"/>
  <c r="O342" i="5" s="1"/>
  <c r="L342" i="5"/>
  <c r="K342" i="5"/>
  <c r="E342" i="5"/>
  <c r="F342" i="5" s="1"/>
  <c r="B342" i="5"/>
  <c r="AD341" i="5"/>
  <c r="AC341" i="5"/>
  <c r="AA341" i="5"/>
  <c r="W341" i="5"/>
  <c r="X341" i="5" s="1"/>
  <c r="U341" i="5"/>
  <c r="R341" i="5"/>
  <c r="N341" i="5"/>
  <c r="O341" i="5" s="1"/>
  <c r="L341" i="5"/>
  <c r="H341" i="5"/>
  <c r="F341" i="5"/>
  <c r="C341" i="5"/>
  <c r="AC340" i="5"/>
  <c r="AD340" i="5" s="1"/>
  <c r="AA340" i="5"/>
  <c r="W340" i="5"/>
  <c r="X340" i="5" s="1"/>
  <c r="U340" i="5"/>
  <c r="R340" i="5"/>
  <c r="O340" i="5"/>
  <c r="N340" i="5"/>
  <c r="L340" i="5"/>
  <c r="I340" i="5"/>
  <c r="H340" i="5"/>
  <c r="F340" i="5"/>
  <c r="C340" i="5"/>
  <c r="AC339" i="5"/>
  <c r="AD339" i="5" s="1"/>
  <c r="AA339" i="5"/>
  <c r="X339" i="5"/>
  <c r="W339" i="5"/>
  <c r="U339" i="5"/>
  <c r="R339" i="5"/>
  <c r="N339" i="5"/>
  <c r="O339" i="5" s="1"/>
  <c r="L339" i="5"/>
  <c r="H339" i="5"/>
  <c r="I339" i="5" s="1"/>
  <c r="F339" i="5"/>
  <c r="C339" i="5"/>
  <c r="AD338" i="5"/>
  <c r="AC338" i="5"/>
  <c r="AA338" i="5"/>
  <c r="W338" i="5"/>
  <c r="X338" i="5" s="1"/>
  <c r="U338" i="5"/>
  <c r="R338" i="5"/>
  <c r="N338" i="5"/>
  <c r="O338" i="5" s="1"/>
  <c r="L338" i="5"/>
  <c r="H338" i="5"/>
  <c r="I338" i="5" s="1"/>
  <c r="F338" i="5"/>
  <c r="C338" i="5"/>
  <c r="AD337" i="5"/>
  <c r="AC337" i="5"/>
  <c r="AA337" i="5"/>
  <c r="W337" i="5"/>
  <c r="X337" i="5" s="1"/>
  <c r="U337" i="5"/>
  <c r="R337" i="5"/>
  <c r="N337" i="5"/>
  <c r="O337" i="5" s="1"/>
  <c r="L337" i="5"/>
  <c r="H337" i="5"/>
  <c r="F337" i="5"/>
  <c r="C337" i="5"/>
  <c r="AD335" i="5"/>
  <c r="AC335" i="5"/>
  <c r="AA335" i="5"/>
  <c r="W335" i="5"/>
  <c r="X335" i="5" s="1"/>
  <c r="U335" i="5"/>
  <c r="R335" i="5"/>
  <c r="O335" i="5"/>
  <c r="N335" i="5"/>
  <c r="L335" i="5"/>
  <c r="I335" i="5"/>
  <c r="H335" i="5"/>
  <c r="F335" i="5"/>
  <c r="C335" i="5"/>
  <c r="AC334" i="5"/>
  <c r="AD334" i="5" s="1"/>
  <c r="AA334" i="5"/>
  <c r="W334" i="5"/>
  <c r="X334" i="5" s="1"/>
  <c r="U334" i="5"/>
  <c r="R334" i="5"/>
  <c r="N334" i="5"/>
  <c r="O334" i="5" s="1"/>
  <c r="L334" i="5"/>
  <c r="I334" i="5"/>
  <c r="H334" i="5"/>
  <c r="F334" i="5"/>
  <c r="C334" i="5"/>
  <c r="AD333" i="5"/>
  <c r="AC333" i="5"/>
  <c r="AA333" i="5"/>
  <c r="W333" i="5"/>
  <c r="X333" i="5" s="1"/>
  <c r="U333" i="5"/>
  <c r="R333" i="5"/>
  <c r="N333" i="5"/>
  <c r="O333" i="5" s="1"/>
  <c r="L333" i="5"/>
  <c r="H333" i="5"/>
  <c r="I333" i="5" s="1"/>
  <c r="F333" i="5"/>
  <c r="C333" i="5"/>
  <c r="AD332" i="5"/>
  <c r="AC332" i="5"/>
  <c r="AA332" i="5"/>
  <c r="W332" i="5"/>
  <c r="X332" i="5" s="1"/>
  <c r="U332" i="5"/>
  <c r="R332" i="5"/>
  <c r="N332" i="5"/>
  <c r="O332" i="5" s="1"/>
  <c r="L332" i="5"/>
  <c r="H332" i="5"/>
  <c r="F332" i="5"/>
  <c r="C332" i="5"/>
  <c r="AC331" i="5"/>
  <c r="AD331" i="5" s="1"/>
  <c r="AA331" i="5"/>
  <c r="W331" i="5"/>
  <c r="X331" i="5" s="1"/>
  <c r="U331" i="5"/>
  <c r="R331" i="5"/>
  <c r="N331" i="5"/>
  <c r="O331" i="5" s="1"/>
  <c r="L331" i="5"/>
  <c r="I331" i="5"/>
  <c r="H331" i="5"/>
  <c r="F331" i="5"/>
  <c r="C331" i="5"/>
  <c r="AC330" i="5"/>
  <c r="AD330" i="5" s="1"/>
  <c r="AA330" i="5"/>
  <c r="X330" i="5"/>
  <c r="W330" i="5"/>
  <c r="U330" i="5"/>
  <c r="R330" i="5"/>
  <c r="N330" i="5"/>
  <c r="O330" i="5" s="1"/>
  <c r="L330" i="5"/>
  <c r="I330" i="5"/>
  <c r="H330" i="5"/>
  <c r="F330" i="5"/>
  <c r="C330" i="5"/>
  <c r="AD329" i="5"/>
  <c r="AC329" i="5"/>
  <c r="AA329" i="5"/>
  <c r="X329" i="5"/>
  <c r="W329" i="5"/>
  <c r="U329" i="5"/>
  <c r="R329" i="5"/>
  <c r="N329" i="5"/>
  <c r="O329" i="5" s="1"/>
  <c r="L329" i="5"/>
  <c r="H329" i="5"/>
  <c r="I329" i="5" s="1"/>
  <c r="F329" i="5"/>
  <c r="C329" i="5"/>
  <c r="AD328" i="5"/>
  <c r="AC328" i="5"/>
  <c r="AA328" i="5"/>
  <c r="W328" i="5"/>
  <c r="X328" i="5" s="1"/>
  <c r="U328" i="5"/>
  <c r="R328" i="5"/>
  <c r="N328" i="5"/>
  <c r="O328" i="5" s="1"/>
  <c r="L328" i="5"/>
  <c r="H328" i="5"/>
  <c r="F328" i="5"/>
  <c r="C328" i="5"/>
  <c r="AA325" i="5"/>
  <c r="Z325" i="5"/>
  <c r="T325" i="5"/>
  <c r="U325" i="5" s="1"/>
  <c r="Q325" i="5"/>
  <c r="L325" i="5"/>
  <c r="K325" i="5"/>
  <c r="E325" i="5"/>
  <c r="H325" i="5" s="1"/>
  <c r="I325" i="5" s="1"/>
  <c r="C325" i="5"/>
  <c r="B325" i="5"/>
  <c r="N325" i="5" s="1"/>
  <c r="O325" i="5" s="1"/>
  <c r="Z324" i="5"/>
  <c r="AA324" i="5" s="1"/>
  <c r="W324" i="5"/>
  <c r="X324" i="5" s="1"/>
  <c r="U324" i="5"/>
  <c r="T324" i="5"/>
  <c r="R324" i="5"/>
  <c r="Q324" i="5"/>
  <c r="N324" i="5"/>
  <c r="O324" i="5" s="1"/>
  <c r="K324" i="5"/>
  <c r="L324" i="5" s="1"/>
  <c r="F324" i="5"/>
  <c r="E324" i="5"/>
  <c r="B324" i="5"/>
  <c r="AC323" i="5"/>
  <c r="AD323" i="5" s="1"/>
  <c r="AA323" i="5"/>
  <c r="W323" i="5"/>
  <c r="X323" i="5" s="1"/>
  <c r="U323" i="5"/>
  <c r="R323" i="5"/>
  <c r="N323" i="5"/>
  <c r="O323" i="5" s="1"/>
  <c r="L323" i="5"/>
  <c r="I323" i="5"/>
  <c r="H323" i="5"/>
  <c r="F323" i="5"/>
  <c r="C323" i="5"/>
  <c r="AC322" i="5"/>
  <c r="AD322" i="5" s="1"/>
  <c r="AA322" i="5"/>
  <c r="X322" i="5"/>
  <c r="W322" i="5"/>
  <c r="U322" i="5"/>
  <c r="R322" i="5"/>
  <c r="N322" i="5"/>
  <c r="O322" i="5" s="1"/>
  <c r="L322" i="5"/>
  <c r="H322" i="5"/>
  <c r="I322" i="5" s="1"/>
  <c r="F322" i="5"/>
  <c r="C322" i="5"/>
  <c r="AD321" i="5"/>
  <c r="AC321" i="5"/>
  <c r="AA321" i="5"/>
  <c r="W321" i="5"/>
  <c r="X321" i="5" s="1"/>
  <c r="U321" i="5"/>
  <c r="R321" i="5"/>
  <c r="N321" i="5"/>
  <c r="O321" i="5" s="1"/>
  <c r="L321" i="5"/>
  <c r="H321" i="5"/>
  <c r="I321" i="5" s="1"/>
  <c r="F321" i="5"/>
  <c r="C321" i="5"/>
  <c r="AD320" i="5"/>
  <c r="AC320" i="5"/>
  <c r="AA320" i="5"/>
  <c r="W320" i="5"/>
  <c r="X320" i="5" s="1"/>
  <c r="U320" i="5"/>
  <c r="R320" i="5"/>
  <c r="N320" i="5"/>
  <c r="O320" i="5" s="1"/>
  <c r="L320" i="5"/>
  <c r="H320" i="5"/>
  <c r="F320" i="5"/>
  <c r="C320" i="5"/>
  <c r="AD319" i="5"/>
  <c r="AC319" i="5"/>
  <c r="AA319" i="5"/>
  <c r="W319" i="5"/>
  <c r="X319" i="5" s="1"/>
  <c r="U319" i="5"/>
  <c r="R319" i="5"/>
  <c r="O319" i="5"/>
  <c r="N319" i="5"/>
  <c r="L319" i="5"/>
  <c r="I319" i="5"/>
  <c r="H319" i="5"/>
  <c r="F319" i="5"/>
  <c r="C319" i="5"/>
  <c r="AC318" i="5"/>
  <c r="AD318" i="5" s="1"/>
  <c r="AA318" i="5"/>
  <c r="W318" i="5"/>
  <c r="X318" i="5" s="1"/>
  <c r="U318" i="5"/>
  <c r="R318" i="5"/>
  <c r="N318" i="5"/>
  <c r="O318" i="5" s="1"/>
  <c r="L318" i="5"/>
  <c r="H318" i="5"/>
  <c r="I318" i="5" s="1"/>
  <c r="F318" i="5"/>
  <c r="C318" i="5"/>
  <c r="AD317" i="5"/>
  <c r="AC317" i="5"/>
  <c r="AA317" i="5"/>
  <c r="W317" i="5"/>
  <c r="X317" i="5" s="1"/>
  <c r="U317" i="5"/>
  <c r="R317" i="5"/>
  <c r="N317" i="5"/>
  <c r="O317" i="5" s="1"/>
  <c r="L317" i="5"/>
  <c r="H317" i="5"/>
  <c r="I317" i="5" s="1"/>
  <c r="F317" i="5"/>
  <c r="C317" i="5"/>
  <c r="AD316" i="5"/>
  <c r="AC316" i="5"/>
  <c r="AA316" i="5"/>
  <c r="W316" i="5"/>
  <c r="X316" i="5" s="1"/>
  <c r="U316" i="5"/>
  <c r="R316" i="5"/>
  <c r="N316" i="5"/>
  <c r="O316" i="5" s="1"/>
  <c r="L316" i="5"/>
  <c r="H316" i="5"/>
  <c r="F316" i="5"/>
  <c r="C316" i="5"/>
  <c r="AC315" i="5"/>
  <c r="AD315" i="5" s="1"/>
  <c r="AA315" i="5"/>
  <c r="W315" i="5"/>
  <c r="X315" i="5" s="1"/>
  <c r="U315" i="5"/>
  <c r="R315" i="5"/>
  <c r="N315" i="5"/>
  <c r="O315" i="5" s="1"/>
  <c r="L315" i="5"/>
  <c r="I315" i="5"/>
  <c r="H315" i="5"/>
  <c r="F315" i="5"/>
  <c r="C315" i="5"/>
  <c r="AC314" i="5"/>
  <c r="AD314" i="5" s="1"/>
  <c r="AA314" i="5"/>
  <c r="X314" i="5"/>
  <c r="W314" i="5"/>
  <c r="U314" i="5"/>
  <c r="R314" i="5"/>
  <c r="N314" i="5"/>
  <c r="O314" i="5" s="1"/>
  <c r="L314" i="5"/>
  <c r="I314" i="5"/>
  <c r="H314" i="5"/>
  <c r="F314" i="5"/>
  <c r="C314" i="5"/>
  <c r="AD313" i="5"/>
  <c r="AC313" i="5"/>
  <c r="AA313" i="5"/>
  <c r="W313" i="5"/>
  <c r="X313" i="5" s="1"/>
  <c r="U313" i="5"/>
  <c r="R313" i="5"/>
  <c r="N313" i="5"/>
  <c r="O313" i="5" s="1"/>
  <c r="L313" i="5"/>
  <c r="H313" i="5"/>
  <c r="I313" i="5" s="1"/>
  <c r="F313" i="5"/>
  <c r="C313" i="5"/>
  <c r="AD312" i="5"/>
  <c r="AC312" i="5"/>
  <c r="AA312" i="5"/>
  <c r="W312" i="5"/>
  <c r="X312" i="5" s="1"/>
  <c r="U312" i="5"/>
  <c r="R312" i="5"/>
  <c r="O312" i="5"/>
  <c r="N312" i="5"/>
  <c r="L312" i="5"/>
  <c r="H312" i="5"/>
  <c r="F312" i="5"/>
  <c r="C312" i="5"/>
  <c r="AC311" i="5"/>
  <c r="AD311" i="5" s="1"/>
  <c r="AA311" i="5"/>
  <c r="W311" i="5"/>
  <c r="X311" i="5" s="1"/>
  <c r="U311" i="5"/>
  <c r="R311" i="5"/>
  <c r="O311" i="5"/>
  <c r="N311" i="5"/>
  <c r="L311" i="5"/>
  <c r="I311" i="5"/>
  <c r="H311" i="5"/>
  <c r="F311" i="5"/>
  <c r="C311" i="5"/>
  <c r="AC310" i="5"/>
  <c r="AD310" i="5" s="1"/>
  <c r="AA310" i="5"/>
  <c r="W310" i="5"/>
  <c r="X310" i="5" s="1"/>
  <c r="U310" i="5"/>
  <c r="R310" i="5"/>
  <c r="N310" i="5"/>
  <c r="O310" i="5" s="1"/>
  <c r="L310" i="5"/>
  <c r="H310" i="5"/>
  <c r="I310" i="5" s="1"/>
  <c r="F310" i="5"/>
  <c r="C310" i="5"/>
  <c r="AD309" i="5"/>
  <c r="AC309" i="5"/>
  <c r="AA309" i="5"/>
  <c r="X309" i="5"/>
  <c r="W309" i="5"/>
  <c r="U309" i="5"/>
  <c r="R309" i="5"/>
  <c r="N309" i="5"/>
  <c r="O309" i="5" s="1"/>
  <c r="L309" i="5"/>
  <c r="H309" i="5"/>
  <c r="I309" i="5" s="1"/>
  <c r="F309" i="5"/>
  <c r="C309" i="5"/>
  <c r="AD308" i="5"/>
  <c r="AC308" i="5"/>
  <c r="AA308" i="5"/>
  <c r="W308" i="5"/>
  <c r="X308" i="5" s="1"/>
  <c r="U308" i="5"/>
  <c r="R308" i="5"/>
  <c r="N308" i="5"/>
  <c r="O308" i="5" s="1"/>
  <c r="L308" i="5"/>
  <c r="H308" i="5"/>
  <c r="F308" i="5"/>
  <c r="C308" i="5"/>
  <c r="AC307" i="5"/>
  <c r="AD307" i="5" s="1"/>
  <c r="AA307" i="5"/>
  <c r="W307" i="5"/>
  <c r="X307" i="5" s="1"/>
  <c r="U307" i="5"/>
  <c r="R307" i="5"/>
  <c r="N307" i="5"/>
  <c r="O307" i="5" s="1"/>
  <c r="L307" i="5"/>
  <c r="I307" i="5"/>
  <c r="H307" i="5"/>
  <c r="F307" i="5"/>
  <c r="C307" i="5"/>
  <c r="AC306" i="5"/>
  <c r="AD306" i="5" s="1"/>
  <c r="AA306" i="5"/>
  <c r="X306" i="5"/>
  <c r="W306" i="5"/>
  <c r="U306" i="5"/>
  <c r="R306" i="5"/>
  <c r="N306" i="5"/>
  <c r="O306" i="5" s="1"/>
  <c r="L306" i="5"/>
  <c r="I306" i="5"/>
  <c r="H306" i="5"/>
  <c r="F306" i="5"/>
  <c r="C306" i="5"/>
  <c r="AD305" i="5"/>
  <c r="AC305" i="5"/>
  <c r="AA305" i="5"/>
  <c r="W305" i="5"/>
  <c r="X305" i="5" s="1"/>
  <c r="U305" i="5"/>
  <c r="R305" i="5"/>
  <c r="N305" i="5"/>
  <c r="O305" i="5" s="1"/>
  <c r="L305" i="5"/>
  <c r="H305" i="5"/>
  <c r="I305" i="5" s="1"/>
  <c r="F305" i="5"/>
  <c r="C305" i="5"/>
  <c r="AD304" i="5"/>
  <c r="AC304" i="5"/>
  <c r="AA304" i="5"/>
  <c r="W304" i="5"/>
  <c r="X304" i="5" s="1"/>
  <c r="U304" i="5"/>
  <c r="R304" i="5"/>
  <c r="O304" i="5"/>
  <c r="N304" i="5"/>
  <c r="L304" i="5"/>
  <c r="H304" i="5"/>
  <c r="F304" i="5"/>
  <c r="C304" i="5"/>
  <c r="AD303" i="5"/>
  <c r="AC303" i="5"/>
  <c r="AA303" i="5"/>
  <c r="W303" i="5"/>
  <c r="X303" i="5" s="1"/>
  <c r="U303" i="5"/>
  <c r="R303" i="5"/>
  <c r="O303" i="5"/>
  <c r="N303" i="5"/>
  <c r="L303" i="5"/>
  <c r="I303" i="5"/>
  <c r="H303" i="5"/>
  <c r="F303" i="5"/>
  <c r="C303" i="5"/>
  <c r="AC302" i="5"/>
  <c r="AD302" i="5" s="1"/>
  <c r="AA302" i="5"/>
  <c r="W302" i="5"/>
  <c r="X302" i="5" s="1"/>
  <c r="U302" i="5"/>
  <c r="R302" i="5"/>
  <c r="N302" i="5"/>
  <c r="L302" i="5"/>
  <c r="H302" i="5"/>
  <c r="I302" i="5" s="1"/>
  <c r="F302" i="5"/>
  <c r="C302" i="5"/>
  <c r="AD301" i="5"/>
  <c r="AC301" i="5"/>
  <c r="AA301" i="5"/>
  <c r="X301" i="5"/>
  <c r="W301" i="5"/>
  <c r="U301" i="5"/>
  <c r="R301" i="5"/>
  <c r="N301" i="5"/>
  <c r="O301" i="5" s="1"/>
  <c r="L301" i="5"/>
  <c r="H301" i="5"/>
  <c r="I301" i="5" s="1"/>
  <c r="F301" i="5"/>
  <c r="C301" i="5"/>
  <c r="AD300" i="5"/>
  <c r="AC300" i="5"/>
  <c r="AA300" i="5"/>
  <c r="W300" i="5"/>
  <c r="X300" i="5" s="1"/>
  <c r="U300" i="5"/>
  <c r="R300" i="5"/>
  <c r="N300" i="5"/>
  <c r="O300" i="5" s="1"/>
  <c r="L300" i="5"/>
  <c r="H300" i="5"/>
  <c r="F300" i="5"/>
  <c r="C300" i="5"/>
  <c r="AC299" i="5"/>
  <c r="AD299" i="5" s="1"/>
  <c r="AA299" i="5"/>
  <c r="W299" i="5"/>
  <c r="X299" i="5" s="1"/>
  <c r="U299" i="5"/>
  <c r="R299" i="5"/>
  <c r="N299" i="5"/>
  <c r="O299" i="5" s="1"/>
  <c r="L299" i="5"/>
  <c r="I299" i="5"/>
  <c r="H299" i="5"/>
  <c r="F299" i="5"/>
  <c r="C299" i="5"/>
  <c r="AC298" i="5"/>
  <c r="AD298" i="5" s="1"/>
  <c r="AA298" i="5"/>
  <c r="X298" i="5"/>
  <c r="W298" i="5"/>
  <c r="U298" i="5"/>
  <c r="R298" i="5"/>
  <c r="N298" i="5"/>
  <c r="O298" i="5" s="1"/>
  <c r="L298" i="5"/>
  <c r="I298" i="5"/>
  <c r="H298" i="5"/>
  <c r="F298" i="5"/>
  <c r="C298" i="5"/>
  <c r="AD297" i="5"/>
  <c r="AC297" i="5"/>
  <c r="AA297" i="5"/>
  <c r="W297" i="5"/>
  <c r="X297" i="5" s="1"/>
  <c r="U297" i="5"/>
  <c r="R297" i="5"/>
  <c r="N297" i="5"/>
  <c r="O297" i="5" s="1"/>
  <c r="L297" i="5"/>
  <c r="H297" i="5"/>
  <c r="I297" i="5" s="1"/>
  <c r="F297" i="5"/>
  <c r="C297" i="5"/>
  <c r="AD295" i="5"/>
  <c r="AA295" i="5"/>
  <c r="Z295" i="5"/>
  <c r="W295" i="5"/>
  <c r="X295" i="5" s="1"/>
  <c r="U295" i="5"/>
  <c r="T295" i="5"/>
  <c r="R295" i="5"/>
  <c r="Q295" i="5"/>
  <c r="AC295" i="5" s="1"/>
  <c r="K295" i="5"/>
  <c r="L295" i="5" s="1"/>
  <c r="H295" i="5"/>
  <c r="I295" i="5" s="1"/>
  <c r="F295" i="5"/>
  <c r="E295" i="5"/>
  <c r="C295" i="5"/>
  <c r="B295" i="5"/>
  <c r="N295" i="5" s="1"/>
  <c r="O295" i="5" s="1"/>
  <c r="AC294" i="5"/>
  <c r="AD294" i="5" s="1"/>
  <c r="AA294" i="5"/>
  <c r="W294" i="5"/>
  <c r="X294" i="5" s="1"/>
  <c r="U294" i="5"/>
  <c r="R294" i="5"/>
  <c r="N294" i="5"/>
  <c r="O294" i="5" s="1"/>
  <c r="L294" i="5"/>
  <c r="H294" i="5"/>
  <c r="I294" i="5" s="1"/>
  <c r="F294" i="5"/>
  <c r="C294" i="5"/>
  <c r="AD293" i="5"/>
  <c r="AC293" i="5"/>
  <c r="AA293" i="5"/>
  <c r="X293" i="5"/>
  <c r="W293" i="5"/>
  <c r="U293" i="5"/>
  <c r="R293" i="5"/>
  <c r="N293" i="5"/>
  <c r="O293" i="5" s="1"/>
  <c r="L293" i="5"/>
  <c r="H293" i="5"/>
  <c r="I293" i="5" s="1"/>
  <c r="F293" i="5"/>
  <c r="C293" i="5"/>
  <c r="AD292" i="5"/>
  <c r="AC292" i="5"/>
  <c r="AA292" i="5"/>
  <c r="W292" i="5"/>
  <c r="X292" i="5" s="1"/>
  <c r="U292" i="5"/>
  <c r="R292" i="5"/>
  <c r="N292" i="5"/>
  <c r="O292" i="5" s="1"/>
  <c r="L292" i="5"/>
  <c r="I292" i="5"/>
  <c r="H292" i="5"/>
  <c r="F292" i="5"/>
  <c r="C292" i="5"/>
  <c r="AD291" i="5"/>
  <c r="AC291" i="5"/>
  <c r="AA291" i="5"/>
  <c r="W291" i="5"/>
  <c r="X291" i="5" s="1"/>
  <c r="U291" i="5"/>
  <c r="R291" i="5"/>
  <c r="N291" i="5"/>
  <c r="O291" i="5" s="1"/>
  <c r="L291" i="5"/>
  <c r="I291" i="5"/>
  <c r="H291" i="5"/>
  <c r="F291" i="5"/>
  <c r="C291" i="5"/>
  <c r="AC290" i="5"/>
  <c r="AD290" i="5" s="1"/>
  <c r="AA290" i="5"/>
  <c r="W290" i="5"/>
  <c r="X290" i="5" s="1"/>
  <c r="U290" i="5"/>
  <c r="R290" i="5"/>
  <c r="N290" i="5"/>
  <c r="O290" i="5" s="1"/>
  <c r="L290" i="5"/>
  <c r="H290" i="5"/>
  <c r="I290" i="5" s="1"/>
  <c r="F290" i="5"/>
  <c r="C290" i="5"/>
  <c r="AD289" i="5"/>
  <c r="AC289" i="5"/>
  <c r="AA289" i="5"/>
  <c r="X289" i="5"/>
  <c r="W289" i="5"/>
  <c r="U289" i="5"/>
  <c r="R289" i="5"/>
  <c r="N289" i="5"/>
  <c r="O289" i="5" s="1"/>
  <c r="L289" i="5"/>
  <c r="H289" i="5"/>
  <c r="I289" i="5" s="1"/>
  <c r="F289" i="5"/>
  <c r="C289" i="5"/>
  <c r="AD288" i="5"/>
  <c r="AC288" i="5"/>
  <c r="AA288" i="5"/>
  <c r="W288" i="5"/>
  <c r="X288" i="5" s="1"/>
  <c r="U288" i="5"/>
  <c r="R288" i="5"/>
  <c r="N288" i="5"/>
  <c r="O288" i="5" s="1"/>
  <c r="L288" i="5"/>
  <c r="I288" i="5"/>
  <c r="H288" i="5"/>
  <c r="F288" i="5"/>
  <c r="C288" i="5"/>
  <c r="AD287" i="5"/>
  <c r="AC287" i="5"/>
  <c r="AA287" i="5"/>
  <c r="W287" i="5"/>
  <c r="X287" i="5" s="1"/>
  <c r="U287" i="5"/>
  <c r="R287" i="5"/>
  <c r="O287" i="5"/>
  <c r="N287" i="5"/>
  <c r="L287" i="5"/>
  <c r="I287" i="5"/>
  <c r="H287" i="5"/>
  <c r="F287" i="5"/>
  <c r="C287" i="5"/>
  <c r="AC286" i="5"/>
  <c r="AD286" i="5" s="1"/>
  <c r="AA286" i="5"/>
  <c r="W286" i="5"/>
  <c r="X286" i="5" s="1"/>
  <c r="U286" i="5"/>
  <c r="R286" i="5"/>
  <c r="N286" i="5"/>
  <c r="O286" i="5" s="1"/>
  <c r="L286" i="5"/>
  <c r="H286" i="5"/>
  <c r="I286" i="5" s="1"/>
  <c r="F286" i="5"/>
  <c r="C286" i="5"/>
  <c r="Z284" i="5"/>
  <c r="AA284" i="5" s="1"/>
  <c r="X284" i="5"/>
  <c r="W284" i="5"/>
  <c r="U284" i="5"/>
  <c r="T284" i="5"/>
  <c r="R284" i="5"/>
  <c r="Q284" i="5"/>
  <c r="K284" i="5"/>
  <c r="L284" i="5" s="1"/>
  <c r="F284" i="5"/>
  <c r="E284" i="5"/>
  <c r="B284" i="5"/>
  <c r="AC283" i="5"/>
  <c r="AD283" i="5" s="1"/>
  <c r="AA283" i="5"/>
  <c r="W283" i="5"/>
  <c r="X283" i="5" s="1"/>
  <c r="U283" i="5"/>
  <c r="R283" i="5"/>
  <c r="O283" i="5"/>
  <c r="N283" i="5"/>
  <c r="L283" i="5"/>
  <c r="I283" i="5"/>
  <c r="H283" i="5"/>
  <c r="F283" i="5"/>
  <c r="C283" i="5"/>
  <c r="AC282" i="5"/>
  <c r="AD282" i="5" s="1"/>
  <c r="AA282" i="5"/>
  <c r="X282" i="5"/>
  <c r="W282" i="5"/>
  <c r="U282" i="5"/>
  <c r="R282" i="5"/>
  <c r="N282" i="5"/>
  <c r="L282" i="5"/>
  <c r="I282" i="5"/>
  <c r="H282" i="5"/>
  <c r="F282" i="5"/>
  <c r="C282" i="5"/>
  <c r="AD281" i="5"/>
  <c r="AC281" i="5"/>
  <c r="AA281" i="5"/>
  <c r="W281" i="5"/>
  <c r="X281" i="5" s="1"/>
  <c r="U281" i="5"/>
  <c r="R281" i="5"/>
  <c r="N281" i="5"/>
  <c r="O281" i="5" s="1"/>
  <c r="L281" i="5"/>
  <c r="H281" i="5"/>
  <c r="I281" i="5" s="1"/>
  <c r="F281" i="5"/>
  <c r="C281" i="5"/>
  <c r="AD280" i="5"/>
  <c r="AC280" i="5"/>
  <c r="AA280" i="5"/>
  <c r="W280" i="5"/>
  <c r="U280" i="5"/>
  <c r="R280" i="5"/>
  <c r="O280" i="5"/>
  <c r="N280" i="5"/>
  <c r="L280" i="5"/>
  <c r="I280" i="5"/>
  <c r="H280" i="5"/>
  <c r="F280" i="5"/>
  <c r="C280" i="5"/>
  <c r="AC279" i="5"/>
  <c r="AD279" i="5" s="1"/>
  <c r="AA279" i="5"/>
  <c r="W279" i="5"/>
  <c r="X279" i="5" s="1"/>
  <c r="U279" i="5"/>
  <c r="R279" i="5"/>
  <c r="N279" i="5"/>
  <c r="O279" i="5" s="1"/>
  <c r="L279" i="5"/>
  <c r="I279" i="5"/>
  <c r="H279" i="5"/>
  <c r="F279" i="5"/>
  <c r="C279" i="5"/>
  <c r="AC278" i="5"/>
  <c r="AD278" i="5" s="1"/>
  <c r="AA278" i="5"/>
  <c r="X278" i="5"/>
  <c r="W278" i="5"/>
  <c r="U278" i="5"/>
  <c r="R278" i="5"/>
  <c r="N278" i="5"/>
  <c r="L278" i="5"/>
  <c r="I278" i="5"/>
  <c r="H278" i="5"/>
  <c r="F278" i="5"/>
  <c r="C278" i="5"/>
  <c r="AD277" i="5"/>
  <c r="AC277" i="5"/>
  <c r="AA277" i="5"/>
  <c r="W277" i="5"/>
  <c r="X277" i="5" s="1"/>
  <c r="U277" i="5"/>
  <c r="R277" i="5"/>
  <c r="N277" i="5"/>
  <c r="O277" i="5" s="1"/>
  <c r="L277" i="5"/>
  <c r="H277" i="5"/>
  <c r="I277" i="5" s="1"/>
  <c r="F277" i="5"/>
  <c r="C277" i="5"/>
  <c r="AD276" i="5"/>
  <c r="AC276" i="5"/>
  <c r="AA276" i="5"/>
  <c r="W276" i="5"/>
  <c r="U276" i="5"/>
  <c r="R276" i="5"/>
  <c r="O276" i="5"/>
  <c r="N276" i="5"/>
  <c r="L276" i="5"/>
  <c r="I276" i="5"/>
  <c r="H276" i="5"/>
  <c r="F276" i="5"/>
  <c r="C276" i="5"/>
  <c r="AC275" i="5"/>
  <c r="AD275" i="5" s="1"/>
  <c r="AA275" i="5"/>
  <c r="W275" i="5"/>
  <c r="X275" i="5" s="1"/>
  <c r="U275" i="5"/>
  <c r="R275" i="5"/>
  <c r="N275" i="5"/>
  <c r="O275" i="5" s="1"/>
  <c r="L275" i="5"/>
  <c r="I275" i="5"/>
  <c r="H275" i="5"/>
  <c r="F275" i="5"/>
  <c r="C275" i="5"/>
  <c r="Z273" i="5"/>
  <c r="AA273" i="5" s="1"/>
  <c r="U273" i="5"/>
  <c r="T273" i="5"/>
  <c r="Q273" i="5"/>
  <c r="L273" i="5"/>
  <c r="K273" i="5"/>
  <c r="E273" i="5"/>
  <c r="F273" i="5" s="1"/>
  <c r="B273" i="5"/>
  <c r="H273" i="5" s="1"/>
  <c r="I273" i="5" s="1"/>
  <c r="AD272" i="5"/>
  <c r="AC272" i="5"/>
  <c r="AA272" i="5"/>
  <c r="W272" i="5"/>
  <c r="X272" i="5" s="1"/>
  <c r="U272" i="5"/>
  <c r="R272" i="5"/>
  <c r="N272" i="5"/>
  <c r="O272" i="5" s="1"/>
  <c r="L272" i="5"/>
  <c r="I272" i="5"/>
  <c r="H272" i="5"/>
  <c r="F272" i="5"/>
  <c r="C272" i="5"/>
  <c r="AC271" i="5"/>
  <c r="AD271" i="5" s="1"/>
  <c r="AA271" i="5"/>
  <c r="W271" i="5"/>
  <c r="X271" i="5" s="1"/>
  <c r="U271" i="5"/>
  <c r="R271" i="5"/>
  <c r="N271" i="5"/>
  <c r="O271" i="5" s="1"/>
  <c r="L271" i="5"/>
  <c r="I271" i="5"/>
  <c r="H271" i="5"/>
  <c r="F271" i="5"/>
  <c r="C271" i="5"/>
  <c r="AC270" i="5"/>
  <c r="AD270" i="5" s="1"/>
  <c r="AA270" i="5"/>
  <c r="X270" i="5"/>
  <c r="W270" i="5"/>
  <c r="U270" i="5"/>
  <c r="R270" i="5"/>
  <c r="N270" i="5"/>
  <c r="O270" i="5" s="1"/>
  <c r="L270" i="5"/>
  <c r="I270" i="5"/>
  <c r="H270" i="5"/>
  <c r="F270" i="5"/>
  <c r="C270" i="5"/>
  <c r="AD269" i="5"/>
  <c r="AC269" i="5"/>
  <c r="AA269" i="5"/>
  <c r="W269" i="5"/>
  <c r="X269" i="5" s="1"/>
  <c r="U269" i="5"/>
  <c r="R269" i="5"/>
  <c r="N269" i="5"/>
  <c r="O269" i="5" s="1"/>
  <c r="L269" i="5"/>
  <c r="H269" i="5"/>
  <c r="I269" i="5" s="1"/>
  <c r="F269" i="5"/>
  <c r="C269" i="5"/>
  <c r="AD267" i="5"/>
  <c r="AA267" i="5"/>
  <c r="Z267" i="5"/>
  <c r="T267" i="5"/>
  <c r="W267" i="5" s="1"/>
  <c r="X267" i="5" s="1"/>
  <c r="R267" i="5"/>
  <c r="Q267" i="5"/>
  <c r="AC267" i="5" s="1"/>
  <c r="K267" i="5"/>
  <c r="L267" i="5" s="1"/>
  <c r="H267" i="5"/>
  <c r="I267" i="5" s="1"/>
  <c r="F267" i="5"/>
  <c r="E267" i="5"/>
  <c r="C267" i="5"/>
  <c r="B267" i="5"/>
  <c r="AC266" i="5"/>
  <c r="AD266" i="5" s="1"/>
  <c r="AA266" i="5"/>
  <c r="W266" i="5"/>
  <c r="X266" i="5" s="1"/>
  <c r="U266" i="5"/>
  <c r="R266" i="5"/>
  <c r="N266" i="5"/>
  <c r="O266" i="5" s="1"/>
  <c r="L266" i="5"/>
  <c r="H266" i="5"/>
  <c r="I266" i="5" s="1"/>
  <c r="F266" i="5"/>
  <c r="C266" i="5"/>
  <c r="AD265" i="5"/>
  <c r="AC265" i="5"/>
  <c r="AA265" i="5"/>
  <c r="X265" i="5"/>
  <c r="W265" i="5"/>
  <c r="U265" i="5"/>
  <c r="R265" i="5"/>
  <c r="N265" i="5"/>
  <c r="O265" i="5" s="1"/>
  <c r="L265" i="5"/>
  <c r="H265" i="5"/>
  <c r="I265" i="5" s="1"/>
  <c r="F265" i="5"/>
  <c r="C265" i="5"/>
  <c r="AA263" i="5"/>
  <c r="Z263" i="5"/>
  <c r="T263" i="5"/>
  <c r="R263" i="5"/>
  <c r="Q263" i="5"/>
  <c r="AC263" i="5" s="1"/>
  <c r="AD263" i="5" s="1"/>
  <c r="K263" i="5"/>
  <c r="L263" i="5" s="1"/>
  <c r="I263" i="5"/>
  <c r="H263" i="5"/>
  <c r="F263" i="5"/>
  <c r="E263" i="5"/>
  <c r="C263" i="5"/>
  <c r="B263" i="5"/>
  <c r="N263" i="5" s="1"/>
  <c r="O263" i="5" s="1"/>
  <c r="Z262" i="5"/>
  <c r="AA262" i="5" s="1"/>
  <c r="U262" i="5"/>
  <c r="T262" i="5"/>
  <c r="Q262" i="5"/>
  <c r="O262" i="5"/>
  <c r="N262" i="5"/>
  <c r="L262" i="5"/>
  <c r="K262" i="5"/>
  <c r="E262" i="5"/>
  <c r="F262" i="5" s="1"/>
  <c r="C262" i="5"/>
  <c r="B262" i="5"/>
  <c r="H262" i="5" s="1"/>
  <c r="I262" i="5" s="1"/>
  <c r="AD261" i="5"/>
  <c r="AC261" i="5"/>
  <c r="AA261" i="5"/>
  <c r="W261" i="5"/>
  <c r="U261" i="5"/>
  <c r="R261" i="5"/>
  <c r="O261" i="5"/>
  <c r="N261" i="5"/>
  <c r="L261" i="5"/>
  <c r="I261" i="5"/>
  <c r="H261" i="5"/>
  <c r="F261" i="5"/>
  <c r="C261" i="5"/>
  <c r="AC260" i="5"/>
  <c r="AD260" i="5" s="1"/>
  <c r="AA260" i="5"/>
  <c r="W260" i="5"/>
  <c r="X260" i="5" s="1"/>
  <c r="U260" i="5"/>
  <c r="R260" i="5"/>
  <c r="N260" i="5"/>
  <c r="O260" i="5" s="1"/>
  <c r="L260" i="5"/>
  <c r="I260" i="5"/>
  <c r="H260" i="5"/>
  <c r="F260" i="5"/>
  <c r="C260" i="5"/>
  <c r="AC259" i="5"/>
  <c r="AD259" i="5" s="1"/>
  <c r="AA259" i="5"/>
  <c r="X259" i="5"/>
  <c r="W259" i="5"/>
  <c r="U259" i="5"/>
  <c r="R259" i="5"/>
  <c r="N259" i="5"/>
  <c r="L259" i="5"/>
  <c r="I259" i="5"/>
  <c r="H259" i="5"/>
  <c r="F259" i="5"/>
  <c r="C259" i="5"/>
  <c r="AD258" i="5"/>
  <c r="AC258" i="5"/>
  <c r="AA258" i="5"/>
  <c r="X258" i="5"/>
  <c r="W258" i="5"/>
  <c r="U258" i="5"/>
  <c r="R258" i="5"/>
  <c r="N258" i="5"/>
  <c r="O258" i="5" s="1"/>
  <c r="L258" i="5"/>
  <c r="H258" i="5"/>
  <c r="I258" i="5" s="1"/>
  <c r="F258" i="5"/>
  <c r="C258" i="5"/>
  <c r="AD257" i="5"/>
  <c r="AC257" i="5"/>
  <c r="AA257" i="5"/>
  <c r="X257" i="5"/>
  <c r="W257" i="5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W256" i="5"/>
  <c r="X256" i="5" s="1"/>
  <c r="U256" i="5"/>
  <c r="R256" i="5"/>
  <c r="O256" i="5"/>
  <c r="N256" i="5"/>
  <c r="L256" i="5"/>
  <c r="I256" i="5"/>
  <c r="H256" i="5"/>
  <c r="F256" i="5"/>
  <c r="C256" i="5"/>
  <c r="AC255" i="5"/>
  <c r="AD255" i="5" s="1"/>
  <c r="AA255" i="5"/>
  <c r="W255" i="5"/>
  <c r="X255" i="5" s="1"/>
  <c r="U255" i="5"/>
  <c r="R255" i="5"/>
  <c r="O255" i="5"/>
  <c r="N255" i="5"/>
  <c r="L255" i="5"/>
  <c r="I255" i="5"/>
  <c r="H255" i="5"/>
  <c r="F255" i="5"/>
  <c r="C255" i="5"/>
  <c r="AD254" i="5"/>
  <c r="AC254" i="5"/>
  <c r="AA254" i="5"/>
  <c r="W254" i="5"/>
  <c r="X254" i="5" s="1"/>
  <c r="U254" i="5"/>
  <c r="R254" i="5"/>
  <c r="N254" i="5"/>
  <c r="O254" i="5" s="1"/>
  <c r="L254" i="5"/>
  <c r="H254" i="5"/>
  <c r="I254" i="5" s="1"/>
  <c r="F254" i="5"/>
  <c r="C254" i="5"/>
  <c r="AD253" i="5"/>
  <c r="AC253" i="5"/>
  <c r="AA253" i="5"/>
  <c r="X253" i="5"/>
  <c r="W253" i="5"/>
  <c r="U253" i="5"/>
  <c r="R253" i="5"/>
  <c r="N253" i="5"/>
  <c r="O253" i="5" s="1"/>
  <c r="L253" i="5"/>
  <c r="I253" i="5"/>
  <c r="H253" i="5"/>
  <c r="F253" i="5"/>
  <c r="C253" i="5"/>
  <c r="AD252" i="5"/>
  <c r="AC252" i="5"/>
  <c r="AA252" i="5"/>
  <c r="W252" i="5"/>
  <c r="X252" i="5" s="1"/>
  <c r="U252" i="5"/>
  <c r="R252" i="5"/>
  <c r="O252" i="5"/>
  <c r="N252" i="5"/>
  <c r="L252" i="5"/>
  <c r="I252" i="5"/>
  <c r="H252" i="5"/>
  <c r="F252" i="5"/>
  <c r="C252" i="5"/>
  <c r="AC251" i="5"/>
  <c r="AD251" i="5" s="1"/>
  <c r="AA251" i="5"/>
  <c r="W251" i="5"/>
  <c r="X251" i="5" s="1"/>
  <c r="U251" i="5"/>
  <c r="R251" i="5"/>
  <c r="O251" i="5"/>
  <c r="N251" i="5"/>
  <c r="L251" i="5"/>
  <c r="I251" i="5"/>
  <c r="H251" i="5"/>
  <c r="F251" i="5"/>
  <c r="C251" i="5"/>
  <c r="AD250" i="5"/>
  <c r="AC250" i="5"/>
  <c r="AA250" i="5"/>
  <c r="W250" i="5"/>
  <c r="X250" i="5" s="1"/>
  <c r="U250" i="5"/>
  <c r="R250" i="5"/>
  <c r="N250" i="5"/>
  <c r="O250" i="5" s="1"/>
  <c r="L250" i="5"/>
  <c r="H250" i="5"/>
  <c r="I250" i="5" s="1"/>
  <c r="F250" i="5"/>
  <c r="C250" i="5"/>
  <c r="AD249" i="5"/>
  <c r="AC249" i="5"/>
  <c r="AA249" i="5"/>
  <c r="X249" i="5"/>
  <c r="W249" i="5"/>
  <c r="U249" i="5"/>
  <c r="R249" i="5"/>
  <c r="N249" i="5"/>
  <c r="O249" i="5" s="1"/>
  <c r="L249" i="5"/>
  <c r="I249" i="5"/>
  <c r="H249" i="5"/>
  <c r="F249" i="5"/>
  <c r="C249" i="5"/>
  <c r="AC248" i="5"/>
  <c r="AD248" i="5" s="1"/>
  <c r="AA248" i="5"/>
  <c r="W248" i="5"/>
  <c r="X248" i="5" s="1"/>
  <c r="U248" i="5"/>
  <c r="R248" i="5"/>
  <c r="O248" i="5"/>
  <c r="N248" i="5"/>
  <c r="L248" i="5"/>
  <c r="I248" i="5"/>
  <c r="H248" i="5"/>
  <c r="F248" i="5"/>
  <c r="C248" i="5"/>
  <c r="AC247" i="5"/>
  <c r="AD247" i="5" s="1"/>
  <c r="AA247" i="5"/>
  <c r="W247" i="5"/>
  <c r="X247" i="5" s="1"/>
  <c r="U247" i="5"/>
  <c r="R247" i="5"/>
  <c r="O247" i="5"/>
  <c r="N247" i="5"/>
  <c r="L247" i="5"/>
  <c r="I247" i="5"/>
  <c r="H247" i="5"/>
  <c r="F247" i="5"/>
  <c r="C247" i="5"/>
  <c r="AD246" i="5"/>
  <c r="AC246" i="5"/>
  <c r="AA246" i="5"/>
  <c r="W246" i="5"/>
  <c r="X246" i="5" s="1"/>
  <c r="U246" i="5"/>
  <c r="R246" i="5"/>
  <c r="N246" i="5"/>
  <c r="O246" i="5" s="1"/>
  <c r="L246" i="5"/>
  <c r="H246" i="5"/>
  <c r="I246" i="5" s="1"/>
  <c r="F246" i="5"/>
  <c r="C246" i="5"/>
  <c r="AD245" i="5"/>
  <c r="AC245" i="5"/>
  <c r="AA245" i="5"/>
  <c r="X245" i="5"/>
  <c r="W245" i="5"/>
  <c r="U245" i="5"/>
  <c r="R245" i="5"/>
  <c r="N245" i="5"/>
  <c r="O245" i="5" s="1"/>
  <c r="L245" i="5"/>
  <c r="I245" i="5"/>
  <c r="H245" i="5"/>
  <c r="F245" i="5"/>
  <c r="C245" i="5"/>
  <c r="AD244" i="5"/>
  <c r="AC244" i="5"/>
  <c r="AA244" i="5"/>
  <c r="W244" i="5"/>
  <c r="X244" i="5" s="1"/>
  <c r="U244" i="5"/>
  <c r="R244" i="5"/>
  <c r="O244" i="5"/>
  <c r="N244" i="5"/>
  <c r="L244" i="5"/>
  <c r="I244" i="5"/>
  <c r="H244" i="5"/>
  <c r="F244" i="5"/>
  <c r="C244" i="5"/>
  <c r="AC243" i="5"/>
  <c r="AD243" i="5" s="1"/>
  <c r="AA243" i="5"/>
  <c r="W243" i="5"/>
  <c r="X243" i="5" s="1"/>
  <c r="U243" i="5"/>
  <c r="R243" i="5"/>
  <c r="O243" i="5"/>
  <c r="N243" i="5"/>
  <c r="L243" i="5"/>
  <c r="I243" i="5"/>
  <c r="H243" i="5"/>
  <c r="F243" i="5"/>
  <c r="C243" i="5"/>
  <c r="AD242" i="5"/>
  <c r="AC242" i="5"/>
  <c r="AA242" i="5"/>
  <c r="X242" i="5"/>
  <c r="W242" i="5"/>
  <c r="U242" i="5"/>
  <c r="R242" i="5"/>
  <c r="N242" i="5"/>
  <c r="O242" i="5" s="1"/>
  <c r="L242" i="5"/>
  <c r="H242" i="5"/>
  <c r="I242" i="5" s="1"/>
  <c r="F242" i="5"/>
  <c r="C242" i="5"/>
  <c r="AD241" i="5"/>
  <c r="AC241" i="5"/>
  <c r="AA241" i="5"/>
  <c r="X241" i="5"/>
  <c r="W241" i="5"/>
  <c r="U241" i="5"/>
  <c r="R241" i="5"/>
  <c r="O241" i="5"/>
  <c r="N241" i="5"/>
  <c r="L241" i="5"/>
  <c r="I241" i="5"/>
  <c r="H241" i="5"/>
  <c r="F241" i="5"/>
  <c r="C241" i="5"/>
  <c r="AC240" i="5"/>
  <c r="AD240" i="5" s="1"/>
  <c r="AA240" i="5"/>
  <c r="W240" i="5"/>
  <c r="X240" i="5" s="1"/>
  <c r="U240" i="5"/>
  <c r="R240" i="5"/>
  <c r="O240" i="5"/>
  <c r="N240" i="5"/>
  <c r="L240" i="5"/>
  <c r="I240" i="5"/>
  <c r="H240" i="5"/>
  <c r="F240" i="5"/>
  <c r="C240" i="5"/>
  <c r="AC238" i="5"/>
  <c r="AD238" i="5" s="1"/>
  <c r="AA238" i="5"/>
  <c r="W238" i="5"/>
  <c r="X238" i="5" s="1"/>
  <c r="U238" i="5"/>
  <c r="R238" i="5"/>
  <c r="O238" i="5"/>
  <c r="N238" i="5"/>
  <c r="L238" i="5"/>
  <c r="I238" i="5"/>
  <c r="H238" i="5"/>
  <c r="F238" i="5"/>
  <c r="C238" i="5"/>
  <c r="Z236" i="5"/>
  <c r="AA236" i="5" s="1"/>
  <c r="W236" i="5"/>
  <c r="X236" i="5" s="1"/>
  <c r="U236" i="5"/>
  <c r="T236" i="5"/>
  <c r="R236" i="5"/>
  <c r="Q236" i="5"/>
  <c r="N236" i="5"/>
  <c r="O236" i="5" s="1"/>
  <c r="L236" i="5"/>
  <c r="K236" i="5"/>
  <c r="F236" i="5"/>
  <c r="E236" i="5"/>
  <c r="B236" i="5"/>
  <c r="AC235" i="5"/>
  <c r="AD235" i="5" s="1"/>
  <c r="AA235" i="5"/>
  <c r="W235" i="5"/>
  <c r="X235" i="5" s="1"/>
  <c r="U235" i="5"/>
  <c r="R235" i="5"/>
  <c r="N235" i="5"/>
  <c r="O235" i="5" s="1"/>
  <c r="L235" i="5"/>
  <c r="I235" i="5"/>
  <c r="H235" i="5"/>
  <c r="F235" i="5"/>
  <c r="C235" i="5"/>
  <c r="AC234" i="5"/>
  <c r="AD234" i="5" s="1"/>
  <c r="AA234" i="5"/>
  <c r="W234" i="5"/>
  <c r="X234" i="5" s="1"/>
  <c r="U234" i="5"/>
  <c r="R234" i="5"/>
  <c r="O234" i="5"/>
  <c r="N234" i="5"/>
  <c r="L234" i="5"/>
  <c r="H234" i="5"/>
  <c r="I234" i="5" s="1"/>
  <c r="F234" i="5"/>
  <c r="C234" i="5"/>
  <c r="AD233" i="5"/>
  <c r="AC233" i="5"/>
  <c r="AA233" i="5"/>
  <c r="W233" i="5"/>
  <c r="X233" i="5" s="1"/>
  <c r="U233" i="5"/>
  <c r="R233" i="5"/>
  <c r="N233" i="5"/>
  <c r="O233" i="5" s="1"/>
  <c r="L233" i="5"/>
  <c r="H233" i="5"/>
  <c r="I233" i="5" s="1"/>
  <c r="F233" i="5"/>
  <c r="C233" i="5"/>
  <c r="AD232" i="5"/>
  <c r="AC232" i="5"/>
  <c r="AA232" i="5"/>
  <c r="X232" i="5"/>
  <c r="W232" i="5"/>
  <c r="U232" i="5"/>
  <c r="R232" i="5"/>
  <c r="N232" i="5"/>
  <c r="O232" i="5" s="1"/>
  <c r="L232" i="5"/>
  <c r="I232" i="5"/>
  <c r="H232" i="5"/>
  <c r="F232" i="5"/>
  <c r="C232" i="5"/>
  <c r="AD231" i="5"/>
  <c r="AC231" i="5"/>
  <c r="AA231" i="5"/>
  <c r="W231" i="5"/>
  <c r="X231" i="5" s="1"/>
  <c r="U231" i="5"/>
  <c r="R231" i="5"/>
  <c r="O231" i="5"/>
  <c r="N231" i="5"/>
  <c r="L231" i="5"/>
  <c r="I231" i="5"/>
  <c r="H231" i="5"/>
  <c r="F231" i="5"/>
  <c r="C231" i="5"/>
  <c r="AC230" i="5"/>
  <c r="AD230" i="5" s="1"/>
  <c r="AA230" i="5"/>
  <c r="W230" i="5"/>
  <c r="X230" i="5" s="1"/>
  <c r="U230" i="5"/>
  <c r="R230" i="5"/>
  <c r="O230" i="5"/>
  <c r="N230" i="5"/>
  <c r="L230" i="5"/>
  <c r="I230" i="5"/>
  <c r="H230" i="5"/>
  <c r="F230" i="5"/>
  <c r="C230" i="5"/>
  <c r="AD229" i="5"/>
  <c r="AC229" i="5"/>
  <c r="AA229" i="5"/>
  <c r="X229" i="5"/>
  <c r="W229" i="5"/>
  <c r="U229" i="5"/>
  <c r="R229" i="5"/>
  <c r="N229" i="5"/>
  <c r="O229" i="5" s="1"/>
  <c r="L229" i="5"/>
  <c r="H229" i="5"/>
  <c r="I229" i="5" s="1"/>
  <c r="F229" i="5"/>
  <c r="C229" i="5"/>
  <c r="AA227" i="5"/>
  <c r="Z227" i="5"/>
  <c r="U227" i="5"/>
  <c r="T227" i="5"/>
  <c r="W227" i="5" s="1"/>
  <c r="X227" i="5" s="1"/>
  <c r="R227" i="5"/>
  <c r="Q227" i="5"/>
  <c r="AC227" i="5" s="1"/>
  <c r="AD227" i="5" s="1"/>
  <c r="K227" i="5"/>
  <c r="L227" i="5" s="1"/>
  <c r="H227" i="5"/>
  <c r="I227" i="5" s="1"/>
  <c r="F227" i="5"/>
  <c r="E227" i="5"/>
  <c r="C227" i="5"/>
  <c r="B227" i="5"/>
  <c r="AC226" i="5"/>
  <c r="AD226" i="5" s="1"/>
  <c r="AA226" i="5"/>
  <c r="W226" i="5"/>
  <c r="X226" i="5" s="1"/>
  <c r="U226" i="5"/>
  <c r="R226" i="5"/>
  <c r="O226" i="5"/>
  <c r="N226" i="5"/>
  <c r="L226" i="5"/>
  <c r="I226" i="5"/>
  <c r="H226" i="5"/>
  <c r="F226" i="5"/>
  <c r="C226" i="5"/>
  <c r="AD225" i="5"/>
  <c r="AC225" i="5"/>
  <c r="AA225" i="5"/>
  <c r="W225" i="5"/>
  <c r="X225" i="5" s="1"/>
  <c r="U225" i="5"/>
  <c r="R225" i="5"/>
  <c r="N225" i="5"/>
  <c r="O225" i="5" s="1"/>
  <c r="L225" i="5"/>
  <c r="H225" i="5"/>
  <c r="I225" i="5" s="1"/>
  <c r="F225" i="5"/>
  <c r="C225" i="5"/>
  <c r="AD224" i="5"/>
  <c r="AC224" i="5"/>
  <c r="AA224" i="5"/>
  <c r="X224" i="5"/>
  <c r="W224" i="5"/>
  <c r="U224" i="5"/>
  <c r="R224" i="5"/>
  <c r="N224" i="5"/>
  <c r="O224" i="5" s="1"/>
  <c r="L224" i="5"/>
  <c r="I224" i="5"/>
  <c r="H224" i="5"/>
  <c r="F224" i="5"/>
  <c r="C224" i="5"/>
  <c r="AC223" i="5"/>
  <c r="AD223" i="5" s="1"/>
  <c r="AA223" i="5"/>
  <c r="W223" i="5"/>
  <c r="X223" i="5" s="1"/>
  <c r="U223" i="5"/>
  <c r="R223" i="5"/>
  <c r="N223" i="5"/>
  <c r="O223" i="5" s="1"/>
  <c r="L223" i="5"/>
  <c r="I223" i="5"/>
  <c r="H223" i="5"/>
  <c r="F223" i="5"/>
  <c r="C223" i="5"/>
  <c r="AC222" i="5"/>
  <c r="AD222" i="5" s="1"/>
  <c r="AA222" i="5"/>
  <c r="W222" i="5"/>
  <c r="X222" i="5" s="1"/>
  <c r="U222" i="5"/>
  <c r="R222" i="5"/>
  <c r="O222" i="5"/>
  <c r="N222" i="5"/>
  <c r="L222" i="5"/>
  <c r="H222" i="5"/>
  <c r="I222" i="5" s="1"/>
  <c r="F222" i="5"/>
  <c r="C222" i="5"/>
  <c r="AD221" i="5"/>
  <c r="AC221" i="5"/>
  <c r="AA221" i="5"/>
  <c r="W221" i="5"/>
  <c r="X221" i="5" s="1"/>
  <c r="U221" i="5"/>
  <c r="R221" i="5"/>
  <c r="N221" i="5"/>
  <c r="O221" i="5" s="1"/>
  <c r="L221" i="5"/>
  <c r="H221" i="5"/>
  <c r="I221" i="5" s="1"/>
  <c r="F221" i="5"/>
  <c r="C221" i="5"/>
  <c r="AD220" i="5"/>
  <c r="AC220" i="5"/>
  <c r="AA220" i="5"/>
  <c r="X220" i="5"/>
  <c r="W220" i="5"/>
  <c r="U220" i="5"/>
  <c r="R220" i="5"/>
  <c r="N220" i="5"/>
  <c r="O220" i="5" s="1"/>
  <c r="L220" i="5"/>
  <c r="I220" i="5"/>
  <c r="H220" i="5"/>
  <c r="F220" i="5"/>
  <c r="C220" i="5"/>
  <c r="AD219" i="5"/>
  <c r="AC219" i="5"/>
  <c r="AA219" i="5"/>
  <c r="W219" i="5"/>
  <c r="X219" i="5" s="1"/>
  <c r="U219" i="5"/>
  <c r="R219" i="5"/>
  <c r="O219" i="5"/>
  <c r="N219" i="5"/>
  <c r="L219" i="5"/>
  <c r="I219" i="5"/>
  <c r="H219" i="5"/>
  <c r="F219" i="5"/>
  <c r="C219" i="5"/>
  <c r="AC218" i="5"/>
  <c r="AD218" i="5" s="1"/>
  <c r="AA218" i="5"/>
  <c r="Z218" i="5"/>
  <c r="U218" i="5"/>
  <c r="T218" i="5"/>
  <c r="Q218" i="5"/>
  <c r="N218" i="5"/>
  <c r="O218" i="5" s="1"/>
  <c r="L218" i="5"/>
  <c r="K218" i="5"/>
  <c r="E218" i="5"/>
  <c r="F218" i="5" s="1"/>
  <c r="B218" i="5"/>
  <c r="AD217" i="5"/>
  <c r="AC217" i="5"/>
  <c r="AA217" i="5"/>
  <c r="X217" i="5"/>
  <c r="W217" i="5"/>
  <c r="U217" i="5"/>
  <c r="R217" i="5"/>
  <c r="N217" i="5"/>
  <c r="O217" i="5" s="1"/>
  <c r="L217" i="5"/>
  <c r="I217" i="5"/>
  <c r="H217" i="5"/>
  <c r="F217" i="5"/>
  <c r="C217" i="5"/>
  <c r="AC216" i="5"/>
  <c r="AD216" i="5" s="1"/>
  <c r="AA216" i="5"/>
  <c r="W216" i="5"/>
  <c r="X216" i="5" s="1"/>
  <c r="U216" i="5"/>
  <c r="R216" i="5"/>
  <c r="N216" i="5"/>
  <c r="O216" i="5" s="1"/>
  <c r="L216" i="5"/>
  <c r="I216" i="5"/>
  <c r="H216" i="5"/>
  <c r="F216" i="5"/>
  <c r="C216" i="5"/>
  <c r="AC215" i="5"/>
  <c r="AD215" i="5" s="1"/>
  <c r="AA215" i="5"/>
  <c r="X215" i="5"/>
  <c r="W215" i="5"/>
  <c r="U215" i="5"/>
  <c r="R215" i="5"/>
  <c r="O215" i="5"/>
  <c r="N215" i="5"/>
  <c r="L215" i="5"/>
  <c r="H215" i="5"/>
  <c r="I215" i="5" s="1"/>
  <c r="F215" i="5"/>
  <c r="C215" i="5"/>
  <c r="AD214" i="5"/>
  <c r="AC214" i="5"/>
  <c r="AA214" i="5"/>
  <c r="X214" i="5"/>
  <c r="W214" i="5"/>
  <c r="U214" i="5"/>
  <c r="R214" i="5"/>
  <c r="N214" i="5"/>
  <c r="O214" i="5" s="1"/>
  <c r="L214" i="5"/>
  <c r="H214" i="5"/>
  <c r="I214" i="5" s="1"/>
  <c r="F214" i="5"/>
  <c r="C214" i="5"/>
  <c r="AD213" i="5"/>
  <c r="AC213" i="5"/>
  <c r="AA213" i="5"/>
  <c r="X213" i="5"/>
  <c r="W213" i="5"/>
  <c r="U213" i="5"/>
  <c r="R213" i="5"/>
  <c r="O213" i="5"/>
  <c r="N213" i="5"/>
  <c r="L213" i="5"/>
  <c r="I213" i="5"/>
  <c r="H213" i="5"/>
  <c r="F213" i="5"/>
  <c r="C213" i="5"/>
  <c r="AC211" i="5"/>
  <c r="AD211" i="5" s="1"/>
  <c r="AA211" i="5"/>
  <c r="W211" i="5"/>
  <c r="X211" i="5" s="1"/>
  <c r="U211" i="5"/>
  <c r="R211" i="5"/>
  <c r="N211" i="5"/>
  <c r="O211" i="5" s="1"/>
  <c r="L211" i="5"/>
  <c r="I211" i="5"/>
  <c r="H211" i="5"/>
  <c r="F211" i="5"/>
  <c r="C211" i="5"/>
  <c r="Z209" i="5"/>
  <c r="AA209" i="5" s="1"/>
  <c r="U209" i="5"/>
  <c r="T209" i="5"/>
  <c r="Q209" i="5"/>
  <c r="N209" i="5"/>
  <c r="O209" i="5" s="1"/>
  <c r="L209" i="5"/>
  <c r="K209" i="5"/>
  <c r="E209" i="5"/>
  <c r="F209" i="5" s="1"/>
  <c r="C209" i="5"/>
  <c r="B209" i="5"/>
  <c r="AD208" i="5"/>
  <c r="AC208" i="5"/>
  <c r="AA208" i="5"/>
  <c r="X208" i="5"/>
  <c r="W208" i="5"/>
  <c r="U208" i="5"/>
  <c r="R208" i="5"/>
  <c r="N208" i="5"/>
  <c r="O208" i="5" s="1"/>
  <c r="L208" i="5"/>
  <c r="I208" i="5"/>
  <c r="H208" i="5"/>
  <c r="F208" i="5"/>
  <c r="C208" i="5"/>
  <c r="AD207" i="5"/>
  <c r="AC207" i="5"/>
  <c r="AA207" i="5"/>
  <c r="W207" i="5"/>
  <c r="X207" i="5" s="1"/>
  <c r="U207" i="5"/>
  <c r="R207" i="5"/>
  <c r="N207" i="5"/>
  <c r="O207" i="5" s="1"/>
  <c r="L207" i="5"/>
  <c r="I207" i="5"/>
  <c r="H207" i="5"/>
  <c r="F207" i="5"/>
  <c r="C207" i="5"/>
  <c r="AC206" i="5"/>
  <c r="AD206" i="5" s="1"/>
  <c r="AA206" i="5"/>
  <c r="X206" i="5"/>
  <c r="W206" i="5"/>
  <c r="U206" i="5"/>
  <c r="R206" i="5"/>
  <c r="O206" i="5"/>
  <c r="N206" i="5"/>
  <c r="L206" i="5"/>
  <c r="H206" i="5"/>
  <c r="I206" i="5" s="1"/>
  <c r="F206" i="5"/>
  <c r="C206" i="5"/>
  <c r="AD205" i="5"/>
  <c r="AC205" i="5"/>
  <c r="AA205" i="5"/>
  <c r="W205" i="5"/>
  <c r="X205" i="5" s="1"/>
  <c r="U205" i="5"/>
  <c r="R205" i="5"/>
  <c r="N205" i="5"/>
  <c r="O205" i="5" s="1"/>
  <c r="L205" i="5"/>
  <c r="H205" i="5"/>
  <c r="I205" i="5" s="1"/>
  <c r="F205" i="5"/>
  <c r="C205" i="5"/>
  <c r="AD204" i="5"/>
  <c r="AC204" i="5"/>
  <c r="AA204" i="5"/>
  <c r="X204" i="5"/>
  <c r="W204" i="5"/>
  <c r="U204" i="5"/>
  <c r="R204" i="5"/>
  <c r="N204" i="5"/>
  <c r="O204" i="5" s="1"/>
  <c r="L204" i="5"/>
  <c r="I204" i="5"/>
  <c r="H204" i="5"/>
  <c r="F204" i="5"/>
  <c r="C204" i="5"/>
  <c r="AD203" i="5"/>
  <c r="AC203" i="5"/>
  <c r="AA203" i="5"/>
  <c r="W203" i="5"/>
  <c r="X203" i="5" s="1"/>
  <c r="U203" i="5"/>
  <c r="R203" i="5"/>
  <c r="O203" i="5"/>
  <c r="N203" i="5"/>
  <c r="L203" i="5"/>
  <c r="I203" i="5"/>
  <c r="H203" i="5"/>
  <c r="F203" i="5"/>
  <c r="C203" i="5"/>
  <c r="AC202" i="5"/>
  <c r="AD202" i="5" s="1"/>
  <c r="AA202" i="5"/>
  <c r="W202" i="5"/>
  <c r="X202" i="5" s="1"/>
  <c r="U202" i="5"/>
  <c r="R202" i="5"/>
  <c r="N202" i="5"/>
  <c r="O202" i="5" s="1"/>
  <c r="L202" i="5"/>
  <c r="H202" i="5"/>
  <c r="I202" i="5" s="1"/>
  <c r="F202" i="5"/>
  <c r="C202" i="5"/>
  <c r="AD201" i="5"/>
  <c r="AC201" i="5"/>
  <c r="AA201" i="5"/>
  <c r="X201" i="5"/>
  <c r="W201" i="5"/>
  <c r="U201" i="5"/>
  <c r="R201" i="5"/>
  <c r="N201" i="5"/>
  <c r="O201" i="5" s="1"/>
  <c r="L201" i="5"/>
  <c r="I201" i="5"/>
  <c r="H201" i="5"/>
  <c r="F201" i="5"/>
  <c r="C201" i="5"/>
  <c r="AA197" i="5"/>
  <c r="Z197" i="5"/>
  <c r="U197" i="5"/>
  <c r="T197" i="5"/>
  <c r="R197" i="5"/>
  <c r="Q197" i="5"/>
  <c r="N197" i="5"/>
  <c r="O197" i="5" s="1"/>
  <c r="L197" i="5"/>
  <c r="K197" i="5"/>
  <c r="F197" i="5"/>
  <c r="E197" i="5"/>
  <c r="C197" i="5"/>
  <c r="B197" i="5"/>
  <c r="AA196" i="5"/>
  <c r="Z196" i="5"/>
  <c r="W196" i="5"/>
  <c r="X196" i="5" s="1"/>
  <c r="U196" i="5"/>
  <c r="T196" i="5"/>
  <c r="R196" i="5"/>
  <c r="Q196" i="5"/>
  <c r="AC196" i="5" s="1"/>
  <c r="AD196" i="5" s="1"/>
  <c r="K196" i="5"/>
  <c r="L196" i="5" s="1"/>
  <c r="H196" i="5"/>
  <c r="I196" i="5" s="1"/>
  <c r="F196" i="5"/>
  <c r="E196" i="5"/>
  <c r="C196" i="5"/>
  <c r="B196" i="5"/>
  <c r="AC195" i="5"/>
  <c r="AD195" i="5" s="1"/>
  <c r="AA195" i="5"/>
  <c r="W195" i="5"/>
  <c r="X195" i="5" s="1"/>
  <c r="U195" i="5"/>
  <c r="R195" i="5"/>
  <c r="N195" i="5"/>
  <c r="O195" i="5" s="1"/>
  <c r="L195" i="5"/>
  <c r="H195" i="5"/>
  <c r="I195" i="5" s="1"/>
  <c r="F195" i="5"/>
  <c r="C195" i="5"/>
  <c r="AD194" i="5"/>
  <c r="AC194" i="5"/>
  <c r="AA194" i="5"/>
  <c r="W194" i="5"/>
  <c r="X194" i="5" s="1"/>
  <c r="U194" i="5"/>
  <c r="R194" i="5"/>
  <c r="N194" i="5"/>
  <c r="O194" i="5" s="1"/>
  <c r="L194" i="5"/>
  <c r="I194" i="5"/>
  <c r="H194" i="5"/>
  <c r="F194" i="5"/>
  <c r="C194" i="5"/>
  <c r="AD193" i="5"/>
  <c r="AA193" i="5"/>
  <c r="Z193" i="5"/>
  <c r="W193" i="5"/>
  <c r="X193" i="5" s="1"/>
  <c r="T193" i="5"/>
  <c r="U193" i="5" s="1"/>
  <c r="R193" i="5"/>
  <c r="Q193" i="5"/>
  <c r="AC193" i="5" s="1"/>
  <c r="L193" i="5"/>
  <c r="K193" i="5"/>
  <c r="I193" i="5"/>
  <c r="H193" i="5"/>
  <c r="F193" i="5"/>
  <c r="E193" i="5"/>
  <c r="C193" i="5"/>
  <c r="B193" i="5"/>
  <c r="N193" i="5" s="1"/>
  <c r="O193" i="5" s="1"/>
  <c r="AD192" i="5"/>
  <c r="AC192" i="5"/>
  <c r="AA192" i="5"/>
  <c r="W192" i="5"/>
  <c r="X192" i="5" s="1"/>
  <c r="U192" i="5"/>
  <c r="R192" i="5"/>
  <c r="N192" i="5"/>
  <c r="O192" i="5" s="1"/>
  <c r="L192" i="5"/>
  <c r="H192" i="5"/>
  <c r="I192" i="5" s="1"/>
  <c r="F192" i="5"/>
  <c r="C192" i="5"/>
  <c r="AD191" i="5"/>
  <c r="AC191" i="5"/>
  <c r="AA191" i="5"/>
  <c r="X191" i="5"/>
  <c r="W191" i="5"/>
  <c r="U191" i="5"/>
  <c r="R191" i="5"/>
  <c r="N191" i="5"/>
  <c r="O191" i="5" s="1"/>
  <c r="L191" i="5"/>
  <c r="H191" i="5"/>
  <c r="I191" i="5" s="1"/>
  <c r="F191" i="5"/>
  <c r="C191" i="5"/>
  <c r="AD190" i="5"/>
  <c r="AC190" i="5"/>
  <c r="AA190" i="5"/>
  <c r="W190" i="5"/>
  <c r="X190" i="5" s="1"/>
  <c r="U190" i="5"/>
  <c r="R190" i="5"/>
  <c r="O190" i="5"/>
  <c r="N190" i="5"/>
  <c r="L190" i="5"/>
  <c r="I190" i="5"/>
  <c r="H190" i="5"/>
  <c r="F190" i="5"/>
  <c r="C190" i="5"/>
  <c r="AC189" i="5"/>
  <c r="AD189" i="5" s="1"/>
  <c r="AA189" i="5"/>
  <c r="W189" i="5"/>
  <c r="X189" i="5" s="1"/>
  <c r="U189" i="5"/>
  <c r="R189" i="5"/>
  <c r="N189" i="5"/>
  <c r="O189" i="5" s="1"/>
  <c r="L189" i="5"/>
  <c r="I189" i="5"/>
  <c r="H189" i="5"/>
  <c r="F189" i="5"/>
  <c r="C189" i="5"/>
  <c r="AC188" i="5"/>
  <c r="AD188" i="5" s="1"/>
  <c r="AA188" i="5"/>
  <c r="W188" i="5"/>
  <c r="X188" i="5" s="1"/>
  <c r="U188" i="5"/>
  <c r="R188" i="5"/>
  <c r="N188" i="5"/>
  <c r="O188" i="5" s="1"/>
  <c r="L188" i="5"/>
  <c r="H188" i="5"/>
  <c r="I188" i="5" s="1"/>
  <c r="F188" i="5"/>
  <c r="C188" i="5"/>
  <c r="AD187" i="5"/>
  <c r="AC187" i="5"/>
  <c r="AA187" i="5"/>
  <c r="W187" i="5"/>
  <c r="X187" i="5" s="1"/>
  <c r="U187" i="5"/>
  <c r="R187" i="5"/>
  <c r="N187" i="5"/>
  <c r="O187" i="5" s="1"/>
  <c r="L187" i="5"/>
  <c r="I187" i="5"/>
  <c r="H187" i="5"/>
  <c r="F187" i="5"/>
  <c r="C187" i="5"/>
  <c r="AD186" i="5"/>
  <c r="AC186" i="5"/>
  <c r="AA186" i="5"/>
  <c r="W186" i="5"/>
  <c r="X186" i="5" s="1"/>
  <c r="U186" i="5"/>
  <c r="R186" i="5"/>
  <c r="N186" i="5"/>
  <c r="O186" i="5" s="1"/>
  <c r="L186" i="5"/>
  <c r="I186" i="5"/>
  <c r="H186" i="5"/>
  <c r="F186" i="5"/>
  <c r="C186" i="5"/>
  <c r="AC184" i="5"/>
  <c r="AD184" i="5" s="1"/>
  <c r="AA184" i="5"/>
  <c r="W184" i="5"/>
  <c r="X184" i="5" s="1"/>
  <c r="U184" i="5"/>
  <c r="R184" i="5"/>
  <c r="N184" i="5"/>
  <c r="O184" i="5" s="1"/>
  <c r="L184" i="5"/>
  <c r="I184" i="5"/>
  <c r="H184" i="5"/>
  <c r="F184" i="5"/>
  <c r="C184" i="5"/>
  <c r="AD183" i="5"/>
  <c r="AC183" i="5"/>
  <c r="AA183" i="5"/>
  <c r="W183" i="5"/>
  <c r="X183" i="5" s="1"/>
  <c r="U183" i="5"/>
  <c r="R183" i="5"/>
  <c r="N183" i="5"/>
  <c r="O183" i="5" s="1"/>
  <c r="L183" i="5"/>
  <c r="H183" i="5"/>
  <c r="I183" i="5" s="1"/>
  <c r="F183" i="5"/>
  <c r="C183" i="5"/>
  <c r="Z182" i="5"/>
  <c r="AA182" i="5" s="1"/>
  <c r="X182" i="5"/>
  <c r="W182" i="5"/>
  <c r="U182" i="5"/>
  <c r="T182" i="5"/>
  <c r="R182" i="5"/>
  <c r="Q182" i="5"/>
  <c r="N182" i="5"/>
  <c r="O182" i="5" s="1"/>
  <c r="L182" i="5"/>
  <c r="K182" i="5"/>
  <c r="F182" i="5"/>
  <c r="E182" i="5"/>
  <c r="B182" i="5"/>
  <c r="AC181" i="5"/>
  <c r="AD181" i="5" s="1"/>
  <c r="AA181" i="5"/>
  <c r="W181" i="5"/>
  <c r="X181" i="5" s="1"/>
  <c r="U181" i="5"/>
  <c r="R181" i="5"/>
  <c r="N181" i="5"/>
  <c r="O181" i="5" s="1"/>
  <c r="L181" i="5"/>
  <c r="I181" i="5"/>
  <c r="H181" i="5"/>
  <c r="F181" i="5"/>
  <c r="C181" i="5"/>
  <c r="AD180" i="5"/>
  <c r="AC180" i="5"/>
  <c r="AA180" i="5"/>
  <c r="X180" i="5"/>
  <c r="W180" i="5"/>
  <c r="U180" i="5"/>
  <c r="R180" i="5"/>
  <c r="N180" i="5"/>
  <c r="O180" i="5" s="1"/>
  <c r="L180" i="5"/>
  <c r="H180" i="5"/>
  <c r="I180" i="5" s="1"/>
  <c r="F180" i="5"/>
  <c r="C180" i="5"/>
  <c r="AD179" i="5"/>
  <c r="AC179" i="5"/>
  <c r="AA179" i="5"/>
  <c r="X179" i="5"/>
  <c r="W179" i="5"/>
  <c r="U179" i="5"/>
  <c r="R179" i="5"/>
  <c r="N179" i="5"/>
  <c r="O179" i="5" s="1"/>
  <c r="L179" i="5"/>
  <c r="I179" i="5"/>
  <c r="H179" i="5"/>
  <c r="F179" i="5"/>
  <c r="C179" i="5"/>
  <c r="AD178" i="5"/>
  <c r="AC178" i="5"/>
  <c r="AA178" i="5"/>
  <c r="W178" i="5"/>
  <c r="X178" i="5" s="1"/>
  <c r="U178" i="5"/>
  <c r="R178" i="5"/>
  <c r="O178" i="5"/>
  <c r="N178" i="5"/>
  <c r="L178" i="5"/>
  <c r="I178" i="5"/>
  <c r="H178" i="5"/>
  <c r="F178" i="5"/>
  <c r="C178" i="5"/>
  <c r="AC177" i="5"/>
  <c r="AD177" i="5" s="1"/>
  <c r="AA177" i="5"/>
  <c r="W177" i="5"/>
  <c r="X177" i="5" s="1"/>
  <c r="U177" i="5"/>
  <c r="R177" i="5"/>
  <c r="N177" i="5"/>
  <c r="O177" i="5" s="1"/>
  <c r="L177" i="5"/>
  <c r="I177" i="5"/>
  <c r="H177" i="5"/>
  <c r="F177" i="5"/>
  <c r="C177" i="5"/>
  <c r="AD175" i="5"/>
  <c r="AC175" i="5"/>
  <c r="AA175" i="5"/>
  <c r="W175" i="5"/>
  <c r="X175" i="5" s="1"/>
  <c r="U175" i="5"/>
  <c r="R175" i="5"/>
  <c r="N175" i="5"/>
  <c r="O175" i="5" s="1"/>
  <c r="L175" i="5"/>
  <c r="I175" i="5"/>
  <c r="H175" i="5"/>
  <c r="F175" i="5"/>
  <c r="C175" i="5"/>
  <c r="AA172" i="5"/>
  <c r="E172" i="5"/>
  <c r="E198" i="5" s="1"/>
  <c r="E345" i="5" s="1"/>
  <c r="AA171" i="5"/>
  <c r="Z171" i="5"/>
  <c r="W171" i="5"/>
  <c r="X171" i="5" s="1"/>
  <c r="U171" i="5"/>
  <c r="T171" i="5"/>
  <c r="R171" i="5"/>
  <c r="Q171" i="5"/>
  <c r="AC171" i="5" s="1"/>
  <c r="AD171" i="5" s="1"/>
  <c r="L171" i="5"/>
  <c r="K171" i="5"/>
  <c r="F171" i="5"/>
  <c r="E171" i="5"/>
  <c r="C171" i="5"/>
  <c r="B171" i="5"/>
  <c r="N171" i="5" s="1"/>
  <c r="O171" i="5" s="1"/>
  <c r="AC170" i="5"/>
  <c r="AD170" i="5" s="1"/>
  <c r="AA170" i="5"/>
  <c r="Z170" i="5"/>
  <c r="U170" i="5"/>
  <c r="T170" i="5"/>
  <c r="R170" i="5"/>
  <c r="Q170" i="5"/>
  <c r="W170" i="5" s="1"/>
  <c r="X170" i="5" s="1"/>
  <c r="O170" i="5"/>
  <c r="L170" i="5"/>
  <c r="K170" i="5"/>
  <c r="E170" i="5"/>
  <c r="H170" i="5" s="1"/>
  <c r="I170" i="5" s="1"/>
  <c r="C170" i="5"/>
  <c r="B170" i="5"/>
  <c r="N170" i="5" s="1"/>
  <c r="AD169" i="5"/>
  <c r="AC169" i="5"/>
  <c r="AA169" i="5"/>
  <c r="W169" i="5"/>
  <c r="X169" i="5" s="1"/>
  <c r="U169" i="5"/>
  <c r="R169" i="5"/>
  <c r="N169" i="5"/>
  <c r="O169" i="5" s="1"/>
  <c r="L169" i="5"/>
  <c r="I169" i="5"/>
  <c r="H169" i="5"/>
  <c r="F169" i="5"/>
  <c r="C169" i="5"/>
  <c r="AD168" i="5"/>
  <c r="AC168" i="5"/>
  <c r="AA168" i="5"/>
  <c r="W168" i="5"/>
  <c r="X168" i="5" s="1"/>
  <c r="U168" i="5"/>
  <c r="R168" i="5"/>
  <c r="O168" i="5"/>
  <c r="N168" i="5"/>
  <c r="L168" i="5"/>
  <c r="I168" i="5"/>
  <c r="H168" i="5"/>
  <c r="F168" i="5"/>
  <c r="C168" i="5"/>
  <c r="AD167" i="5"/>
  <c r="AC167" i="5"/>
  <c r="AA167" i="5"/>
  <c r="W167" i="5"/>
  <c r="X167" i="5" s="1"/>
  <c r="U167" i="5"/>
  <c r="R167" i="5"/>
  <c r="N167" i="5"/>
  <c r="O167" i="5" s="1"/>
  <c r="L167" i="5"/>
  <c r="I167" i="5"/>
  <c r="H167" i="5"/>
  <c r="F167" i="5"/>
  <c r="C167" i="5"/>
  <c r="Z166" i="5"/>
  <c r="AA166" i="5" s="1"/>
  <c r="U166" i="5"/>
  <c r="T166" i="5"/>
  <c r="R166" i="5"/>
  <c r="Q166" i="5"/>
  <c r="N166" i="5"/>
  <c r="O166" i="5" s="1"/>
  <c r="L166" i="5"/>
  <c r="K166" i="5"/>
  <c r="I166" i="5"/>
  <c r="F166" i="5"/>
  <c r="E166" i="5"/>
  <c r="B166" i="5"/>
  <c r="H166" i="5" s="1"/>
  <c r="AD165" i="5"/>
  <c r="AC165" i="5"/>
  <c r="AA165" i="5"/>
  <c r="W165" i="5"/>
  <c r="X165" i="5" s="1"/>
  <c r="U165" i="5"/>
  <c r="R165" i="5"/>
  <c r="N165" i="5"/>
  <c r="O165" i="5" s="1"/>
  <c r="L165" i="5"/>
  <c r="I165" i="5"/>
  <c r="H165" i="5"/>
  <c r="F165" i="5"/>
  <c r="C165" i="5"/>
  <c r="AD164" i="5"/>
  <c r="AC164" i="5"/>
  <c r="AA164" i="5"/>
  <c r="W164" i="5"/>
  <c r="X164" i="5" s="1"/>
  <c r="U164" i="5"/>
  <c r="R164" i="5"/>
  <c r="N164" i="5"/>
  <c r="O164" i="5" s="1"/>
  <c r="L164" i="5"/>
  <c r="I164" i="5"/>
  <c r="H164" i="5"/>
  <c r="F164" i="5"/>
  <c r="C164" i="5"/>
  <c r="AD163" i="5"/>
  <c r="AC163" i="5"/>
  <c r="AA163" i="5"/>
  <c r="X163" i="5"/>
  <c r="W163" i="5"/>
  <c r="U163" i="5"/>
  <c r="R163" i="5"/>
  <c r="N163" i="5"/>
  <c r="O163" i="5" s="1"/>
  <c r="L163" i="5"/>
  <c r="I163" i="5"/>
  <c r="H163" i="5"/>
  <c r="F163" i="5"/>
  <c r="C163" i="5"/>
  <c r="AD162" i="5"/>
  <c r="AC162" i="5"/>
  <c r="AA162" i="5"/>
  <c r="W162" i="5"/>
  <c r="X162" i="5" s="1"/>
  <c r="U162" i="5"/>
  <c r="R162" i="5"/>
  <c r="N162" i="5"/>
  <c r="O162" i="5" s="1"/>
  <c r="L162" i="5"/>
  <c r="I162" i="5"/>
  <c r="H162" i="5"/>
  <c r="F162" i="5"/>
  <c r="C162" i="5"/>
  <c r="AD161" i="5"/>
  <c r="AC161" i="5"/>
  <c r="AA161" i="5"/>
  <c r="W161" i="5"/>
  <c r="X161" i="5" s="1"/>
  <c r="U161" i="5"/>
  <c r="R161" i="5"/>
  <c r="N161" i="5"/>
  <c r="O161" i="5" s="1"/>
  <c r="L161" i="5"/>
  <c r="I161" i="5"/>
  <c r="H161" i="5"/>
  <c r="F161" i="5"/>
  <c r="C161" i="5"/>
  <c r="AC160" i="5"/>
  <c r="AD160" i="5" s="1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Z158" i="5"/>
  <c r="AA158" i="5" s="1"/>
  <c r="U158" i="5"/>
  <c r="T158" i="5"/>
  <c r="R158" i="5"/>
  <c r="Q158" i="5"/>
  <c r="L158" i="5"/>
  <c r="K158" i="5"/>
  <c r="F158" i="5"/>
  <c r="E158" i="5"/>
  <c r="B158" i="5"/>
  <c r="H158" i="5" s="1"/>
  <c r="I158" i="5" s="1"/>
  <c r="AD157" i="5"/>
  <c r="AC157" i="5"/>
  <c r="AA157" i="5"/>
  <c r="W157" i="5"/>
  <c r="X157" i="5" s="1"/>
  <c r="U157" i="5"/>
  <c r="R157" i="5"/>
  <c r="N157" i="5"/>
  <c r="O157" i="5" s="1"/>
  <c r="L157" i="5"/>
  <c r="I157" i="5"/>
  <c r="H157" i="5"/>
  <c r="F157" i="5"/>
  <c r="C157" i="5"/>
  <c r="AC156" i="5"/>
  <c r="AD156" i="5" s="1"/>
  <c r="AA156" i="5"/>
  <c r="W156" i="5"/>
  <c r="X156" i="5" s="1"/>
  <c r="U156" i="5"/>
  <c r="R156" i="5"/>
  <c r="N156" i="5"/>
  <c r="O156" i="5" s="1"/>
  <c r="L156" i="5"/>
  <c r="I156" i="5"/>
  <c r="H156" i="5"/>
  <c r="F156" i="5"/>
  <c r="C156" i="5"/>
  <c r="AD155" i="5"/>
  <c r="AC155" i="5"/>
  <c r="AA155" i="5"/>
  <c r="W155" i="5"/>
  <c r="X155" i="5" s="1"/>
  <c r="U155" i="5"/>
  <c r="R155" i="5"/>
  <c r="N155" i="5"/>
  <c r="O155" i="5" s="1"/>
  <c r="L155" i="5"/>
  <c r="I155" i="5"/>
  <c r="H155" i="5"/>
  <c r="F155" i="5"/>
  <c r="C155" i="5"/>
  <c r="AD154" i="5"/>
  <c r="AC154" i="5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D153" i="5"/>
  <c r="AC153" i="5"/>
  <c r="AA153" i="5"/>
  <c r="W153" i="5"/>
  <c r="X153" i="5" s="1"/>
  <c r="U153" i="5"/>
  <c r="R153" i="5"/>
  <c r="N153" i="5"/>
  <c r="O153" i="5" s="1"/>
  <c r="L153" i="5"/>
  <c r="I153" i="5"/>
  <c r="H153" i="5"/>
  <c r="F153" i="5"/>
  <c r="C153" i="5"/>
  <c r="AD151" i="5"/>
  <c r="AC151" i="5"/>
  <c r="AA151" i="5"/>
  <c r="W151" i="5"/>
  <c r="X151" i="5" s="1"/>
  <c r="U151" i="5"/>
  <c r="R151" i="5"/>
  <c r="N151" i="5"/>
  <c r="O151" i="5" s="1"/>
  <c r="L151" i="5"/>
  <c r="I151" i="5"/>
  <c r="H151" i="5"/>
  <c r="F151" i="5"/>
  <c r="C151" i="5"/>
  <c r="Z149" i="5"/>
  <c r="AA149" i="5" s="1"/>
  <c r="U149" i="5"/>
  <c r="T149" i="5"/>
  <c r="R149" i="5"/>
  <c r="Q149" i="5"/>
  <c r="N149" i="5"/>
  <c r="O149" i="5" s="1"/>
  <c r="L149" i="5"/>
  <c r="K149" i="5"/>
  <c r="I149" i="5"/>
  <c r="F149" i="5"/>
  <c r="E149" i="5"/>
  <c r="C149" i="5"/>
  <c r="B149" i="5"/>
  <c r="H149" i="5" s="1"/>
  <c r="AD148" i="5"/>
  <c r="AA148" i="5"/>
  <c r="Z148" i="5"/>
  <c r="T148" i="5"/>
  <c r="R148" i="5"/>
  <c r="Q148" i="5"/>
  <c r="AC148" i="5" s="1"/>
  <c r="L148" i="5"/>
  <c r="K148" i="5"/>
  <c r="I148" i="5"/>
  <c r="H148" i="5"/>
  <c r="F148" i="5"/>
  <c r="E148" i="5"/>
  <c r="C148" i="5"/>
  <c r="B148" i="5"/>
  <c r="N148" i="5" s="1"/>
  <c r="O148" i="5" s="1"/>
  <c r="AD147" i="5"/>
  <c r="AC147" i="5"/>
  <c r="AA147" i="5"/>
  <c r="W147" i="5"/>
  <c r="X147" i="5" s="1"/>
  <c r="U147" i="5"/>
  <c r="R147" i="5"/>
  <c r="N147" i="5"/>
  <c r="O147" i="5" s="1"/>
  <c r="L147" i="5"/>
  <c r="H147" i="5"/>
  <c r="I147" i="5" s="1"/>
  <c r="F147" i="5"/>
  <c r="C147" i="5"/>
  <c r="AD146" i="5"/>
  <c r="AC146" i="5"/>
  <c r="AA146" i="5"/>
  <c r="W146" i="5"/>
  <c r="X146" i="5" s="1"/>
  <c r="U146" i="5"/>
  <c r="R146" i="5"/>
  <c r="N146" i="5"/>
  <c r="O146" i="5" s="1"/>
  <c r="L146" i="5"/>
  <c r="I146" i="5"/>
  <c r="H146" i="5"/>
  <c r="F146" i="5"/>
  <c r="C146" i="5"/>
  <c r="AD145" i="5"/>
  <c r="AC145" i="5"/>
  <c r="AA145" i="5"/>
  <c r="W145" i="5"/>
  <c r="X145" i="5" s="1"/>
  <c r="U145" i="5"/>
  <c r="R145" i="5"/>
  <c r="N145" i="5"/>
  <c r="O145" i="5" s="1"/>
  <c r="L145" i="5"/>
  <c r="I145" i="5"/>
  <c r="H145" i="5"/>
  <c r="F145" i="5"/>
  <c r="C145" i="5"/>
  <c r="AC144" i="5"/>
  <c r="AD144" i="5" s="1"/>
  <c r="AA144" i="5"/>
  <c r="W144" i="5"/>
  <c r="X144" i="5" s="1"/>
  <c r="U144" i="5"/>
  <c r="R144" i="5"/>
  <c r="N144" i="5"/>
  <c r="O144" i="5" s="1"/>
  <c r="L144" i="5"/>
  <c r="I144" i="5"/>
  <c r="H144" i="5"/>
  <c r="F144" i="5"/>
  <c r="C144" i="5"/>
  <c r="AD143" i="5"/>
  <c r="AC143" i="5"/>
  <c r="AA143" i="5"/>
  <c r="X143" i="5"/>
  <c r="W143" i="5"/>
  <c r="U143" i="5"/>
  <c r="R143" i="5"/>
  <c r="N143" i="5"/>
  <c r="O143" i="5" s="1"/>
  <c r="L143" i="5"/>
  <c r="H143" i="5"/>
  <c r="I143" i="5" s="1"/>
  <c r="F143" i="5"/>
  <c r="C143" i="5"/>
  <c r="AA141" i="5"/>
  <c r="Z141" i="5"/>
  <c r="X141" i="5"/>
  <c r="W141" i="5"/>
  <c r="U141" i="5"/>
  <c r="T141" i="5"/>
  <c r="R141" i="5"/>
  <c r="Q141" i="5"/>
  <c r="AC141" i="5" s="1"/>
  <c r="AD141" i="5" s="1"/>
  <c r="K141" i="5"/>
  <c r="L141" i="5" s="1"/>
  <c r="F141" i="5"/>
  <c r="E141" i="5"/>
  <c r="C141" i="5"/>
  <c r="B141" i="5"/>
  <c r="AD140" i="5"/>
  <c r="AC140" i="5"/>
  <c r="AA140" i="5"/>
  <c r="W140" i="5"/>
  <c r="X140" i="5" s="1"/>
  <c r="U140" i="5"/>
  <c r="R140" i="5"/>
  <c r="N140" i="5"/>
  <c r="O140" i="5" s="1"/>
  <c r="L140" i="5"/>
  <c r="I140" i="5"/>
  <c r="H140" i="5"/>
  <c r="F140" i="5"/>
  <c r="C140" i="5"/>
  <c r="AD139" i="5"/>
  <c r="AC139" i="5"/>
  <c r="AA139" i="5"/>
  <c r="W139" i="5"/>
  <c r="X139" i="5" s="1"/>
  <c r="U139" i="5"/>
  <c r="R139" i="5"/>
  <c r="N139" i="5"/>
  <c r="O139" i="5" s="1"/>
  <c r="L139" i="5"/>
  <c r="I139" i="5"/>
  <c r="H139" i="5"/>
  <c r="F139" i="5"/>
  <c r="C139" i="5"/>
  <c r="AD138" i="5"/>
  <c r="AC138" i="5"/>
  <c r="AA138" i="5"/>
  <c r="X138" i="5"/>
  <c r="W138" i="5"/>
  <c r="U138" i="5"/>
  <c r="R138" i="5"/>
  <c r="N138" i="5"/>
  <c r="O138" i="5" s="1"/>
  <c r="L138" i="5"/>
  <c r="I138" i="5"/>
  <c r="H138" i="5"/>
  <c r="F138" i="5"/>
  <c r="C138" i="5"/>
  <c r="AD137" i="5"/>
  <c r="AC137" i="5"/>
  <c r="AA137" i="5"/>
  <c r="W137" i="5"/>
  <c r="X137" i="5" s="1"/>
  <c r="U137" i="5"/>
  <c r="R137" i="5"/>
  <c r="O137" i="5"/>
  <c r="N137" i="5"/>
  <c r="L137" i="5"/>
  <c r="I137" i="5"/>
  <c r="H137" i="5"/>
  <c r="F137" i="5"/>
  <c r="C137" i="5"/>
  <c r="AC136" i="5"/>
  <c r="AD136" i="5" s="1"/>
  <c r="AA136" i="5"/>
  <c r="W136" i="5"/>
  <c r="X136" i="5" s="1"/>
  <c r="U136" i="5"/>
  <c r="R136" i="5"/>
  <c r="N136" i="5"/>
  <c r="O136" i="5" s="1"/>
  <c r="L136" i="5"/>
  <c r="I136" i="5"/>
  <c r="H136" i="5"/>
  <c r="F136" i="5"/>
  <c r="C136" i="5"/>
  <c r="AD135" i="5"/>
  <c r="AC135" i="5"/>
  <c r="AA135" i="5"/>
  <c r="W135" i="5"/>
  <c r="X135" i="5" s="1"/>
  <c r="U135" i="5"/>
  <c r="R135" i="5"/>
  <c r="N135" i="5"/>
  <c r="O135" i="5" s="1"/>
  <c r="L135" i="5"/>
  <c r="H135" i="5"/>
  <c r="I135" i="5" s="1"/>
  <c r="F135" i="5"/>
  <c r="C135" i="5"/>
  <c r="AD134" i="5"/>
  <c r="AC134" i="5"/>
  <c r="AA134" i="5"/>
  <c r="X134" i="5"/>
  <c r="W134" i="5"/>
  <c r="U134" i="5"/>
  <c r="R134" i="5"/>
  <c r="N134" i="5"/>
  <c r="O134" i="5" s="1"/>
  <c r="L134" i="5"/>
  <c r="H134" i="5"/>
  <c r="I134" i="5" s="1"/>
  <c r="F134" i="5"/>
  <c r="C134" i="5"/>
  <c r="AD133" i="5"/>
  <c r="AC133" i="5"/>
  <c r="AA133" i="5"/>
  <c r="W133" i="5"/>
  <c r="X133" i="5" s="1"/>
  <c r="U133" i="5"/>
  <c r="R133" i="5"/>
  <c r="O133" i="5"/>
  <c r="N133" i="5"/>
  <c r="L133" i="5"/>
  <c r="I133" i="5"/>
  <c r="H133" i="5"/>
  <c r="F133" i="5"/>
  <c r="C133" i="5"/>
  <c r="AC132" i="5"/>
  <c r="AD132" i="5" s="1"/>
  <c r="AA132" i="5"/>
  <c r="W132" i="5"/>
  <c r="X132" i="5" s="1"/>
  <c r="U132" i="5"/>
  <c r="R132" i="5"/>
  <c r="O132" i="5"/>
  <c r="N132" i="5"/>
  <c r="L132" i="5"/>
  <c r="I132" i="5"/>
  <c r="H132" i="5"/>
  <c r="F132" i="5"/>
  <c r="C132" i="5"/>
  <c r="AD131" i="5"/>
  <c r="AC131" i="5"/>
  <c r="AA131" i="5"/>
  <c r="W131" i="5"/>
  <c r="X131" i="5" s="1"/>
  <c r="U131" i="5"/>
  <c r="R131" i="5"/>
  <c r="N131" i="5"/>
  <c r="O131" i="5" s="1"/>
  <c r="L131" i="5"/>
  <c r="I131" i="5"/>
  <c r="H131" i="5"/>
  <c r="F131" i="5"/>
  <c r="C131" i="5"/>
  <c r="AD130" i="5"/>
  <c r="AC130" i="5"/>
  <c r="AA130" i="5"/>
  <c r="X130" i="5"/>
  <c r="W130" i="5"/>
  <c r="U130" i="5"/>
  <c r="R130" i="5"/>
  <c r="N130" i="5"/>
  <c r="O130" i="5" s="1"/>
  <c r="L130" i="5"/>
  <c r="I130" i="5"/>
  <c r="H130" i="5"/>
  <c r="F130" i="5"/>
  <c r="C130" i="5"/>
  <c r="AD129" i="5"/>
  <c r="AC129" i="5"/>
  <c r="AA129" i="5"/>
  <c r="W129" i="5"/>
  <c r="X129" i="5" s="1"/>
  <c r="U129" i="5"/>
  <c r="R129" i="5"/>
  <c r="O129" i="5"/>
  <c r="N129" i="5"/>
  <c r="L129" i="5"/>
  <c r="I129" i="5"/>
  <c r="H129" i="5"/>
  <c r="F129" i="5"/>
  <c r="C129" i="5"/>
  <c r="AC127" i="5"/>
  <c r="AD127" i="5" s="1"/>
  <c r="AA127" i="5"/>
  <c r="W127" i="5"/>
  <c r="X127" i="5" s="1"/>
  <c r="U127" i="5"/>
  <c r="R127" i="5"/>
  <c r="N127" i="5"/>
  <c r="O127" i="5" s="1"/>
  <c r="L127" i="5"/>
  <c r="I127" i="5"/>
  <c r="H127" i="5"/>
  <c r="F127" i="5"/>
  <c r="C127" i="5"/>
  <c r="AA124" i="5"/>
  <c r="Z124" i="5"/>
  <c r="Z172" i="5" s="1"/>
  <c r="Z198" i="5" s="1"/>
  <c r="X124" i="5"/>
  <c r="U124" i="5"/>
  <c r="T124" i="5"/>
  <c r="T172" i="5" s="1"/>
  <c r="U172" i="5" s="1"/>
  <c r="Q124" i="5"/>
  <c r="W124" i="5" s="1"/>
  <c r="N124" i="5"/>
  <c r="O124" i="5" s="1"/>
  <c r="L124" i="5"/>
  <c r="K124" i="5"/>
  <c r="K172" i="5" s="1"/>
  <c r="E124" i="5"/>
  <c r="F124" i="5" s="1"/>
  <c r="C124" i="5"/>
  <c r="B124" i="5"/>
  <c r="AD123" i="5"/>
  <c r="AC123" i="5"/>
  <c r="AA123" i="5"/>
  <c r="W123" i="5"/>
  <c r="X123" i="5" s="1"/>
  <c r="U123" i="5"/>
  <c r="R123" i="5"/>
  <c r="O123" i="5"/>
  <c r="N123" i="5"/>
  <c r="L123" i="5"/>
  <c r="I123" i="5"/>
  <c r="H123" i="5"/>
  <c r="F123" i="5"/>
  <c r="C123" i="5"/>
  <c r="AC122" i="5"/>
  <c r="AD122" i="5" s="1"/>
  <c r="AA122" i="5"/>
  <c r="Z122" i="5"/>
  <c r="X122" i="5"/>
  <c r="U122" i="5"/>
  <c r="T122" i="5"/>
  <c r="Q122" i="5"/>
  <c r="W122" i="5" s="1"/>
  <c r="L122" i="5"/>
  <c r="K122" i="5"/>
  <c r="H122" i="5"/>
  <c r="I122" i="5" s="1"/>
  <c r="F122" i="5"/>
  <c r="E122" i="5"/>
  <c r="C122" i="5"/>
  <c r="B122" i="5"/>
  <c r="N122" i="5" s="1"/>
  <c r="O122" i="5" s="1"/>
  <c r="AD121" i="5"/>
  <c r="AC121" i="5"/>
  <c r="AA121" i="5"/>
  <c r="X121" i="5"/>
  <c r="W121" i="5"/>
  <c r="U121" i="5"/>
  <c r="R121" i="5"/>
  <c r="N121" i="5"/>
  <c r="O121" i="5" s="1"/>
  <c r="L121" i="5"/>
  <c r="I121" i="5"/>
  <c r="H121" i="5"/>
  <c r="F121" i="5"/>
  <c r="C121" i="5"/>
  <c r="AC120" i="5"/>
  <c r="AD120" i="5" s="1"/>
  <c r="AA120" i="5"/>
  <c r="W120" i="5"/>
  <c r="X120" i="5" s="1"/>
  <c r="U120" i="5"/>
  <c r="R120" i="5"/>
  <c r="O120" i="5"/>
  <c r="N120" i="5"/>
  <c r="L120" i="5"/>
  <c r="I120" i="5"/>
  <c r="H120" i="5"/>
  <c r="F120" i="5"/>
  <c r="C120" i="5"/>
  <c r="AD119" i="5"/>
  <c r="AC119" i="5"/>
  <c r="AA119" i="5"/>
  <c r="W119" i="5"/>
  <c r="X119" i="5" s="1"/>
  <c r="U119" i="5"/>
  <c r="R119" i="5"/>
  <c r="N119" i="5"/>
  <c r="O119" i="5" s="1"/>
  <c r="L119" i="5"/>
  <c r="H119" i="5"/>
  <c r="I119" i="5" s="1"/>
  <c r="F119" i="5"/>
  <c r="C119" i="5"/>
  <c r="AA118" i="5"/>
  <c r="Z118" i="5"/>
  <c r="U118" i="5"/>
  <c r="T118" i="5"/>
  <c r="R118" i="5"/>
  <c r="Q118" i="5"/>
  <c r="W118" i="5" s="1"/>
  <c r="X118" i="5" s="1"/>
  <c r="O118" i="5"/>
  <c r="K118" i="5"/>
  <c r="L118" i="5" s="1"/>
  <c r="I118" i="5"/>
  <c r="H118" i="5"/>
  <c r="F118" i="5"/>
  <c r="E118" i="5"/>
  <c r="C118" i="5"/>
  <c r="B118" i="5"/>
  <c r="N118" i="5" s="1"/>
  <c r="AC117" i="5"/>
  <c r="AD117" i="5" s="1"/>
  <c r="AA117" i="5"/>
  <c r="X117" i="5"/>
  <c r="W117" i="5"/>
  <c r="U117" i="5"/>
  <c r="R117" i="5"/>
  <c r="O117" i="5"/>
  <c r="N117" i="5"/>
  <c r="L117" i="5"/>
  <c r="I117" i="5"/>
  <c r="H117" i="5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H116" i="5"/>
  <c r="I116" i="5" s="1"/>
  <c r="F116" i="5"/>
  <c r="C116" i="5"/>
  <c r="AD115" i="5"/>
  <c r="AC115" i="5"/>
  <c r="AA115" i="5"/>
  <c r="X115" i="5"/>
  <c r="W115" i="5"/>
  <c r="U115" i="5"/>
  <c r="R115" i="5"/>
  <c r="O115" i="5"/>
  <c r="N115" i="5"/>
  <c r="L115" i="5"/>
  <c r="I115" i="5"/>
  <c r="H115" i="5"/>
  <c r="F115" i="5"/>
  <c r="C115" i="5"/>
  <c r="AD114" i="5"/>
  <c r="AC114" i="5"/>
  <c r="AA114" i="5"/>
  <c r="W114" i="5"/>
  <c r="X114" i="5" s="1"/>
  <c r="U114" i="5"/>
  <c r="R114" i="5"/>
  <c r="N114" i="5"/>
  <c r="O114" i="5" s="1"/>
  <c r="L114" i="5"/>
  <c r="I114" i="5"/>
  <c r="H114" i="5"/>
  <c r="F114" i="5"/>
  <c r="C114" i="5"/>
  <c r="AC113" i="5"/>
  <c r="AD113" i="5" s="1"/>
  <c r="AA113" i="5"/>
  <c r="X113" i="5"/>
  <c r="W113" i="5"/>
  <c r="U113" i="5"/>
  <c r="R113" i="5"/>
  <c r="O113" i="5"/>
  <c r="N113" i="5"/>
  <c r="L113" i="5"/>
  <c r="I113" i="5"/>
  <c r="H113" i="5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H112" i="5"/>
  <c r="I112" i="5" s="1"/>
  <c r="F112" i="5"/>
  <c r="C112" i="5"/>
  <c r="AD111" i="5"/>
  <c r="AC111" i="5"/>
  <c r="AA111" i="5"/>
  <c r="X111" i="5"/>
  <c r="W111" i="5"/>
  <c r="U111" i="5"/>
  <c r="R111" i="5"/>
  <c r="O111" i="5"/>
  <c r="N111" i="5"/>
  <c r="L111" i="5"/>
  <c r="I111" i="5"/>
  <c r="H111" i="5"/>
  <c r="F111" i="5"/>
  <c r="C111" i="5"/>
  <c r="AD110" i="5"/>
  <c r="AC110" i="5"/>
  <c r="AA110" i="5"/>
  <c r="W110" i="5"/>
  <c r="X110" i="5" s="1"/>
  <c r="U110" i="5"/>
  <c r="R110" i="5"/>
  <c r="N110" i="5"/>
  <c r="O110" i="5" s="1"/>
  <c r="L110" i="5"/>
  <c r="I110" i="5"/>
  <c r="H110" i="5"/>
  <c r="F110" i="5"/>
  <c r="C110" i="5"/>
  <c r="AC109" i="5"/>
  <c r="AD109" i="5" s="1"/>
  <c r="AA109" i="5"/>
  <c r="X109" i="5"/>
  <c r="W109" i="5"/>
  <c r="U109" i="5"/>
  <c r="R109" i="5"/>
  <c r="O109" i="5"/>
  <c r="N109" i="5"/>
  <c r="L109" i="5"/>
  <c r="I109" i="5"/>
  <c r="H109" i="5"/>
  <c r="F109" i="5"/>
  <c r="C109" i="5"/>
  <c r="AD108" i="5"/>
  <c r="AC108" i="5"/>
  <c r="AA108" i="5"/>
  <c r="W108" i="5"/>
  <c r="X108" i="5" s="1"/>
  <c r="U108" i="5"/>
  <c r="R108" i="5"/>
  <c r="N108" i="5"/>
  <c r="O108" i="5" s="1"/>
  <c r="L108" i="5"/>
  <c r="H108" i="5"/>
  <c r="I108" i="5" s="1"/>
  <c r="F108" i="5"/>
  <c r="C108" i="5"/>
  <c r="AD107" i="5"/>
  <c r="AC107" i="5"/>
  <c r="AA107" i="5"/>
  <c r="X107" i="5"/>
  <c r="W107" i="5"/>
  <c r="U107" i="5"/>
  <c r="R107" i="5"/>
  <c r="O107" i="5"/>
  <c r="N107" i="5"/>
  <c r="L107" i="5"/>
  <c r="I107" i="5"/>
  <c r="H107" i="5"/>
  <c r="F107" i="5"/>
  <c r="C107" i="5"/>
  <c r="AD106" i="5"/>
  <c r="AC106" i="5"/>
  <c r="AA106" i="5"/>
  <c r="W106" i="5"/>
  <c r="X106" i="5" s="1"/>
  <c r="U106" i="5"/>
  <c r="R106" i="5"/>
  <c r="N106" i="5"/>
  <c r="O106" i="5" s="1"/>
  <c r="L106" i="5"/>
  <c r="I106" i="5"/>
  <c r="H106" i="5"/>
  <c r="F106" i="5"/>
  <c r="C106" i="5"/>
  <c r="AC105" i="5"/>
  <c r="AD105" i="5" s="1"/>
  <c r="AA105" i="5"/>
  <c r="W105" i="5"/>
  <c r="X105" i="5" s="1"/>
  <c r="U105" i="5"/>
  <c r="R105" i="5"/>
  <c r="O105" i="5"/>
  <c r="N105" i="5"/>
  <c r="L105" i="5"/>
  <c r="I105" i="5"/>
  <c r="H105" i="5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D103" i="5"/>
  <c r="AC103" i="5"/>
  <c r="AA103" i="5"/>
  <c r="X103" i="5"/>
  <c r="W103" i="5"/>
  <c r="U103" i="5"/>
  <c r="R103" i="5"/>
  <c r="N103" i="5"/>
  <c r="O103" i="5" s="1"/>
  <c r="L103" i="5"/>
  <c r="I103" i="5"/>
  <c r="H103" i="5"/>
  <c r="F103" i="5"/>
  <c r="C103" i="5"/>
  <c r="AD102" i="5"/>
  <c r="AC102" i="5"/>
  <c r="AA102" i="5"/>
  <c r="W102" i="5"/>
  <c r="X102" i="5" s="1"/>
  <c r="U102" i="5"/>
  <c r="R102" i="5"/>
  <c r="N102" i="5"/>
  <c r="O102" i="5" s="1"/>
  <c r="L102" i="5"/>
  <c r="I102" i="5"/>
  <c r="H102" i="5"/>
  <c r="F102" i="5"/>
  <c r="C102" i="5"/>
  <c r="AC101" i="5"/>
  <c r="AD101" i="5" s="1"/>
  <c r="AA101" i="5"/>
  <c r="W101" i="5"/>
  <c r="X101" i="5" s="1"/>
  <c r="U101" i="5"/>
  <c r="R101" i="5"/>
  <c r="O101" i="5"/>
  <c r="N101" i="5"/>
  <c r="L101" i="5"/>
  <c r="I101" i="5"/>
  <c r="H101" i="5"/>
  <c r="F101" i="5"/>
  <c r="C101" i="5"/>
  <c r="AD100" i="5"/>
  <c r="AC100" i="5"/>
  <c r="AA100" i="5"/>
  <c r="W100" i="5"/>
  <c r="X100" i="5" s="1"/>
  <c r="U100" i="5"/>
  <c r="R100" i="5"/>
  <c r="N100" i="5"/>
  <c r="O100" i="5" s="1"/>
  <c r="L100" i="5"/>
  <c r="H100" i="5"/>
  <c r="I100" i="5" s="1"/>
  <c r="F100" i="5"/>
  <c r="C100" i="5"/>
  <c r="AD99" i="5"/>
  <c r="AC99" i="5"/>
  <c r="AA99" i="5"/>
  <c r="X99" i="5"/>
  <c r="W99" i="5"/>
  <c r="U99" i="5"/>
  <c r="R99" i="5"/>
  <c r="N99" i="5"/>
  <c r="O99" i="5" s="1"/>
  <c r="L99" i="5"/>
  <c r="I99" i="5"/>
  <c r="H99" i="5"/>
  <c r="F99" i="5"/>
  <c r="C99" i="5"/>
  <c r="AD98" i="5"/>
  <c r="AC98" i="5"/>
  <c r="AA98" i="5"/>
  <c r="W98" i="5"/>
  <c r="X98" i="5" s="1"/>
  <c r="U98" i="5"/>
  <c r="R98" i="5"/>
  <c r="N98" i="5"/>
  <c r="O98" i="5" s="1"/>
  <c r="L98" i="5"/>
  <c r="I98" i="5"/>
  <c r="H98" i="5"/>
  <c r="F98" i="5"/>
  <c r="C98" i="5"/>
  <c r="AC97" i="5"/>
  <c r="AD97" i="5" s="1"/>
  <c r="AA97" i="5"/>
  <c r="W97" i="5"/>
  <c r="X97" i="5" s="1"/>
  <c r="U97" i="5"/>
  <c r="R97" i="5"/>
  <c r="O97" i="5"/>
  <c r="N97" i="5"/>
  <c r="L97" i="5"/>
  <c r="I97" i="5"/>
  <c r="H97" i="5"/>
  <c r="F97" i="5"/>
  <c r="C97" i="5"/>
  <c r="AD96" i="5"/>
  <c r="AC96" i="5"/>
  <c r="AA96" i="5"/>
  <c r="W96" i="5"/>
  <c r="X96" i="5" s="1"/>
  <c r="U96" i="5"/>
  <c r="R96" i="5"/>
  <c r="N96" i="5"/>
  <c r="O96" i="5" s="1"/>
  <c r="L96" i="5"/>
  <c r="H96" i="5"/>
  <c r="I96" i="5" s="1"/>
  <c r="F96" i="5"/>
  <c r="C96" i="5"/>
  <c r="AD95" i="5"/>
  <c r="AC95" i="5"/>
  <c r="AA95" i="5"/>
  <c r="X95" i="5"/>
  <c r="W95" i="5"/>
  <c r="U95" i="5"/>
  <c r="R95" i="5"/>
  <c r="N95" i="5"/>
  <c r="O95" i="5" s="1"/>
  <c r="L95" i="5"/>
  <c r="I95" i="5"/>
  <c r="H95" i="5"/>
  <c r="F95" i="5"/>
  <c r="C95" i="5"/>
  <c r="AD94" i="5"/>
  <c r="AC94" i="5"/>
  <c r="AA94" i="5"/>
  <c r="W94" i="5"/>
  <c r="X94" i="5" s="1"/>
  <c r="U94" i="5"/>
  <c r="R94" i="5"/>
  <c r="N94" i="5"/>
  <c r="O94" i="5" s="1"/>
  <c r="L94" i="5"/>
  <c r="I94" i="5"/>
  <c r="H94" i="5"/>
  <c r="F94" i="5"/>
  <c r="C94" i="5"/>
  <c r="AC92" i="5"/>
  <c r="AD92" i="5" s="1"/>
  <c r="AA92" i="5"/>
  <c r="W92" i="5"/>
  <c r="X92" i="5" s="1"/>
  <c r="U92" i="5"/>
  <c r="R92" i="5"/>
  <c r="O92" i="5"/>
  <c r="N92" i="5"/>
  <c r="L92" i="5"/>
  <c r="I92" i="5"/>
  <c r="H92" i="5"/>
  <c r="F92" i="5"/>
  <c r="C92" i="5"/>
  <c r="AD91" i="5"/>
  <c r="AC91" i="5"/>
  <c r="AA91" i="5"/>
  <c r="W91" i="5"/>
  <c r="X91" i="5" s="1"/>
  <c r="U91" i="5"/>
  <c r="R91" i="5"/>
  <c r="N91" i="5"/>
  <c r="O91" i="5" s="1"/>
  <c r="L91" i="5"/>
  <c r="H91" i="5"/>
  <c r="I91" i="5" s="1"/>
  <c r="F91" i="5"/>
  <c r="C91" i="5"/>
  <c r="AD90" i="5"/>
  <c r="AC90" i="5"/>
  <c r="AA90" i="5"/>
  <c r="X90" i="5"/>
  <c r="W90" i="5"/>
  <c r="U90" i="5"/>
  <c r="R90" i="5"/>
  <c r="N90" i="5"/>
  <c r="O90" i="5" s="1"/>
  <c r="L90" i="5"/>
  <c r="I90" i="5"/>
  <c r="H90" i="5"/>
  <c r="F90" i="5"/>
  <c r="C90" i="5"/>
  <c r="AD89" i="5"/>
  <c r="AC89" i="5"/>
  <c r="AA89" i="5"/>
  <c r="W89" i="5"/>
  <c r="X89" i="5" s="1"/>
  <c r="U89" i="5"/>
  <c r="R89" i="5"/>
  <c r="N89" i="5"/>
  <c r="O89" i="5" s="1"/>
  <c r="L89" i="5"/>
  <c r="I89" i="5"/>
  <c r="H89" i="5"/>
  <c r="F89" i="5"/>
  <c r="C89" i="5"/>
  <c r="AA88" i="5"/>
  <c r="Z88" i="5"/>
  <c r="X88" i="5"/>
  <c r="W88" i="5"/>
  <c r="U88" i="5"/>
  <c r="T88" i="5"/>
  <c r="Q88" i="5"/>
  <c r="R88" i="5" s="1"/>
  <c r="L88" i="5"/>
  <c r="K88" i="5"/>
  <c r="E88" i="5"/>
  <c r="F88" i="5" s="1"/>
  <c r="C88" i="5"/>
  <c r="B88" i="5"/>
  <c r="H88" i="5" s="1"/>
  <c r="I88" i="5" s="1"/>
  <c r="AD87" i="5"/>
  <c r="AC87" i="5"/>
  <c r="AA87" i="5"/>
  <c r="X87" i="5"/>
  <c r="W87" i="5"/>
  <c r="U87" i="5"/>
  <c r="R87" i="5"/>
  <c r="N87" i="5"/>
  <c r="O87" i="5" s="1"/>
  <c r="L87" i="5"/>
  <c r="I87" i="5"/>
  <c r="H87" i="5"/>
  <c r="F87" i="5"/>
  <c r="C87" i="5"/>
  <c r="AD86" i="5"/>
  <c r="AC86" i="5"/>
  <c r="AA86" i="5"/>
  <c r="W86" i="5"/>
  <c r="X86" i="5" s="1"/>
  <c r="U86" i="5"/>
  <c r="R86" i="5"/>
  <c r="N86" i="5"/>
  <c r="O86" i="5" s="1"/>
  <c r="L86" i="5"/>
  <c r="I86" i="5"/>
  <c r="H86" i="5"/>
  <c r="F86" i="5"/>
  <c r="C86" i="5"/>
  <c r="AC85" i="5"/>
  <c r="AD85" i="5" s="1"/>
  <c r="AA85" i="5"/>
  <c r="W85" i="5"/>
  <c r="X85" i="5" s="1"/>
  <c r="U85" i="5"/>
  <c r="R85" i="5"/>
  <c r="O85" i="5"/>
  <c r="N85" i="5"/>
  <c r="L85" i="5"/>
  <c r="I85" i="5"/>
  <c r="H85" i="5"/>
  <c r="F85" i="5"/>
  <c r="C85" i="5"/>
  <c r="AD84" i="5"/>
  <c r="AC84" i="5"/>
  <c r="AA84" i="5"/>
  <c r="W84" i="5"/>
  <c r="X84" i="5" s="1"/>
  <c r="U84" i="5"/>
  <c r="R84" i="5"/>
  <c r="N84" i="5"/>
  <c r="O84" i="5" s="1"/>
  <c r="L84" i="5"/>
  <c r="H84" i="5"/>
  <c r="I84" i="5" s="1"/>
  <c r="F84" i="5"/>
  <c r="C84" i="5"/>
  <c r="AD83" i="5"/>
  <c r="AC83" i="5"/>
  <c r="AA83" i="5"/>
  <c r="X83" i="5"/>
  <c r="W83" i="5"/>
  <c r="U83" i="5"/>
  <c r="R83" i="5"/>
  <c r="N83" i="5"/>
  <c r="O83" i="5" s="1"/>
  <c r="L83" i="5"/>
  <c r="I83" i="5"/>
  <c r="H83" i="5"/>
  <c r="F83" i="5"/>
  <c r="C83" i="5"/>
  <c r="AD82" i="5"/>
  <c r="AC82" i="5"/>
  <c r="AA82" i="5"/>
  <c r="W82" i="5"/>
  <c r="X82" i="5" s="1"/>
  <c r="U82" i="5"/>
  <c r="R82" i="5"/>
  <c r="N82" i="5"/>
  <c r="O82" i="5" s="1"/>
  <c r="L82" i="5"/>
  <c r="I82" i="5"/>
  <c r="H82" i="5"/>
  <c r="F82" i="5"/>
  <c r="C82" i="5"/>
  <c r="AC81" i="5"/>
  <c r="AD81" i="5" s="1"/>
  <c r="AA81" i="5"/>
  <c r="W81" i="5"/>
  <c r="X81" i="5" s="1"/>
  <c r="U81" i="5"/>
  <c r="R81" i="5"/>
  <c r="O81" i="5"/>
  <c r="N81" i="5"/>
  <c r="L81" i="5"/>
  <c r="I81" i="5"/>
  <c r="H81" i="5"/>
  <c r="F81" i="5"/>
  <c r="C81" i="5"/>
  <c r="AD80" i="5"/>
  <c r="AC80" i="5"/>
  <c r="AA80" i="5"/>
  <c r="W80" i="5"/>
  <c r="X80" i="5" s="1"/>
  <c r="U80" i="5"/>
  <c r="R80" i="5"/>
  <c r="N80" i="5"/>
  <c r="O80" i="5" s="1"/>
  <c r="L80" i="5"/>
  <c r="H80" i="5"/>
  <c r="I80" i="5" s="1"/>
  <c r="F80" i="5"/>
  <c r="C80" i="5"/>
  <c r="AD79" i="5"/>
  <c r="AC79" i="5"/>
  <c r="AA79" i="5"/>
  <c r="X79" i="5"/>
  <c r="W79" i="5"/>
  <c r="U79" i="5"/>
  <c r="R79" i="5"/>
  <c r="N79" i="5"/>
  <c r="O79" i="5" s="1"/>
  <c r="L79" i="5"/>
  <c r="I79" i="5"/>
  <c r="H79" i="5"/>
  <c r="F79" i="5"/>
  <c r="C79" i="5"/>
  <c r="AD78" i="5"/>
  <c r="AC78" i="5"/>
  <c r="AA78" i="5"/>
  <c r="W78" i="5"/>
  <c r="X78" i="5" s="1"/>
  <c r="U78" i="5"/>
  <c r="R78" i="5"/>
  <c r="N78" i="5"/>
  <c r="O78" i="5" s="1"/>
  <c r="L78" i="5"/>
  <c r="I78" i="5"/>
  <c r="H78" i="5"/>
  <c r="F78" i="5"/>
  <c r="C78" i="5"/>
  <c r="AC77" i="5"/>
  <c r="AD77" i="5" s="1"/>
  <c r="AA77" i="5"/>
  <c r="W77" i="5"/>
  <c r="X77" i="5" s="1"/>
  <c r="U77" i="5"/>
  <c r="R77" i="5"/>
  <c r="O77" i="5"/>
  <c r="N77" i="5"/>
  <c r="L77" i="5"/>
  <c r="I77" i="5"/>
  <c r="H77" i="5"/>
  <c r="F77" i="5"/>
  <c r="C77" i="5"/>
  <c r="AD76" i="5"/>
  <c r="AC76" i="5"/>
  <c r="AA76" i="5"/>
  <c r="W76" i="5"/>
  <c r="X76" i="5" s="1"/>
  <c r="U76" i="5"/>
  <c r="R76" i="5"/>
  <c r="N76" i="5"/>
  <c r="O76" i="5" s="1"/>
  <c r="L76" i="5"/>
  <c r="H76" i="5"/>
  <c r="I76" i="5" s="1"/>
  <c r="F76" i="5"/>
  <c r="C76" i="5"/>
  <c r="AD75" i="5"/>
  <c r="AC75" i="5"/>
  <c r="AA75" i="5"/>
  <c r="X75" i="5"/>
  <c r="W75" i="5"/>
  <c r="U75" i="5"/>
  <c r="R75" i="5"/>
  <c r="N75" i="5"/>
  <c r="O75" i="5" s="1"/>
  <c r="L75" i="5"/>
  <c r="I75" i="5"/>
  <c r="H75" i="5"/>
  <c r="F75" i="5"/>
  <c r="C75" i="5"/>
  <c r="AA73" i="5"/>
  <c r="Z73" i="5"/>
  <c r="X73" i="5"/>
  <c r="T73" i="5"/>
  <c r="U73" i="5" s="1"/>
  <c r="R73" i="5"/>
  <c r="Q73" i="5"/>
  <c r="W73" i="5" s="1"/>
  <c r="L73" i="5"/>
  <c r="K73" i="5"/>
  <c r="F73" i="5"/>
  <c r="E73" i="5"/>
  <c r="C73" i="5"/>
  <c r="B73" i="5"/>
  <c r="H73" i="5" s="1"/>
  <c r="I73" i="5" s="1"/>
  <c r="AD72" i="5"/>
  <c r="AC72" i="5"/>
  <c r="AA72" i="5"/>
  <c r="W72" i="5"/>
  <c r="X72" i="5" s="1"/>
  <c r="U72" i="5"/>
  <c r="R72" i="5"/>
  <c r="N72" i="5"/>
  <c r="O72" i="5" s="1"/>
  <c r="L72" i="5"/>
  <c r="H72" i="5"/>
  <c r="I72" i="5" s="1"/>
  <c r="F72" i="5"/>
  <c r="C72" i="5"/>
  <c r="AD71" i="5"/>
  <c r="AC71" i="5"/>
  <c r="AA71" i="5"/>
  <c r="X71" i="5"/>
  <c r="W71" i="5"/>
  <c r="U71" i="5"/>
  <c r="R71" i="5"/>
  <c r="N71" i="5"/>
  <c r="O71" i="5" s="1"/>
  <c r="L71" i="5"/>
  <c r="I71" i="5"/>
  <c r="H71" i="5"/>
  <c r="F71" i="5"/>
  <c r="C71" i="5"/>
  <c r="AD70" i="5"/>
  <c r="AC70" i="5"/>
  <c r="AA70" i="5"/>
  <c r="W70" i="5"/>
  <c r="X70" i="5" s="1"/>
  <c r="U70" i="5"/>
  <c r="R70" i="5"/>
  <c r="N70" i="5"/>
  <c r="O70" i="5" s="1"/>
  <c r="L70" i="5"/>
  <c r="I70" i="5"/>
  <c r="H70" i="5"/>
  <c r="F70" i="5"/>
  <c r="C70" i="5"/>
  <c r="AC69" i="5"/>
  <c r="AD69" i="5" s="1"/>
  <c r="AA69" i="5"/>
  <c r="X69" i="5"/>
  <c r="W69" i="5"/>
  <c r="U69" i="5"/>
  <c r="R69" i="5"/>
  <c r="O69" i="5"/>
  <c r="N69" i="5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H68" i="5"/>
  <c r="I68" i="5" s="1"/>
  <c r="F68" i="5"/>
  <c r="C68" i="5"/>
  <c r="AD67" i="5"/>
  <c r="AC67" i="5"/>
  <c r="AA67" i="5"/>
  <c r="X67" i="5"/>
  <c r="W67" i="5"/>
  <c r="U67" i="5"/>
  <c r="R67" i="5"/>
  <c r="N67" i="5"/>
  <c r="O67" i="5" s="1"/>
  <c r="L67" i="5"/>
  <c r="I67" i="5"/>
  <c r="H67" i="5"/>
  <c r="F67" i="5"/>
  <c r="C67" i="5"/>
  <c r="AD66" i="5"/>
  <c r="AC66" i="5"/>
  <c r="AA66" i="5"/>
  <c r="W66" i="5"/>
  <c r="X66" i="5" s="1"/>
  <c r="U66" i="5"/>
  <c r="R66" i="5"/>
  <c r="N66" i="5"/>
  <c r="O66" i="5" s="1"/>
  <c r="L66" i="5"/>
  <c r="I66" i="5"/>
  <c r="H66" i="5"/>
  <c r="F66" i="5"/>
  <c r="C66" i="5"/>
  <c r="AC65" i="5"/>
  <c r="AD65" i="5" s="1"/>
  <c r="AA65" i="5"/>
  <c r="W65" i="5"/>
  <c r="X65" i="5" s="1"/>
  <c r="U65" i="5"/>
  <c r="R65" i="5"/>
  <c r="O65" i="5"/>
  <c r="N65" i="5"/>
  <c r="L65" i="5"/>
  <c r="I65" i="5"/>
  <c r="H65" i="5"/>
  <c r="F65" i="5"/>
  <c r="C65" i="5"/>
  <c r="AD64" i="5"/>
  <c r="AC64" i="5"/>
  <c r="AA64" i="5"/>
  <c r="W64" i="5"/>
  <c r="X64" i="5" s="1"/>
  <c r="U64" i="5"/>
  <c r="R64" i="5"/>
  <c r="N64" i="5"/>
  <c r="O64" i="5" s="1"/>
  <c r="L64" i="5"/>
  <c r="H64" i="5"/>
  <c r="I64" i="5" s="1"/>
  <c r="F64" i="5"/>
  <c r="C64" i="5"/>
  <c r="AA62" i="5"/>
  <c r="Z62" i="5"/>
  <c r="U62" i="5"/>
  <c r="T62" i="5"/>
  <c r="R62" i="5"/>
  <c r="Q62" i="5"/>
  <c r="W62" i="5" s="1"/>
  <c r="X62" i="5" s="1"/>
  <c r="K62" i="5"/>
  <c r="L62" i="5" s="1"/>
  <c r="I62" i="5"/>
  <c r="H62" i="5"/>
  <c r="F62" i="5"/>
  <c r="E62" i="5"/>
  <c r="C62" i="5"/>
  <c r="B62" i="5"/>
  <c r="N62" i="5" s="1"/>
  <c r="O62" i="5" s="1"/>
  <c r="AA61" i="5"/>
  <c r="Z61" i="5"/>
  <c r="U61" i="5"/>
  <c r="T61" i="5"/>
  <c r="W61" i="5" s="1"/>
  <c r="X61" i="5" s="1"/>
  <c r="Q61" i="5"/>
  <c r="R61" i="5" s="1"/>
  <c r="L61" i="5"/>
  <c r="K61" i="5"/>
  <c r="I61" i="5"/>
  <c r="E61" i="5"/>
  <c r="F61" i="5" s="1"/>
  <c r="B61" i="5"/>
  <c r="H61" i="5" s="1"/>
  <c r="AD60" i="5"/>
  <c r="AC60" i="5"/>
  <c r="AA60" i="5"/>
  <c r="X60" i="5"/>
  <c r="W60" i="5"/>
  <c r="U60" i="5"/>
  <c r="R60" i="5"/>
  <c r="O60" i="5"/>
  <c r="N60" i="5"/>
  <c r="L60" i="5"/>
  <c r="I60" i="5"/>
  <c r="H60" i="5"/>
  <c r="F60" i="5"/>
  <c r="C60" i="5"/>
  <c r="AC59" i="5"/>
  <c r="AD59" i="5" s="1"/>
  <c r="AA59" i="5"/>
  <c r="W59" i="5"/>
  <c r="X59" i="5" s="1"/>
  <c r="U59" i="5"/>
  <c r="R59" i="5"/>
  <c r="N59" i="5"/>
  <c r="O59" i="5" s="1"/>
  <c r="L59" i="5"/>
  <c r="I59" i="5"/>
  <c r="H59" i="5"/>
  <c r="F59" i="5"/>
  <c r="C59" i="5"/>
  <c r="AC58" i="5"/>
  <c r="AD58" i="5" s="1"/>
  <c r="AA58" i="5"/>
  <c r="X58" i="5"/>
  <c r="W58" i="5"/>
  <c r="U58" i="5"/>
  <c r="R58" i="5"/>
  <c r="O58" i="5"/>
  <c r="N58" i="5"/>
  <c r="L58" i="5"/>
  <c r="H58" i="5"/>
  <c r="I58" i="5" s="1"/>
  <c r="F58" i="5"/>
  <c r="C58" i="5"/>
  <c r="AD57" i="5"/>
  <c r="AC57" i="5"/>
  <c r="AA57" i="5"/>
  <c r="W57" i="5"/>
  <c r="X57" i="5" s="1"/>
  <c r="U57" i="5"/>
  <c r="R57" i="5"/>
  <c r="N57" i="5"/>
  <c r="O57" i="5" s="1"/>
  <c r="L57" i="5"/>
  <c r="H57" i="5"/>
  <c r="I57" i="5" s="1"/>
  <c r="F57" i="5"/>
  <c r="C57" i="5"/>
  <c r="AD56" i="5"/>
  <c r="AC56" i="5"/>
  <c r="AA56" i="5"/>
  <c r="X56" i="5"/>
  <c r="W56" i="5"/>
  <c r="U56" i="5"/>
  <c r="R56" i="5"/>
  <c r="O56" i="5"/>
  <c r="N56" i="5"/>
  <c r="L56" i="5"/>
  <c r="I56" i="5"/>
  <c r="H56" i="5"/>
  <c r="F56" i="5"/>
  <c r="C56" i="5"/>
  <c r="AC55" i="5"/>
  <c r="AD55" i="5" s="1"/>
  <c r="AA55" i="5"/>
  <c r="W55" i="5"/>
  <c r="X55" i="5" s="1"/>
  <c r="U55" i="5"/>
  <c r="R55" i="5"/>
  <c r="N55" i="5"/>
  <c r="O55" i="5" s="1"/>
  <c r="L55" i="5"/>
  <c r="I55" i="5"/>
  <c r="H55" i="5"/>
  <c r="F55" i="5"/>
  <c r="C55" i="5"/>
  <c r="AC54" i="5"/>
  <c r="AD54" i="5" s="1"/>
  <c r="AA54" i="5"/>
  <c r="X54" i="5"/>
  <c r="W54" i="5"/>
  <c r="U54" i="5"/>
  <c r="R54" i="5"/>
  <c r="O54" i="5"/>
  <c r="N54" i="5"/>
  <c r="L54" i="5"/>
  <c r="H54" i="5"/>
  <c r="I54" i="5" s="1"/>
  <c r="F54" i="5"/>
  <c r="C54" i="5"/>
  <c r="AD53" i="5"/>
  <c r="AC53" i="5"/>
  <c r="AA53" i="5"/>
  <c r="W53" i="5"/>
  <c r="X53" i="5" s="1"/>
  <c r="U53" i="5"/>
  <c r="R53" i="5"/>
  <c r="N53" i="5"/>
  <c r="O53" i="5" s="1"/>
  <c r="L53" i="5"/>
  <c r="H53" i="5"/>
  <c r="I53" i="5" s="1"/>
  <c r="F53" i="5"/>
  <c r="C53" i="5"/>
  <c r="AD52" i="5"/>
  <c r="AC52" i="5"/>
  <c r="AA52" i="5"/>
  <c r="X52" i="5"/>
  <c r="W52" i="5"/>
  <c r="U52" i="5"/>
  <c r="R52" i="5"/>
  <c r="O52" i="5"/>
  <c r="N52" i="5"/>
  <c r="L52" i="5"/>
  <c r="I52" i="5"/>
  <c r="H52" i="5"/>
  <c r="F52" i="5"/>
  <c r="C52" i="5"/>
  <c r="AC51" i="5"/>
  <c r="AD51" i="5" s="1"/>
  <c r="AA51" i="5"/>
  <c r="W51" i="5"/>
  <c r="X51" i="5" s="1"/>
  <c r="U51" i="5"/>
  <c r="R51" i="5"/>
  <c r="N51" i="5"/>
  <c r="O51" i="5" s="1"/>
  <c r="L51" i="5"/>
  <c r="I51" i="5"/>
  <c r="H51" i="5"/>
  <c r="F51" i="5"/>
  <c r="C51" i="5"/>
  <c r="AC50" i="5"/>
  <c r="AD50" i="5" s="1"/>
  <c r="AA50" i="5"/>
  <c r="X50" i="5"/>
  <c r="W50" i="5"/>
  <c r="U50" i="5"/>
  <c r="R50" i="5"/>
  <c r="O50" i="5"/>
  <c r="N50" i="5"/>
  <c r="L50" i="5"/>
  <c r="H50" i="5"/>
  <c r="I50" i="5" s="1"/>
  <c r="F50" i="5"/>
  <c r="C50" i="5"/>
  <c r="AD49" i="5"/>
  <c r="AC49" i="5"/>
  <c r="AA49" i="5"/>
  <c r="W49" i="5"/>
  <c r="X49" i="5" s="1"/>
  <c r="U49" i="5"/>
  <c r="R49" i="5"/>
  <c r="N49" i="5"/>
  <c r="O49" i="5" s="1"/>
  <c r="L49" i="5"/>
  <c r="H49" i="5"/>
  <c r="I49" i="5" s="1"/>
  <c r="F49" i="5"/>
  <c r="C49" i="5"/>
  <c r="AD48" i="5"/>
  <c r="AC48" i="5"/>
  <c r="AA48" i="5"/>
  <c r="X48" i="5"/>
  <c r="W48" i="5"/>
  <c r="U48" i="5"/>
  <c r="R48" i="5"/>
  <c r="O48" i="5"/>
  <c r="N48" i="5"/>
  <c r="L48" i="5"/>
  <c r="I48" i="5"/>
  <c r="H48" i="5"/>
  <c r="F48" i="5"/>
  <c r="C48" i="5"/>
  <c r="AC47" i="5"/>
  <c r="AD47" i="5" s="1"/>
  <c r="AA47" i="5"/>
  <c r="W47" i="5"/>
  <c r="X47" i="5" s="1"/>
  <c r="U47" i="5"/>
  <c r="R47" i="5"/>
  <c r="N47" i="5"/>
  <c r="O47" i="5" s="1"/>
  <c r="L47" i="5"/>
  <c r="I47" i="5"/>
  <c r="H47" i="5"/>
  <c r="F47" i="5"/>
  <c r="C47" i="5"/>
  <c r="AC46" i="5"/>
  <c r="AD46" i="5" s="1"/>
  <c r="AA46" i="5"/>
  <c r="X46" i="5"/>
  <c r="W46" i="5"/>
  <c r="U46" i="5"/>
  <c r="R46" i="5"/>
  <c r="O46" i="5"/>
  <c r="N46" i="5"/>
  <c r="L46" i="5"/>
  <c r="H46" i="5"/>
  <c r="I46" i="5" s="1"/>
  <c r="F46" i="5"/>
  <c r="C46" i="5"/>
  <c r="AD44" i="5"/>
  <c r="AC44" i="5"/>
  <c r="AA44" i="5"/>
  <c r="W44" i="5"/>
  <c r="X44" i="5" s="1"/>
  <c r="U44" i="5"/>
  <c r="R44" i="5"/>
  <c r="N44" i="5"/>
  <c r="O44" i="5" s="1"/>
  <c r="L44" i="5"/>
  <c r="H44" i="5"/>
  <c r="I44" i="5" s="1"/>
  <c r="F44" i="5"/>
  <c r="C44" i="5"/>
  <c r="AD43" i="5"/>
  <c r="AC43" i="5"/>
  <c r="AA43" i="5"/>
  <c r="X43" i="5"/>
  <c r="W43" i="5"/>
  <c r="U43" i="5"/>
  <c r="R43" i="5"/>
  <c r="N43" i="5"/>
  <c r="O43" i="5" s="1"/>
  <c r="L43" i="5"/>
  <c r="I43" i="5"/>
  <c r="H43" i="5"/>
  <c r="F43" i="5"/>
  <c r="C43" i="5"/>
  <c r="AD42" i="5"/>
  <c r="AC42" i="5"/>
  <c r="AA42" i="5"/>
  <c r="W42" i="5"/>
  <c r="X42" i="5" s="1"/>
  <c r="U42" i="5"/>
  <c r="R42" i="5"/>
  <c r="N42" i="5"/>
  <c r="O42" i="5" s="1"/>
  <c r="L42" i="5"/>
  <c r="I42" i="5"/>
  <c r="H42" i="5"/>
  <c r="F42" i="5"/>
  <c r="C42" i="5"/>
  <c r="AA40" i="5"/>
  <c r="Z40" i="5"/>
  <c r="X40" i="5"/>
  <c r="U40" i="5"/>
  <c r="T40" i="5"/>
  <c r="W40" i="5" s="1"/>
  <c r="Q40" i="5"/>
  <c r="R40" i="5" s="1"/>
  <c r="O40" i="5"/>
  <c r="N40" i="5"/>
  <c r="L40" i="5"/>
  <c r="K40" i="5"/>
  <c r="I40" i="5"/>
  <c r="E40" i="5"/>
  <c r="F40" i="5" s="1"/>
  <c r="C40" i="5"/>
  <c r="B40" i="5"/>
  <c r="H40" i="5" s="1"/>
  <c r="AD39" i="5"/>
  <c r="AC39" i="5"/>
  <c r="AA39" i="5"/>
  <c r="X39" i="5"/>
  <c r="W39" i="5"/>
  <c r="U39" i="5"/>
  <c r="R39" i="5"/>
  <c r="N39" i="5"/>
  <c r="O39" i="5" s="1"/>
  <c r="L39" i="5"/>
  <c r="I39" i="5"/>
  <c r="H39" i="5"/>
  <c r="F39" i="5"/>
  <c r="C39" i="5"/>
  <c r="AD38" i="5"/>
  <c r="AC38" i="5"/>
  <c r="AA38" i="5"/>
  <c r="W38" i="5"/>
  <c r="X38" i="5" s="1"/>
  <c r="U38" i="5"/>
  <c r="R38" i="5"/>
  <c r="N38" i="5"/>
  <c r="O38" i="5" s="1"/>
  <c r="L38" i="5"/>
  <c r="I38" i="5"/>
  <c r="H38" i="5"/>
  <c r="F38" i="5"/>
  <c r="C38" i="5"/>
  <c r="AC37" i="5"/>
  <c r="AD37" i="5" s="1"/>
  <c r="AA37" i="5"/>
  <c r="X37" i="5"/>
  <c r="W37" i="5"/>
  <c r="U37" i="5"/>
  <c r="R37" i="5"/>
  <c r="O37" i="5"/>
  <c r="N37" i="5"/>
  <c r="L37" i="5"/>
  <c r="H37" i="5"/>
  <c r="I37" i="5" s="1"/>
  <c r="F37" i="5"/>
  <c r="C37" i="5"/>
  <c r="AD36" i="5"/>
  <c r="AC36" i="5"/>
  <c r="AA36" i="5"/>
  <c r="W36" i="5"/>
  <c r="X36" i="5" s="1"/>
  <c r="U36" i="5"/>
  <c r="R36" i="5"/>
  <c r="N36" i="5"/>
  <c r="O36" i="5" s="1"/>
  <c r="L36" i="5"/>
  <c r="H36" i="5"/>
  <c r="I36" i="5" s="1"/>
  <c r="F36" i="5"/>
  <c r="C36" i="5"/>
  <c r="AD35" i="5"/>
  <c r="AC35" i="5"/>
  <c r="AA35" i="5"/>
  <c r="X35" i="5"/>
  <c r="W35" i="5"/>
  <c r="U35" i="5"/>
  <c r="R35" i="5"/>
  <c r="N35" i="5"/>
  <c r="O35" i="5" s="1"/>
  <c r="L35" i="5"/>
  <c r="I35" i="5"/>
  <c r="H35" i="5"/>
  <c r="F35" i="5"/>
  <c r="C35" i="5"/>
  <c r="AD34" i="5"/>
  <c r="AC34" i="5"/>
  <c r="AA34" i="5"/>
  <c r="W34" i="5"/>
  <c r="X34" i="5" s="1"/>
  <c r="U34" i="5"/>
  <c r="R34" i="5"/>
  <c r="N34" i="5"/>
  <c r="O34" i="5" s="1"/>
  <c r="L34" i="5"/>
  <c r="I34" i="5"/>
  <c r="H34" i="5"/>
  <c r="F34" i="5"/>
  <c r="C34" i="5"/>
  <c r="AC33" i="5"/>
  <c r="AD33" i="5" s="1"/>
  <c r="AA33" i="5"/>
  <c r="X33" i="5"/>
  <c r="W33" i="5"/>
  <c r="U33" i="5"/>
  <c r="R33" i="5"/>
  <c r="O33" i="5"/>
  <c r="N33" i="5"/>
  <c r="L33" i="5"/>
  <c r="I33" i="5"/>
  <c r="H33" i="5"/>
  <c r="F33" i="5"/>
  <c r="C33" i="5"/>
  <c r="AD32" i="5"/>
  <c r="AC32" i="5"/>
  <c r="AA32" i="5"/>
  <c r="W32" i="5"/>
  <c r="X32" i="5" s="1"/>
  <c r="U32" i="5"/>
  <c r="R32" i="5"/>
  <c r="N32" i="5"/>
  <c r="O32" i="5" s="1"/>
  <c r="L32" i="5"/>
  <c r="H32" i="5"/>
  <c r="I32" i="5" s="1"/>
  <c r="F32" i="5"/>
  <c r="C32" i="5"/>
  <c r="AD31" i="5"/>
  <c r="AC31" i="5"/>
  <c r="AA31" i="5"/>
  <c r="X31" i="5"/>
  <c r="W31" i="5"/>
  <c r="U31" i="5"/>
  <c r="R31" i="5"/>
  <c r="N31" i="5"/>
  <c r="O31" i="5" s="1"/>
  <c r="L31" i="5"/>
  <c r="I31" i="5"/>
  <c r="H31" i="5"/>
  <c r="F31" i="5"/>
  <c r="C31" i="5"/>
  <c r="AA29" i="5"/>
  <c r="Z29" i="5"/>
  <c r="T29" i="5"/>
  <c r="U29" i="5" s="1"/>
  <c r="R29" i="5"/>
  <c r="Q29" i="5"/>
  <c r="W29" i="5" s="1"/>
  <c r="X29" i="5" s="1"/>
  <c r="L29" i="5"/>
  <c r="K29" i="5"/>
  <c r="F29" i="5"/>
  <c r="E29" i="5"/>
  <c r="C29" i="5"/>
  <c r="B29" i="5"/>
  <c r="H29" i="5" s="1"/>
  <c r="I29" i="5" s="1"/>
  <c r="AD28" i="5"/>
  <c r="AC28" i="5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D27" i="5"/>
  <c r="AC27" i="5"/>
  <c r="AA27" i="5"/>
  <c r="X27" i="5"/>
  <c r="W27" i="5"/>
  <c r="U27" i="5"/>
  <c r="R27" i="5"/>
  <c r="N27" i="5"/>
  <c r="O27" i="5" s="1"/>
  <c r="L27" i="5"/>
  <c r="I27" i="5"/>
  <c r="H27" i="5"/>
  <c r="F27" i="5"/>
  <c r="C27" i="5"/>
  <c r="AD26" i="5"/>
  <c r="AC26" i="5"/>
  <c r="AA26" i="5"/>
  <c r="W26" i="5"/>
  <c r="X26" i="5" s="1"/>
  <c r="U26" i="5"/>
  <c r="R26" i="5"/>
  <c r="N26" i="5"/>
  <c r="O26" i="5" s="1"/>
  <c r="L26" i="5"/>
  <c r="I26" i="5"/>
  <c r="H26" i="5"/>
  <c r="F26" i="5"/>
  <c r="C26" i="5"/>
  <c r="AC25" i="5"/>
  <c r="AD25" i="5" s="1"/>
  <c r="AA25" i="5"/>
  <c r="X25" i="5"/>
  <c r="W25" i="5"/>
  <c r="U25" i="5"/>
  <c r="R25" i="5"/>
  <c r="O25" i="5"/>
  <c r="N25" i="5"/>
  <c r="L25" i="5"/>
  <c r="H25" i="5"/>
  <c r="I25" i="5" s="1"/>
  <c r="F25" i="5"/>
  <c r="C25" i="5"/>
  <c r="AD24" i="5"/>
  <c r="AC24" i="5"/>
  <c r="AA24" i="5"/>
  <c r="W24" i="5"/>
  <c r="X24" i="5" s="1"/>
  <c r="U24" i="5"/>
  <c r="R24" i="5"/>
  <c r="N24" i="5"/>
  <c r="O24" i="5" s="1"/>
  <c r="L24" i="5"/>
  <c r="H24" i="5"/>
  <c r="I24" i="5" s="1"/>
  <c r="F24" i="5"/>
  <c r="C24" i="5"/>
  <c r="AD23" i="5"/>
  <c r="AC23" i="5"/>
  <c r="AA23" i="5"/>
  <c r="X23" i="5"/>
  <c r="W23" i="5"/>
  <c r="U23" i="5"/>
  <c r="R23" i="5"/>
  <c r="O23" i="5"/>
  <c r="N23" i="5"/>
  <c r="L23" i="5"/>
  <c r="I23" i="5"/>
  <c r="H23" i="5"/>
  <c r="F23" i="5"/>
  <c r="C23" i="5"/>
  <c r="AD22" i="5"/>
  <c r="AC22" i="5"/>
  <c r="AA22" i="5"/>
  <c r="W22" i="5"/>
  <c r="X22" i="5" s="1"/>
  <c r="U22" i="5"/>
  <c r="R22" i="5"/>
  <c r="N22" i="5"/>
  <c r="O22" i="5" s="1"/>
  <c r="L22" i="5"/>
  <c r="I22" i="5"/>
  <c r="H22" i="5"/>
  <c r="F22" i="5"/>
  <c r="C22" i="5"/>
  <c r="AC21" i="5"/>
  <c r="AD21" i="5" s="1"/>
  <c r="AA21" i="5"/>
  <c r="X21" i="5"/>
  <c r="W21" i="5"/>
  <c r="U21" i="5"/>
  <c r="R21" i="5"/>
  <c r="O21" i="5"/>
  <c r="N21" i="5"/>
  <c r="L21" i="5"/>
  <c r="H21" i="5"/>
  <c r="I21" i="5" s="1"/>
  <c r="F21" i="5"/>
  <c r="C21" i="5"/>
  <c r="AD19" i="5"/>
  <c r="AC19" i="5"/>
  <c r="AA19" i="5"/>
  <c r="W19" i="5"/>
  <c r="X19" i="5" s="1"/>
  <c r="U19" i="5"/>
  <c r="R19" i="5"/>
  <c r="N19" i="5"/>
  <c r="O19" i="5" s="1"/>
  <c r="L19" i="5"/>
  <c r="H19" i="5"/>
  <c r="I19" i="5" s="1"/>
  <c r="F19" i="5"/>
  <c r="C19" i="5"/>
  <c r="AA18" i="5"/>
  <c r="Z18" i="5"/>
  <c r="T18" i="5"/>
  <c r="U18" i="5" s="1"/>
  <c r="R18" i="5"/>
  <c r="Q18" i="5"/>
  <c r="K18" i="5"/>
  <c r="L18" i="5" s="1"/>
  <c r="H18" i="5"/>
  <c r="I18" i="5" s="1"/>
  <c r="F18" i="5"/>
  <c r="E18" i="5"/>
  <c r="C18" i="5"/>
  <c r="B18" i="5"/>
  <c r="N18" i="5" s="1"/>
  <c r="O18" i="5" s="1"/>
  <c r="AC17" i="5"/>
  <c r="AD17" i="5" s="1"/>
  <c r="AA17" i="5"/>
  <c r="W17" i="5"/>
  <c r="X17" i="5" s="1"/>
  <c r="U17" i="5"/>
  <c r="R17" i="5"/>
  <c r="O17" i="5"/>
  <c r="N17" i="5"/>
  <c r="L17" i="5"/>
  <c r="I17" i="5"/>
  <c r="H17" i="5"/>
  <c r="F17" i="5"/>
  <c r="C17" i="5"/>
  <c r="AD16" i="5"/>
  <c r="AC16" i="5"/>
  <c r="AA16" i="5"/>
  <c r="W16" i="5"/>
  <c r="X16" i="5" s="1"/>
  <c r="U16" i="5"/>
  <c r="R16" i="5"/>
  <c r="N16" i="5"/>
  <c r="O16" i="5" s="1"/>
  <c r="L16" i="5"/>
  <c r="H16" i="5"/>
  <c r="I16" i="5" s="1"/>
  <c r="F16" i="5"/>
  <c r="C16" i="5"/>
  <c r="AD15" i="5"/>
  <c r="AC15" i="5"/>
  <c r="AA15" i="5"/>
  <c r="X15" i="5"/>
  <c r="W15" i="5"/>
  <c r="U15" i="5"/>
  <c r="R15" i="5"/>
  <c r="O15" i="5"/>
  <c r="N15" i="5"/>
  <c r="L15" i="5"/>
  <c r="I15" i="5"/>
  <c r="H15" i="5"/>
  <c r="F15" i="5"/>
  <c r="C15" i="5"/>
  <c r="AD14" i="5"/>
  <c r="AC14" i="5"/>
  <c r="AA14" i="5"/>
  <c r="W14" i="5"/>
  <c r="X14" i="5" s="1"/>
  <c r="U14" i="5"/>
  <c r="R14" i="5"/>
  <c r="N14" i="5"/>
  <c r="O14" i="5" s="1"/>
  <c r="L14" i="5"/>
  <c r="I14" i="5"/>
  <c r="H14" i="5"/>
  <c r="F14" i="5"/>
  <c r="C14" i="5"/>
  <c r="AC13" i="5"/>
  <c r="AD13" i="5" s="1"/>
  <c r="AA13" i="5"/>
  <c r="W13" i="5"/>
  <c r="X13" i="5" s="1"/>
  <c r="U13" i="5"/>
  <c r="R13" i="5"/>
  <c r="O13" i="5"/>
  <c r="N13" i="5"/>
  <c r="L13" i="5"/>
  <c r="I13" i="5"/>
  <c r="H13" i="5"/>
  <c r="F13" i="5"/>
  <c r="C13" i="5"/>
  <c r="AD12" i="5"/>
  <c r="AC12" i="5"/>
  <c r="AA12" i="5"/>
  <c r="W12" i="5"/>
  <c r="X12" i="5" s="1"/>
  <c r="U12" i="5"/>
  <c r="R12" i="5"/>
  <c r="N12" i="5"/>
  <c r="O12" i="5" s="1"/>
  <c r="L12" i="5"/>
  <c r="H12" i="5"/>
  <c r="I12" i="5" s="1"/>
  <c r="F12" i="5"/>
  <c r="C12" i="5"/>
  <c r="AD11" i="5"/>
  <c r="AC11" i="5"/>
  <c r="AA11" i="5"/>
  <c r="X11" i="5"/>
  <c r="W11" i="5"/>
  <c r="U11" i="5"/>
  <c r="R11" i="5"/>
  <c r="N11" i="5"/>
  <c r="O11" i="5" s="1"/>
  <c r="L11" i="5"/>
  <c r="I11" i="5"/>
  <c r="H11" i="5"/>
  <c r="F11" i="5"/>
  <c r="C11" i="5"/>
  <c r="AC10" i="5"/>
  <c r="AD10" i="5" s="1"/>
  <c r="AA10" i="5"/>
  <c r="W10" i="5"/>
  <c r="X10" i="5" s="1"/>
  <c r="U10" i="5"/>
  <c r="R10" i="5"/>
  <c r="N10" i="5"/>
  <c r="O10" i="5" s="1"/>
  <c r="L10" i="5"/>
  <c r="I10" i="5"/>
  <c r="H10" i="5"/>
  <c r="F10" i="5"/>
  <c r="C10" i="5"/>
  <c r="AC8" i="5"/>
  <c r="AD8" i="5" s="1"/>
  <c r="AA8" i="5"/>
  <c r="X8" i="5"/>
  <c r="W8" i="5"/>
  <c r="U8" i="5"/>
  <c r="R8" i="5"/>
  <c r="O8" i="5"/>
  <c r="N8" i="5"/>
  <c r="L8" i="5"/>
  <c r="I8" i="5"/>
  <c r="H8" i="5"/>
  <c r="F8" i="5"/>
  <c r="C8" i="5"/>
  <c r="AC444" i="4"/>
  <c r="AD438" i="4" s="1"/>
  <c r="W444" i="4"/>
  <c r="N444" i="4"/>
  <c r="H444" i="4"/>
  <c r="Z442" i="4"/>
  <c r="AA442" i="4" s="1"/>
  <c r="W442" i="4"/>
  <c r="X442" i="4" s="1"/>
  <c r="U442" i="4"/>
  <c r="T442" i="4"/>
  <c r="R442" i="4"/>
  <c r="Q442" i="4"/>
  <c r="AC442" i="4" s="1"/>
  <c r="AD442" i="4" s="1"/>
  <c r="K442" i="4"/>
  <c r="L442" i="4" s="1"/>
  <c r="I442" i="4"/>
  <c r="F442" i="4"/>
  <c r="E442" i="4"/>
  <c r="H442" i="4" s="1"/>
  <c r="B442" i="4"/>
  <c r="C442" i="4" s="1"/>
  <c r="AA441" i="4"/>
  <c r="Z441" i="4"/>
  <c r="T441" i="4"/>
  <c r="U441" i="4" s="1"/>
  <c r="Q441" i="4"/>
  <c r="L441" i="4"/>
  <c r="K441" i="4"/>
  <c r="E441" i="4"/>
  <c r="F441" i="4" s="1"/>
  <c r="C441" i="4"/>
  <c r="B441" i="4"/>
  <c r="AD440" i="4"/>
  <c r="AC440" i="4"/>
  <c r="AA440" i="4"/>
  <c r="W440" i="4"/>
  <c r="X440" i="4" s="1"/>
  <c r="U440" i="4"/>
  <c r="R440" i="4"/>
  <c r="N440" i="4"/>
  <c r="O440" i="4" s="1"/>
  <c r="L440" i="4"/>
  <c r="H440" i="4"/>
  <c r="I440" i="4" s="1"/>
  <c r="F440" i="4"/>
  <c r="C440" i="4"/>
  <c r="AC439" i="4"/>
  <c r="AA439" i="4"/>
  <c r="X439" i="4"/>
  <c r="W439" i="4"/>
  <c r="U439" i="4"/>
  <c r="R439" i="4"/>
  <c r="O439" i="4"/>
  <c r="N439" i="4"/>
  <c r="L439" i="4"/>
  <c r="I439" i="4"/>
  <c r="H439" i="4"/>
  <c r="F439" i="4"/>
  <c r="C439" i="4"/>
  <c r="AC438" i="4"/>
  <c r="AA438" i="4"/>
  <c r="W438" i="4"/>
  <c r="X438" i="4" s="1"/>
  <c r="U438" i="4"/>
  <c r="R438" i="4"/>
  <c r="N438" i="4"/>
  <c r="O438" i="4" s="1"/>
  <c r="L438" i="4"/>
  <c r="I438" i="4"/>
  <c r="H438" i="4"/>
  <c r="F438" i="4"/>
  <c r="C438" i="4"/>
  <c r="AC437" i="4"/>
  <c r="AD437" i="4" s="1"/>
  <c r="AA437" i="4"/>
  <c r="W437" i="4"/>
  <c r="X437" i="4" s="1"/>
  <c r="U437" i="4"/>
  <c r="R437" i="4"/>
  <c r="O437" i="4"/>
  <c r="N437" i="4"/>
  <c r="L437" i="4"/>
  <c r="I437" i="4"/>
  <c r="H437" i="4"/>
  <c r="F437" i="4"/>
  <c r="C437" i="4"/>
  <c r="AC436" i="4"/>
  <c r="AA436" i="4"/>
  <c r="W436" i="4"/>
  <c r="X436" i="4" s="1"/>
  <c r="U436" i="4"/>
  <c r="R436" i="4"/>
  <c r="N436" i="4"/>
  <c r="O436" i="4" s="1"/>
  <c r="L436" i="4"/>
  <c r="H436" i="4"/>
  <c r="I436" i="4" s="1"/>
  <c r="F436" i="4"/>
  <c r="C436" i="4"/>
  <c r="AD435" i="4"/>
  <c r="AC435" i="4"/>
  <c r="AA435" i="4"/>
  <c r="X435" i="4"/>
  <c r="W435" i="4"/>
  <c r="U435" i="4"/>
  <c r="R435" i="4"/>
  <c r="N435" i="4"/>
  <c r="O435" i="4" s="1"/>
  <c r="L435" i="4"/>
  <c r="I435" i="4"/>
  <c r="H435" i="4"/>
  <c r="F435" i="4"/>
  <c r="C435" i="4"/>
  <c r="AC434" i="4"/>
  <c r="AD434" i="4" s="1"/>
  <c r="AA434" i="4"/>
  <c r="W434" i="4"/>
  <c r="X434" i="4" s="1"/>
  <c r="U434" i="4"/>
  <c r="R434" i="4"/>
  <c r="N434" i="4"/>
  <c r="O434" i="4" s="1"/>
  <c r="L434" i="4"/>
  <c r="I434" i="4"/>
  <c r="H434" i="4"/>
  <c r="F434" i="4"/>
  <c r="C434" i="4"/>
  <c r="AC433" i="4"/>
  <c r="AA433" i="4"/>
  <c r="X433" i="4"/>
  <c r="W433" i="4"/>
  <c r="U433" i="4"/>
  <c r="R433" i="4"/>
  <c r="O433" i="4"/>
  <c r="N433" i="4"/>
  <c r="L433" i="4"/>
  <c r="I433" i="4"/>
  <c r="H433" i="4"/>
  <c r="F433" i="4"/>
  <c r="C433" i="4"/>
  <c r="AD432" i="4"/>
  <c r="AC432" i="4"/>
  <c r="AA432" i="4"/>
  <c r="W432" i="4"/>
  <c r="X432" i="4" s="1"/>
  <c r="U432" i="4"/>
  <c r="R432" i="4"/>
  <c r="N432" i="4"/>
  <c r="O432" i="4" s="1"/>
  <c r="L432" i="4"/>
  <c r="H432" i="4"/>
  <c r="I432" i="4" s="1"/>
  <c r="F432" i="4"/>
  <c r="C432" i="4"/>
  <c r="AA429" i="4"/>
  <c r="Z429" i="4"/>
  <c r="U429" i="4"/>
  <c r="T429" i="4"/>
  <c r="R429" i="4"/>
  <c r="Q429" i="4"/>
  <c r="W429" i="4" s="1"/>
  <c r="X429" i="4" s="1"/>
  <c r="K429" i="4"/>
  <c r="L429" i="4" s="1"/>
  <c r="I429" i="4"/>
  <c r="H429" i="4"/>
  <c r="F429" i="4"/>
  <c r="E429" i="4"/>
  <c r="C429" i="4"/>
  <c r="B429" i="4"/>
  <c r="N429" i="4" s="1"/>
  <c r="O429" i="4" s="1"/>
  <c r="AA428" i="4"/>
  <c r="Z428" i="4"/>
  <c r="X428" i="4"/>
  <c r="U428" i="4"/>
  <c r="T428" i="4"/>
  <c r="W428" i="4" s="1"/>
  <c r="Q428" i="4"/>
  <c r="R428" i="4" s="1"/>
  <c r="N428" i="4"/>
  <c r="O428" i="4" s="1"/>
  <c r="L428" i="4"/>
  <c r="K428" i="4"/>
  <c r="I428" i="4"/>
  <c r="E428" i="4"/>
  <c r="F428" i="4" s="1"/>
  <c r="C428" i="4"/>
  <c r="B428" i="4"/>
  <c r="H428" i="4" s="1"/>
  <c r="AD427" i="4"/>
  <c r="AC427" i="4"/>
  <c r="AA427" i="4"/>
  <c r="X427" i="4"/>
  <c r="W427" i="4"/>
  <c r="U427" i="4"/>
  <c r="R427" i="4"/>
  <c r="N427" i="4"/>
  <c r="O427" i="4" s="1"/>
  <c r="L427" i="4"/>
  <c r="I427" i="4"/>
  <c r="H427" i="4"/>
  <c r="F427" i="4"/>
  <c r="C427" i="4"/>
  <c r="AC426" i="4"/>
  <c r="AA426" i="4"/>
  <c r="W426" i="4"/>
  <c r="X426" i="4" s="1"/>
  <c r="U426" i="4"/>
  <c r="R426" i="4"/>
  <c r="N426" i="4"/>
  <c r="O426" i="4" s="1"/>
  <c r="L426" i="4"/>
  <c r="I426" i="4"/>
  <c r="H426" i="4"/>
  <c r="F426" i="4"/>
  <c r="C426" i="4"/>
  <c r="AC425" i="4"/>
  <c r="AD425" i="4" s="1"/>
  <c r="AA425" i="4"/>
  <c r="X425" i="4"/>
  <c r="W425" i="4"/>
  <c r="U425" i="4"/>
  <c r="R425" i="4"/>
  <c r="O425" i="4"/>
  <c r="N425" i="4"/>
  <c r="L425" i="4"/>
  <c r="H425" i="4"/>
  <c r="I425" i="4" s="1"/>
  <c r="F425" i="4"/>
  <c r="C425" i="4"/>
  <c r="AC424" i="4"/>
  <c r="AA424" i="4"/>
  <c r="W424" i="4"/>
  <c r="X424" i="4" s="1"/>
  <c r="U424" i="4"/>
  <c r="R424" i="4"/>
  <c r="N424" i="4"/>
  <c r="O424" i="4" s="1"/>
  <c r="L424" i="4"/>
  <c r="H424" i="4"/>
  <c r="I424" i="4" s="1"/>
  <c r="F424" i="4"/>
  <c r="C424" i="4"/>
  <c r="AD423" i="4"/>
  <c r="AC423" i="4"/>
  <c r="AA423" i="4"/>
  <c r="X423" i="4"/>
  <c r="W423" i="4"/>
  <c r="U423" i="4"/>
  <c r="R423" i="4"/>
  <c r="N423" i="4"/>
  <c r="O423" i="4" s="1"/>
  <c r="L423" i="4"/>
  <c r="I423" i="4"/>
  <c r="H423" i="4"/>
  <c r="F423" i="4"/>
  <c r="C423" i="4"/>
  <c r="AC422" i="4"/>
  <c r="AD422" i="4" s="1"/>
  <c r="AA422" i="4"/>
  <c r="W422" i="4"/>
  <c r="X422" i="4" s="1"/>
  <c r="U422" i="4"/>
  <c r="R422" i="4"/>
  <c r="N422" i="4"/>
  <c r="O422" i="4" s="1"/>
  <c r="L422" i="4"/>
  <c r="I422" i="4"/>
  <c r="H422" i="4"/>
  <c r="F422" i="4"/>
  <c r="C422" i="4"/>
  <c r="AC421" i="4"/>
  <c r="AD421" i="4" s="1"/>
  <c r="AA421" i="4"/>
  <c r="X421" i="4"/>
  <c r="W421" i="4"/>
  <c r="U421" i="4"/>
  <c r="R421" i="4"/>
  <c r="O421" i="4"/>
  <c r="N421" i="4"/>
  <c r="L421" i="4"/>
  <c r="H421" i="4"/>
  <c r="I421" i="4" s="1"/>
  <c r="F421" i="4"/>
  <c r="C421" i="4"/>
  <c r="AD420" i="4"/>
  <c r="AC420" i="4"/>
  <c r="AA420" i="4"/>
  <c r="W420" i="4"/>
  <c r="X420" i="4" s="1"/>
  <c r="U420" i="4"/>
  <c r="R420" i="4"/>
  <c r="N420" i="4"/>
  <c r="O420" i="4" s="1"/>
  <c r="L420" i="4"/>
  <c r="H420" i="4"/>
  <c r="I420" i="4" s="1"/>
  <c r="F420" i="4"/>
  <c r="C420" i="4"/>
  <c r="AD419" i="4"/>
  <c r="AC419" i="4"/>
  <c r="AA419" i="4"/>
  <c r="X419" i="4"/>
  <c r="W419" i="4"/>
  <c r="U419" i="4"/>
  <c r="R419" i="4"/>
  <c r="N419" i="4"/>
  <c r="O419" i="4" s="1"/>
  <c r="L419" i="4"/>
  <c r="I419" i="4"/>
  <c r="H419" i="4"/>
  <c r="F419" i="4"/>
  <c r="C419" i="4"/>
  <c r="AD418" i="4"/>
  <c r="AC418" i="4"/>
  <c r="AA418" i="4"/>
  <c r="W418" i="4"/>
  <c r="X418" i="4" s="1"/>
  <c r="U418" i="4"/>
  <c r="R418" i="4"/>
  <c r="N418" i="4"/>
  <c r="O418" i="4" s="1"/>
  <c r="L418" i="4"/>
  <c r="I418" i="4"/>
  <c r="H418" i="4"/>
  <c r="F418" i="4"/>
  <c r="C418" i="4"/>
  <c r="AC417" i="4"/>
  <c r="AA417" i="4"/>
  <c r="W417" i="4"/>
  <c r="X417" i="4" s="1"/>
  <c r="U417" i="4"/>
  <c r="R417" i="4"/>
  <c r="O417" i="4"/>
  <c r="N417" i="4"/>
  <c r="L417" i="4"/>
  <c r="H417" i="4"/>
  <c r="I417" i="4" s="1"/>
  <c r="F417" i="4"/>
  <c r="C417" i="4"/>
  <c r="AC416" i="4"/>
  <c r="AA416" i="4"/>
  <c r="W416" i="4"/>
  <c r="X416" i="4" s="1"/>
  <c r="U416" i="4"/>
  <c r="R416" i="4"/>
  <c r="N416" i="4"/>
  <c r="O416" i="4" s="1"/>
  <c r="L416" i="4"/>
  <c r="H416" i="4"/>
  <c r="I416" i="4" s="1"/>
  <c r="F416" i="4"/>
  <c r="C416" i="4"/>
  <c r="AC415" i="4"/>
  <c r="AA415" i="4"/>
  <c r="X415" i="4"/>
  <c r="W415" i="4"/>
  <c r="U415" i="4"/>
  <c r="R415" i="4"/>
  <c r="N415" i="4"/>
  <c r="O415" i="4" s="1"/>
  <c r="L415" i="4"/>
  <c r="I415" i="4"/>
  <c r="H415" i="4"/>
  <c r="F415" i="4"/>
  <c r="C415" i="4"/>
  <c r="AD414" i="4"/>
  <c r="AC414" i="4"/>
  <c r="AA414" i="4"/>
  <c r="W414" i="4"/>
  <c r="X414" i="4" s="1"/>
  <c r="U414" i="4"/>
  <c r="R414" i="4"/>
  <c r="N414" i="4"/>
  <c r="O414" i="4" s="1"/>
  <c r="L414" i="4"/>
  <c r="I414" i="4"/>
  <c r="H414" i="4"/>
  <c r="F414" i="4"/>
  <c r="C414" i="4"/>
  <c r="AC413" i="4"/>
  <c r="AD413" i="4" s="1"/>
  <c r="AA413" i="4"/>
  <c r="X413" i="4"/>
  <c r="W413" i="4"/>
  <c r="U413" i="4"/>
  <c r="R413" i="4"/>
  <c r="O413" i="4"/>
  <c r="N413" i="4"/>
  <c r="L413" i="4"/>
  <c r="H413" i="4"/>
  <c r="I413" i="4" s="1"/>
  <c r="F413" i="4"/>
  <c r="C413" i="4"/>
  <c r="AC412" i="4"/>
  <c r="AA412" i="4"/>
  <c r="W412" i="4"/>
  <c r="X412" i="4" s="1"/>
  <c r="U412" i="4"/>
  <c r="R412" i="4"/>
  <c r="N412" i="4"/>
  <c r="O412" i="4" s="1"/>
  <c r="L412" i="4"/>
  <c r="H412" i="4"/>
  <c r="I412" i="4" s="1"/>
  <c r="F412" i="4"/>
  <c r="C412" i="4"/>
  <c r="AD411" i="4"/>
  <c r="AC411" i="4"/>
  <c r="AA411" i="4"/>
  <c r="X411" i="4"/>
  <c r="W411" i="4"/>
  <c r="U411" i="4"/>
  <c r="R411" i="4"/>
  <c r="N411" i="4"/>
  <c r="O411" i="4" s="1"/>
  <c r="L411" i="4"/>
  <c r="I411" i="4"/>
  <c r="H411" i="4"/>
  <c r="F411" i="4"/>
  <c r="C411" i="4"/>
  <c r="AC410" i="4"/>
  <c r="AA410" i="4"/>
  <c r="W410" i="4"/>
  <c r="X410" i="4" s="1"/>
  <c r="U410" i="4"/>
  <c r="R410" i="4"/>
  <c r="N410" i="4"/>
  <c r="O410" i="4" s="1"/>
  <c r="L410" i="4"/>
  <c r="I410" i="4"/>
  <c r="H410" i="4"/>
  <c r="F410" i="4"/>
  <c r="C410" i="4"/>
  <c r="AC409" i="4"/>
  <c r="AD409" i="4" s="1"/>
  <c r="AA409" i="4"/>
  <c r="X409" i="4"/>
  <c r="W409" i="4"/>
  <c r="U409" i="4"/>
  <c r="R409" i="4"/>
  <c r="O409" i="4"/>
  <c r="N409" i="4"/>
  <c r="L409" i="4"/>
  <c r="H409" i="4"/>
  <c r="I409" i="4" s="1"/>
  <c r="F409" i="4"/>
  <c r="C409" i="4"/>
  <c r="AC408" i="4"/>
  <c r="AA408" i="4"/>
  <c r="W408" i="4"/>
  <c r="X408" i="4" s="1"/>
  <c r="U408" i="4"/>
  <c r="R408" i="4"/>
  <c r="N408" i="4"/>
  <c r="O408" i="4" s="1"/>
  <c r="L408" i="4"/>
  <c r="H408" i="4"/>
  <c r="I408" i="4" s="1"/>
  <c r="F408" i="4"/>
  <c r="C408" i="4"/>
  <c r="AD407" i="4"/>
  <c r="AC407" i="4"/>
  <c r="AA407" i="4"/>
  <c r="X407" i="4"/>
  <c r="W407" i="4"/>
  <c r="U407" i="4"/>
  <c r="R407" i="4"/>
  <c r="N407" i="4"/>
  <c r="O407" i="4" s="1"/>
  <c r="L407" i="4"/>
  <c r="I407" i="4"/>
  <c r="H407" i="4"/>
  <c r="F407" i="4"/>
  <c r="C407" i="4"/>
  <c r="Z403" i="4"/>
  <c r="AA403" i="4" s="1"/>
  <c r="X403" i="4"/>
  <c r="W403" i="4"/>
  <c r="U403" i="4"/>
  <c r="T403" i="4"/>
  <c r="R403" i="4"/>
  <c r="Q403" i="4"/>
  <c r="AC403" i="4" s="1"/>
  <c r="AD403" i="4" s="1"/>
  <c r="K403" i="4"/>
  <c r="L403" i="4" s="1"/>
  <c r="I403" i="4"/>
  <c r="F403" i="4"/>
  <c r="E403" i="4"/>
  <c r="H403" i="4" s="1"/>
  <c r="B403" i="4"/>
  <c r="C403" i="4" s="1"/>
  <c r="AC402" i="4"/>
  <c r="AD402" i="4" s="1"/>
  <c r="AA402" i="4"/>
  <c r="W402" i="4"/>
  <c r="X402" i="4" s="1"/>
  <c r="U402" i="4"/>
  <c r="R402" i="4"/>
  <c r="N402" i="4"/>
  <c r="O402" i="4" s="1"/>
  <c r="L402" i="4"/>
  <c r="I402" i="4"/>
  <c r="H402" i="4"/>
  <c r="F402" i="4"/>
  <c r="C402" i="4"/>
  <c r="AC401" i="4"/>
  <c r="AA401" i="4"/>
  <c r="W401" i="4"/>
  <c r="X401" i="4" s="1"/>
  <c r="U401" i="4"/>
  <c r="R401" i="4"/>
  <c r="O401" i="4"/>
  <c r="N401" i="4"/>
  <c r="L401" i="4"/>
  <c r="I401" i="4"/>
  <c r="H401" i="4"/>
  <c r="F401" i="4"/>
  <c r="C401" i="4"/>
  <c r="AD400" i="4"/>
  <c r="AC400" i="4"/>
  <c r="AA400" i="4"/>
  <c r="W400" i="4"/>
  <c r="X400" i="4" s="1"/>
  <c r="U400" i="4"/>
  <c r="R400" i="4"/>
  <c r="N400" i="4"/>
  <c r="O400" i="4" s="1"/>
  <c r="L400" i="4"/>
  <c r="H400" i="4"/>
  <c r="I400" i="4" s="1"/>
  <c r="F400" i="4"/>
  <c r="C400" i="4"/>
  <c r="AC399" i="4"/>
  <c r="AA399" i="4"/>
  <c r="X399" i="4"/>
  <c r="W399" i="4"/>
  <c r="U399" i="4"/>
  <c r="R399" i="4"/>
  <c r="O399" i="4"/>
  <c r="N399" i="4"/>
  <c r="L399" i="4"/>
  <c r="I399" i="4"/>
  <c r="H399" i="4"/>
  <c r="F399" i="4"/>
  <c r="C399" i="4"/>
  <c r="AC398" i="4"/>
  <c r="AD398" i="4" s="1"/>
  <c r="AA398" i="4"/>
  <c r="W398" i="4"/>
  <c r="X398" i="4" s="1"/>
  <c r="U398" i="4"/>
  <c r="R398" i="4"/>
  <c r="N398" i="4"/>
  <c r="O398" i="4" s="1"/>
  <c r="L398" i="4"/>
  <c r="I398" i="4"/>
  <c r="H398" i="4"/>
  <c r="F398" i="4"/>
  <c r="C398" i="4"/>
  <c r="AC397" i="4"/>
  <c r="AA397" i="4"/>
  <c r="W397" i="4"/>
  <c r="X397" i="4" s="1"/>
  <c r="U397" i="4"/>
  <c r="R397" i="4"/>
  <c r="O397" i="4"/>
  <c r="N397" i="4"/>
  <c r="L397" i="4"/>
  <c r="I397" i="4"/>
  <c r="H397" i="4"/>
  <c r="F397" i="4"/>
  <c r="C397" i="4"/>
  <c r="AD396" i="4"/>
  <c r="Z396" i="4"/>
  <c r="AA396" i="4" s="1"/>
  <c r="X396" i="4"/>
  <c r="W396" i="4"/>
  <c r="U396" i="4"/>
  <c r="T396" i="4"/>
  <c r="R396" i="4"/>
  <c r="Q396" i="4"/>
  <c r="AC396" i="4" s="1"/>
  <c r="L396" i="4"/>
  <c r="K396" i="4"/>
  <c r="F396" i="4"/>
  <c r="E396" i="4"/>
  <c r="H396" i="4" s="1"/>
  <c r="I396" i="4" s="1"/>
  <c r="B396" i="4"/>
  <c r="C396" i="4" s="1"/>
  <c r="AD395" i="4"/>
  <c r="AC395" i="4"/>
  <c r="AA395" i="4"/>
  <c r="W395" i="4"/>
  <c r="X395" i="4" s="1"/>
  <c r="U395" i="4"/>
  <c r="R395" i="4"/>
  <c r="N395" i="4"/>
  <c r="O395" i="4" s="1"/>
  <c r="L395" i="4"/>
  <c r="I395" i="4"/>
  <c r="H395" i="4"/>
  <c r="F395" i="4"/>
  <c r="C395" i="4"/>
  <c r="AC394" i="4"/>
  <c r="AA394" i="4"/>
  <c r="X394" i="4"/>
  <c r="W394" i="4"/>
  <c r="U394" i="4"/>
  <c r="R394" i="4"/>
  <c r="O394" i="4"/>
  <c r="N394" i="4"/>
  <c r="L394" i="4"/>
  <c r="H394" i="4"/>
  <c r="I394" i="4" s="1"/>
  <c r="F394" i="4"/>
  <c r="C394" i="4"/>
  <c r="Z393" i="4"/>
  <c r="AA393" i="4" s="1"/>
  <c r="X393" i="4"/>
  <c r="W393" i="4"/>
  <c r="U393" i="4"/>
  <c r="T393" i="4"/>
  <c r="R393" i="4"/>
  <c r="Q393" i="4"/>
  <c r="AC393" i="4" s="1"/>
  <c r="AD393" i="4" s="1"/>
  <c r="K393" i="4"/>
  <c r="L393" i="4" s="1"/>
  <c r="I393" i="4"/>
  <c r="F393" i="4"/>
  <c r="E393" i="4"/>
  <c r="H393" i="4" s="1"/>
  <c r="B393" i="4"/>
  <c r="C393" i="4" s="1"/>
  <c r="AC392" i="4"/>
  <c r="AD392" i="4" s="1"/>
  <c r="AA392" i="4"/>
  <c r="W392" i="4"/>
  <c r="X392" i="4" s="1"/>
  <c r="U392" i="4"/>
  <c r="R392" i="4"/>
  <c r="N392" i="4"/>
  <c r="O392" i="4" s="1"/>
  <c r="L392" i="4"/>
  <c r="I392" i="4"/>
  <c r="H392" i="4"/>
  <c r="F392" i="4"/>
  <c r="C392" i="4"/>
  <c r="AC391" i="4"/>
  <c r="AA391" i="4"/>
  <c r="W391" i="4"/>
  <c r="X391" i="4" s="1"/>
  <c r="U391" i="4"/>
  <c r="R391" i="4"/>
  <c r="O391" i="4"/>
  <c r="N391" i="4"/>
  <c r="L391" i="4"/>
  <c r="I391" i="4"/>
  <c r="H391" i="4"/>
  <c r="F391" i="4"/>
  <c r="C391" i="4"/>
  <c r="AD390" i="4"/>
  <c r="AC390" i="4"/>
  <c r="AA390" i="4"/>
  <c r="W390" i="4"/>
  <c r="X390" i="4" s="1"/>
  <c r="U390" i="4"/>
  <c r="R390" i="4"/>
  <c r="N390" i="4"/>
  <c r="O390" i="4" s="1"/>
  <c r="L390" i="4"/>
  <c r="H390" i="4"/>
  <c r="I390" i="4" s="1"/>
  <c r="F390" i="4"/>
  <c r="C390" i="4"/>
  <c r="AC389" i="4"/>
  <c r="AA389" i="4"/>
  <c r="X389" i="4"/>
  <c r="W389" i="4"/>
  <c r="U389" i="4"/>
  <c r="R389" i="4"/>
  <c r="O389" i="4"/>
  <c r="N389" i="4"/>
  <c r="L389" i="4"/>
  <c r="I389" i="4"/>
  <c r="H389" i="4"/>
  <c r="F389" i="4"/>
  <c r="C389" i="4"/>
  <c r="AC388" i="4"/>
  <c r="AD388" i="4" s="1"/>
  <c r="AA388" i="4"/>
  <c r="W388" i="4"/>
  <c r="X388" i="4" s="1"/>
  <c r="U388" i="4"/>
  <c r="R388" i="4"/>
  <c r="N388" i="4"/>
  <c r="O388" i="4" s="1"/>
  <c r="L388" i="4"/>
  <c r="I388" i="4"/>
  <c r="H388" i="4"/>
  <c r="F388" i="4"/>
  <c r="C388" i="4"/>
  <c r="AC386" i="4"/>
  <c r="AA386" i="4"/>
  <c r="W386" i="4"/>
  <c r="X386" i="4" s="1"/>
  <c r="U386" i="4"/>
  <c r="R386" i="4"/>
  <c r="O386" i="4"/>
  <c r="N386" i="4"/>
  <c r="L386" i="4"/>
  <c r="H386" i="4"/>
  <c r="I386" i="4" s="1"/>
  <c r="F386" i="4"/>
  <c r="C386" i="4"/>
  <c r="AD385" i="4"/>
  <c r="AC385" i="4"/>
  <c r="AA385" i="4"/>
  <c r="W385" i="4"/>
  <c r="X385" i="4" s="1"/>
  <c r="U385" i="4"/>
  <c r="R385" i="4"/>
  <c r="N385" i="4"/>
  <c r="O385" i="4" s="1"/>
  <c r="L385" i="4"/>
  <c r="H385" i="4"/>
  <c r="I385" i="4" s="1"/>
  <c r="F385" i="4"/>
  <c r="C385" i="4"/>
  <c r="AC383" i="4"/>
  <c r="AA383" i="4"/>
  <c r="X383" i="4"/>
  <c r="W383" i="4"/>
  <c r="U383" i="4"/>
  <c r="R383" i="4"/>
  <c r="O383" i="4"/>
  <c r="N383" i="4"/>
  <c r="L383" i="4"/>
  <c r="I383" i="4"/>
  <c r="H383" i="4"/>
  <c r="F383" i="4"/>
  <c r="C383" i="4"/>
  <c r="AC382" i="4"/>
  <c r="AA382" i="4"/>
  <c r="W382" i="4"/>
  <c r="X382" i="4" s="1"/>
  <c r="U382" i="4"/>
  <c r="R382" i="4"/>
  <c r="N382" i="4"/>
  <c r="O382" i="4" s="1"/>
  <c r="L382" i="4"/>
  <c r="I382" i="4"/>
  <c r="H382" i="4"/>
  <c r="F382" i="4"/>
  <c r="C382" i="4"/>
  <c r="AC381" i="4"/>
  <c r="AD381" i="4" s="1"/>
  <c r="AA381" i="4"/>
  <c r="W381" i="4"/>
  <c r="X381" i="4" s="1"/>
  <c r="U381" i="4"/>
  <c r="R381" i="4"/>
  <c r="O381" i="4"/>
  <c r="N381" i="4"/>
  <c r="L381" i="4"/>
  <c r="I381" i="4"/>
  <c r="H381" i="4"/>
  <c r="F381" i="4"/>
  <c r="C381" i="4"/>
  <c r="AC380" i="4"/>
  <c r="AA380" i="4"/>
  <c r="W380" i="4"/>
  <c r="X380" i="4" s="1"/>
  <c r="U380" i="4"/>
  <c r="R380" i="4"/>
  <c r="N380" i="4"/>
  <c r="O380" i="4" s="1"/>
  <c r="L380" i="4"/>
  <c r="H380" i="4"/>
  <c r="I380" i="4" s="1"/>
  <c r="F380" i="4"/>
  <c r="C380" i="4"/>
  <c r="AD379" i="4"/>
  <c r="AC379" i="4"/>
  <c r="AA379" i="4"/>
  <c r="X379" i="4"/>
  <c r="W379" i="4"/>
  <c r="U379" i="4"/>
  <c r="R379" i="4"/>
  <c r="N379" i="4"/>
  <c r="O379" i="4" s="1"/>
  <c r="L379" i="4"/>
  <c r="I379" i="4"/>
  <c r="H379" i="4"/>
  <c r="F379" i="4"/>
  <c r="C379" i="4"/>
  <c r="AC378" i="4"/>
  <c r="AD378" i="4" s="1"/>
  <c r="AA378" i="4"/>
  <c r="W378" i="4"/>
  <c r="X378" i="4" s="1"/>
  <c r="U378" i="4"/>
  <c r="R378" i="4"/>
  <c r="N378" i="4"/>
  <c r="O378" i="4" s="1"/>
  <c r="L378" i="4"/>
  <c r="I378" i="4"/>
  <c r="H378" i="4"/>
  <c r="F378" i="4"/>
  <c r="C378" i="4"/>
  <c r="AC377" i="4"/>
  <c r="AA377" i="4"/>
  <c r="X377" i="4"/>
  <c r="W377" i="4"/>
  <c r="U377" i="4"/>
  <c r="R377" i="4"/>
  <c r="O377" i="4"/>
  <c r="N377" i="4"/>
  <c r="L377" i="4"/>
  <c r="I377" i="4"/>
  <c r="H377" i="4"/>
  <c r="F377" i="4"/>
  <c r="C377" i="4"/>
  <c r="AD376" i="4"/>
  <c r="AC376" i="4"/>
  <c r="AA376" i="4"/>
  <c r="W376" i="4"/>
  <c r="X376" i="4" s="1"/>
  <c r="U376" i="4"/>
  <c r="R376" i="4"/>
  <c r="N376" i="4"/>
  <c r="O376" i="4" s="1"/>
  <c r="L376" i="4"/>
  <c r="H376" i="4"/>
  <c r="I376" i="4" s="1"/>
  <c r="F376" i="4"/>
  <c r="C376" i="4"/>
  <c r="AC375" i="4"/>
  <c r="AA375" i="4"/>
  <c r="X375" i="4"/>
  <c r="W375" i="4"/>
  <c r="U375" i="4"/>
  <c r="R375" i="4"/>
  <c r="O375" i="4"/>
  <c r="N375" i="4"/>
  <c r="L375" i="4"/>
  <c r="I375" i="4"/>
  <c r="H375" i="4"/>
  <c r="F375" i="4"/>
  <c r="C375" i="4"/>
  <c r="AC374" i="4"/>
  <c r="AD374" i="4" s="1"/>
  <c r="AA374" i="4"/>
  <c r="W374" i="4"/>
  <c r="X374" i="4" s="1"/>
  <c r="U374" i="4"/>
  <c r="R374" i="4"/>
  <c r="N374" i="4"/>
  <c r="O374" i="4" s="1"/>
  <c r="L374" i="4"/>
  <c r="I374" i="4"/>
  <c r="H374" i="4"/>
  <c r="F374" i="4"/>
  <c r="C374" i="4"/>
  <c r="AC373" i="4"/>
  <c r="AA373" i="4"/>
  <c r="W373" i="4"/>
  <c r="X373" i="4" s="1"/>
  <c r="U373" i="4"/>
  <c r="R373" i="4"/>
  <c r="O373" i="4"/>
  <c r="N373" i="4"/>
  <c r="L373" i="4"/>
  <c r="I373" i="4"/>
  <c r="H373" i="4"/>
  <c r="F373" i="4"/>
  <c r="C373" i="4"/>
  <c r="AD372" i="4"/>
  <c r="AC372" i="4"/>
  <c r="AA372" i="4"/>
  <c r="W372" i="4"/>
  <c r="X372" i="4" s="1"/>
  <c r="U372" i="4"/>
  <c r="R372" i="4"/>
  <c r="N372" i="4"/>
  <c r="O372" i="4" s="1"/>
  <c r="L372" i="4"/>
  <c r="H372" i="4"/>
  <c r="I372" i="4" s="1"/>
  <c r="F372" i="4"/>
  <c r="C372" i="4"/>
  <c r="AC371" i="4"/>
  <c r="AA371" i="4"/>
  <c r="X371" i="4"/>
  <c r="W371" i="4"/>
  <c r="U371" i="4"/>
  <c r="R371" i="4"/>
  <c r="O371" i="4"/>
  <c r="N371" i="4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N370" i="4"/>
  <c r="O370" i="4" s="1"/>
  <c r="L370" i="4"/>
  <c r="I370" i="4"/>
  <c r="H370" i="4"/>
  <c r="F370" i="4"/>
  <c r="C370" i="4"/>
  <c r="AC369" i="4"/>
  <c r="AA369" i="4"/>
  <c r="W369" i="4"/>
  <c r="X369" i="4" s="1"/>
  <c r="U369" i="4"/>
  <c r="R369" i="4"/>
  <c r="O369" i="4"/>
  <c r="N369" i="4"/>
  <c r="L369" i="4"/>
  <c r="H369" i="4"/>
  <c r="I369" i="4" s="1"/>
  <c r="F369" i="4"/>
  <c r="C369" i="4"/>
  <c r="AD368" i="4"/>
  <c r="Z368" i="4"/>
  <c r="AA368" i="4" s="1"/>
  <c r="X368" i="4"/>
  <c r="W368" i="4"/>
  <c r="U368" i="4"/>
  <c r="T368" i="4"/>
  <c r="R368" i="4"/>
  <c r="Q368" i="4"/>
  <c r="AC368" i="4" s="1"/>
  <c r="L368" i="4"/>
  <c r="K368" i="4"/>
  <c r="F368" i="4"/>
  <c r="E368" i="4"/>
  <c r="H368" i="4" s="1"/>
  <c r="I368" i="4" s="1"/>
  <c r="B368" i="4"/>
  <c r="C368" i="4" s="1"/>
  <c r="AD367" i="4"/>
  <c r="AC367" i="4"/>
  <c r="AA367" i="4"/>
  <c r="W367" i="4"/>
  <c r="X367" i="4" s="1"/>
  <c r="U367" i="4"/>
  <c r="R367" i="4"/>
  <c r="N367" i="4"/>
  <c r="O367" i="4" s="1"/>
  <c r="L367" i="4"/>
  <c r="I367" i="4"/>
  <c r="H367" i="4"/>
  <c r="F367" i="4"/>
  <c r="C367" i="4"/>
  <c r="AC366" i="4"/>
  <c r="AA366" i="4"/>
  <c r="X366" i="4"/>
  <c r="W366" i="4"/>
  <c r="U366" i="4"/>
  <c r="R366" i="4"/>
  <c r="O366" i="4"/>
  <c r="N366" i="4"/>
  <c r="L366" i="4"/>
  <c r="H366" i="4"/>
  <c r="I366" i="4" s="1"/>
  <c r="F366" i="4"/>
  <c r="C366" i="4"/>
  <c r="AC365" i="4"/>
  <c r="AA365" i="4"/>
  <c r="W365" i="4"/>
  <c r="X365" i="4" s="1"/>
  <c r="U365" i="4"/>
  <c r="R365" i="4"/>
  <c r="N365" i="4"/>
  <c r="O365" i="4" s="1"/>
  <c r="L365" i="4"/>
  <c r="H365" i="4"/>
  <c r="I365" i="4" s="1"/>
  <c r="F365" i="4"/>
  <c r="C365" i="4"/>
  <c r="AC364" i="4"/>
  <c r="AA364" i="4"/>
  <c r="X364" i="4"/>
  <c r="W364" i="4"/>
  <c r="U364" i="4"/>
  <c r="R364" i="4"/>
  <c r="O364" i="4"/>
  <c r="N364" i="4"/>
  <c r="L364" i="4"/>
  <c r="I364" i="4"/>
  <c r="H364" i="4"/>
  <c r="F364" i="4"/>
  <c r="C364" i="4"/>
  <c r="AD363" i="4"/>
  <c r="AC363" i="4"/>
  <c r="AA363" i="4"/>
  <c r="W363" i="4"/>
  <c r="X363" i="4" s="1"/>
  <c r="U363" i="4"/>
  <c r="R363" i="4"/>
  <c r="N363" i="4"/>
  <c r="O363" i="4" s="1"/>
  <c r="L363" i="4"/>
  <c r="I363" i="4"/>
  <c r="H363" i="4"/>
  <c r="F363" i="4"/>
  <c r="C363" i="4"/>
  <c r="AC362" i="4"/>
  <c r="AD362" i="4" s="1"/>
  <c r="AA362" i="4"/>
  <c r="X362" i="4"/>
  <c r="W362" i="4"/>
  <c r="U362" i="4"/>
  <c r="R362" i="4"/>
  <c r="O362" i="4"/>
  <c r="N362" i="4"/>
  <c r="L362" i="4"/>
  <c r="H362" i="4"/>
  <c r="I362" i="4" s="1"/>
  <c r="F362" i="4"/>
  <c r="C362" i="4"/>
  <c r="AC361" i="4"/>
  <c r="AA361" i="4"/>
  <c r="W361" i="4"/>
  <c r="X361" i="4" s="1"/>
  <c r="U361" i="4"/>
  <c r="R361" i="4"/>
  <c r="N361" i="4"/>
  <c r="O361" i="4" s="1"/>
  <c r="L361" i="4"/>
  <c r="H361" i="4"/>
  <c r="I361" i="4" s="1"/>
  <c r="F361" i="4"/>
  <c r="C361" i="4"/>
  <c r="AD360" i="4"/>
  <c r="AC360" i="4"/>
  <c r="AA360" i="4"/>
  <c r="X360" i="4"/>
  <c r="W360" i="4"/>
  <c r="U360" i="4"/>
  <c r="R360" i="4"/>
  <c r="N360" i="4"/>
  <c r="O360" i="4" s="1"/>
  <c r="L360" i="4"/>
  <c r="I360" i="4"/>
  <c r="H360" i="4"/>
  <c r="F360" i="4"/>
  <c r="C360" i="4"/>
  <c r="AA358" i="4"/>
  <c r="Z358" i="4"/>
  <c r="X358" i="4"/>
  <c r="T358" i="4"/>
  <c r="U358" i="4" s="1"/>
  <c r="R358" i="4"/>
  <c r="Q358" i="4"/>
  <c r="W358" i="4" s="1"/>
  <c r="L358" i="4"/>
  <c r="K358" i="4"/>
  <c r="E358" i="4"/>
  <c r="F358" i="4" s="1"/>
  <c r="C358" i="4"/>
  <c r="B358" i="4"/>
  <c r="H358" i="4" s="1"/>
  <c r="I358" i="4" s="1"/>
  <c r="AC357" i="4"/>
  <c r="AA357" i="4"/>
  <c r="W357" i="4"/>
  <c r="X357" i="4" s="1"/>
  <c r="U357" i="4"/>
  <c r="R357" i="4"/>
  <c r="N357" i="4"/>
  <c r="O357" i="4" s="1"/>
  <c r="L357" i="4"/>
  <c r="H357" i="4"/>
  <c r="I357" i="4" s="1"/>
  <c r="F357" i="4"/>
  <c r="C357" i="4"/>
  <c r="AD356" i="4"/>
  <c r="AC356" i="4"/>
  <c r="AA356" i="4"/>
  <c r="X356" i="4"/>
  <c r="W356" i="4"/>
  <c r="U356" i="4"/>
  <c r="R356" i="4"/>
  <c r="N356" i="4"/>
  <c r="O356" i="4" s="1"/>
  <c r="L356" i="4"/>
  <c r="I356" i="4"/>
  <c r="H356" i="4"/>
  <c r="F356" i="4"/>
  <c r="C356" i="4"/>
  <c r="AC355" i="4"/>
  <c r="AA355" i="4"/>
  <c r="W355" i="4"/>
  <c r="X355" i="4" s="1"/>
  <c r="U355" i="4"/>
  <c r="R355" i="4"/>
  <c r="N355" i="4"/>
  <c r="O355" i="4" s="1"/>
  <c r="L355" i="4"/>
  <c r="I355" i="4"/>
  <c r="H355" i="4"/>
  <c r="F355" i="4"/>
  <c r="C355" i="4"/>
  <c r="AC354" i="4"/>
  <c r="AD354" i="4" s="1"/>
  <c r="AA354" i="4"/>
  <c r="X354" i="4"/>
  <c r="W354" i="4"/>
  <c r="U354" i="4"/>
  <c r="R354" i="4"/>
  <c r="O354" i="4"/>
  <c r="N354" i="4"/>
  <c r="L354" i="4"/>
  <c r="H354" i="4"/>
  <c r="I354" i="4" s="1"/>
  <c r="F354" i="4"/>
  <c r="C354" i="4"/>
  <c r="AC353" i="4"/>
  <c r="AA353" i="4"/>
  <c r="W353" i="4"/>
  <c r="X353" i="4" s="1"/>
  <c r="U353" i="4"/>
  <c r="R353" i="4"/>
  <c r="N353" i="4"/>
  <c r="O353" i="4" s="1"/>
  <c r="L353" i="4"/>
  <c r="H353" i="4"/>
  <c r="I353" i="4" s="1"/>
  <c r="F353" i="4"/>
  <c r="C353" i="4"/>
  <c r="AD352" i="4"/>
  <c r="AC352" i="4"/>
  <c r="AA352" i="4"/>
  <c r="X352" i="4"/>
  <c r="W352" i="4"/>
  <c r="U352" i="4"/>
  <c r="R352" i="4"/>
  <c r="N352" i="4"/>
  <c r="O352" i="4" s="1"/>
  <c r="L352" i="4"/>
  <c r="I352" i="4"/>
  <c r="H352" i="4"/>
  <c r="F352" i="4"/>
  <c r="C352" i="4"/>
  <c r="AD351" i="4"/>
  <c r="AC351" i="4"/>
  <c r="AA351" i="4"/>
  <c r="W351" i="4"/>
  <c r="X351" i="4" s="1"/>
  <c r="U351" i="4"/>
  <c r="R351" i="4"/>
  <c r="N351" i="4"/>
  <c r="O351" i="4" s="1"/>
  <c r="L351" i="4"/>
  <c r="I351" i="4"/>
  <c r="H351" i="4"/>
  <c r="F351" i="4"/>
  <c r="C351" i="4"/>
  <c r="AC350" i="4"/>
  <c r="AD350" i="4" s="1"/>
  <c r="AA350" i="4"/>
  <c r="X350" i="4"/>
  <c r="W350" i="4"/>
  <c r="U350" i="4"/>
  <c r="R350" i="4"/>
  <c r="O350" i="4"/>
  <c r="N350" i="4"/>
  <c r="L350" i="4"/>
  <c r="I350" i="4"/>
  <c r="H350" i="4"/>
  <c r="F350" i="4"/>
  <c r="C350" i="4"/>
  <c r="AD349" i="4"/>
  <c r="AC349" i="4"/>
  <c r="AA349" i="4"/>
  <c r="W349" i="4"/>
  <c r="X349" i="4" s="1"/>
  <c r="U349" i="4"/>
  <c r="R349" i="4"/>
  <c r="N349" i="4"/>
  <c r="O349" i="4" s="1"/>
  <c r="L349" i="4"/>
  <c r="H349" i="4"/>
  <c r="I349" i="4" s="1"/>
  <c r="F349" i="4"/>
  <c r="C349" i="4"/>
  <c r="AD347" i="4"/>
  <c r="AC347" i="4"/>
  <c r="AA347" i="4"/>
  <c r="X347" i="4"/>
  <c r="W347" i="4"/>
  <c r="U347" i="4"/>
  <c r="R347" i="4"/>
  <c r="N347" i="4"/>
  <c r="O347" i="4" s="1"/>
  <c r="L347" i="4"/>
  <c r="I347" i="4"/>
  <c r="H347" i="4"/>
  <c r="F347" i="4"/>
  <c r="C347" i="4"/>
  <c r="Z344" i="4"/>
  <c r="AA344" i="4" s="1"/>
  <c r="W344" i="4"/>
  <c r="X344" i="4" s="1"/>
  <c r="U344" i="4"/>
  <c r="T344" i="4"/>
  <c r="R344" i="4"/>
  <c r="Q344" i="4"/>
  <c r="AC344" i="4" s="1"/>
  <c r="AD344" i="4" s="1"/>
  <c r="L344" i="4"/>
  <c r="K344" i="4"/>
  <c r="F344" i="4"/>
  <c r="E344" i="4"/>
  <c r="H344" i="4" s="1"/>
  <c r="I344" i="4" s="1"/>
  <c r="B344" i="4"/>
  <c r="C344" i="4" s="1"/>
  <c r="AC343" i="4"/>
  <c r="AD343" i="4" s="1"/>
  <c r="AA343" i="4"/>
  <c r="Z343" i="4"/>
  <c r="W343" i="4"/>
  <c r="X343" i="4" s="1"/>
  <c r="T343" i="4"/>
  <c r="U343" i="4" s="1"/>
  <c r="R343" i="4"/>
  <c r="Q343" i="4"/>
  <c r="L343" i="4"/>
  <c r="K343" i="4"/>
  <c r="E343" i="4"/>
  <c r="F343" i="4" s="1"/>
  <c r="C343" i="4"/>
  <c r="B343" i="4"/>
  <c r="AC342" i="4"/>
  <c r="AD342" i="4" s="1"/>
  <c r="Z342" i="4"/>
  <c r="AA342" i="4" s="1"/>
  <c r="X342" i="4"/>
  <c r="W342" i="4"/>
  <c r="U342" i="4"/>
  <c r="T342" i="4"/>
  <c r="R342" i="4"/>
  <c r="Q342" i="4"/>
  <c r="L342" i="4"/>
  <c r="K342" i="4"/>
  <c r="E342" i="4"/>
  <c r="H342" i="4" s="1"/>
  <c r="I342" i="4" s="1"/>
  <c r="B342" i="4"/>
  <c r="C342" i="4" s="1"/>
  <c r="AD341" i="4"/>
  <c r="AC341" i="4"/>
  <c r="AA341" i="4"/>
  <c r="W341" i="4"/>
  <c r="X341" i="4" s="1"/>
  <c r="U341" i="4"/>
  <c r="R341" i="4"/>
  <c r="N341" i="4"/>
  <c r="O341" i="4" s="1"/>
  <c r="L341" i="4"/>
  <c r="I341" i="4"/>
  <c r="H341" i="4"/>
  <c r="F341" i="4"/>
  <c r="C341" i="4"/>
  <c r="AC340" i="4"/>
  <c r="AA340" i="4"/>
  <c r="X340" i="4"/>
  <c r="W340" i="4"/>
  <c r="U340" i="4"/>
  <c r="R340" i="4"/>
  <c r="O340" i="4"/>
  <c r="N340" i="4"/>
  <c r="L340" i="4"/>
  <c r="H340" i="4"/>
  <c r="I340" i="4" s="1"/>
  <c r="F340" i="4"/>
  <c r="C340" i="4"/>
  <c r="AC339" i="4"/>
  <c r="AD339" i="4" s="1"/>
  <c r="AA339" i="4"/>
  <c r="W339" i="4"/>
  <c r="X339" i="4" s="1"/>
  <c r="U339" i="4"/>
  <c r="R339" i="4"/>
  <c r="N339" i="4"/>
  <c r="O339" i="4" s="1"/>
  <c r="L339" i="4"/>
  <c r="H339" i="4"/>
  <c r="I339" i="4" s="1"/>
  <c r="F339" i="4"/>
  <c r="C339" i="4"/>
  <c r="AC338" i="4"/>
  <c r="AA338" i="4"/>
  <c r="X338" i="4"/>
  <c r="W338" i="4"/>
  <c r="U338" i="4"/>
  <c r="R338" i="4"/>
  <c r="O338" i="4"/>
  <c r="N338" i="4"/>
  <c r="L338" i="4"/>
  <c r="I338" i="4"/>
  <c r="H338" i="4"/>
  <c r="F338" i="4"/>
  <c r="C338" i="4"/>
  <c r="AD337" i="4"/>
  <c r="AC337" i="4"/>
  <c r="AA337" i="4"/>
  <c r="W337" i="4"/>
  <c r="X337" i="4" s="1"/>
  <c r="U337" i="4"/>
  <c r="R337" i="4"/>
  <c r="N337" i="4"/>
  <c r="O337" i="4" s="1"/>
  <c r="L337" i="4"/>
  <c r="I337" i="4"/>
  <c r="H337" i="4"/>
  <c r="F337" i="4"/>
  <c r="C337" i="4"/>
  <c r="AC335" i="4"/>
  <c r="AD335" i="4" s="1"/>
  <c r="AA335" i="4"/>
  <c r="X335" i="4"/>
  <c r="W335" i="4"/>
  <c r="U335" i="4"/>
  <c r="R335" i="4"/>
  <c r="O335" i="4"/>
  <c r="N335" i="4"/>
  <c r="L335" i="4"/>
  <c r="I335" i="4"/>
  <c r="H335" i="4"/>
  <c r="F335" i="4"/>
  <c r="C335" i="4"/>
  <c r="AC334" i="4"/>
  <c r="AA334" i="4"/>
  <c r="W334" i="4"/>
  <c r="X334" i="4" s="1"/>
  <c r="U334" i="4"/>
  <c r="R334" i="4"/>
  <c r="N334" i="4"/>
  <c r="O334" i="4" s="1"/>
  <c r="L334" i="4"/>
  <c r="H334" i="4"/>
  <c r="I334" i="4" s="1"/>
  <c r="F334" i="4"/>
  <c r="C334" i="4"/>
  <c r="AD333" i="4"/>
  <c r="AC333" i="4"/>
  <c r="AA333" i="4"/>
  <c r="X333" i="4"/>
  <c r="W333" i="4"/>
  <c r="U333" i="4"/>
  <c r="R333" i="4"/>
  <c r="N333" i="4"/>
  <c r="O333" i="4" s="1"/>
  <c r="L333" i="4"/>
  <c r="I333" i="4"/>
  <c r="H333" i="4"/>
  <c r="F333" i="4"/>
  <c r="C333" i="4"/>
  <c r="AC332" i="4"/>
  <c r="AA332" i="4"/>
  <c r="W332" i="4"/>
  <c r="X332" i="4" s="1"/>
  <c r="U332" i="4"/>
  <c r="R332" i="4"/>
  <c r="N332" i="4"/>
  <c r="O332" i="4" s="1"/>
  <c r="L332" i="4"/>
  <c r="I332" i="4"/>
  <c r="H332" i="4"/>
  <c r="F332" i="4"/>
  <c r="C332" i="4"/>
  <c r="AC331" i="4"/>
  <c r="AD331" i="4" s="1"/>
  <c r="AA331" i="4"/>
  <c r="X331" i="4"/>
  <c r="W331" i="4"/>
  <c r="U331" i="4"/>
  <c r="R331" i="4"/>
  <c r="O331" i="4"/>
  <c r="N331" i="4"/>
  <c r="L331" i="4"/>
  <c r="H331" i="4"/>
  <c r="I331" i="4" s="1"/>
  <c r="F331" i="4"/>
  <c r="C331" i="4"/>
  <c r="AC330" i="4"/>
  <c r="AD330" i="4" s="1"/>
  <c r="AA330" i="4"/>
  <c r="W330" i="4"/>
  <c r="X330" i="4" s="1"/>
  <c r="U330" i="4"/>
  <c r="R330" i="4"/>
  <c r="N330" i="4"/>
  <c r="O330" i="4" s="1"/>
  <c r="L330" i="4"/>
  <c r="H330" i="4"/>
  <c r="I330" i="4" s="1"/>
  <c r="F330" i="4"/>
  <c r="C330" i="4"/>
  <c r="AD329" i="4"/>
  <c r="AC329" i="4"/>
  <c r="AA329" i="4"/>
  <c r="X329" i="4"/>
  <c r="W329" i="4"/>
  <c r="U329" i="4"/>
  <c r="R329" i="4"/>
  <c r="N329" i="4"/>
  <c r="O329" i="4" s="1"/>
  <c r="L329" i="4"/>
  <c r="I329" i="4"/>
  <c r="H329" i="4"/>
  <c r="F329" i="4"/>
  <c r="C329" i="4"/>
  <c r="AD328" i="4"/>
  <c r="AC328" i="4"/>
  <c r="AA328" i="4"/>
  <c r="W328" i="4"/>
  <c r="X328" i="4" s="1"/>
  <c r="U328" i="4"/>
  <c r="R328" i="4"/>
  <c r="N328" i="4"/>
  <c r="O328" i="4" s="1"/>
  <c r="L328" i="4"/>
  <c r="I328" i="4"/>
  <c r="H328" i="4"/>
  <c r="F328" i="4"/>
  <c r="C328" i="4"/>
  <c r="AA325" i="4"/>
  <c r="Z325" i="4"/>
  <c r="T325" i="4"/>
  <c r="W325" i="4" s="1"/>
  <c r="X325" i="4" s="1"/>
  <c r="Q325" i="4"/>
  <c r="R325" i="4" s="1"/>
  <c r="L325" i="4"/>
  <c r="K325" i="4"/>
  <c r="E325" i="4"/>
  <c r="F325" i="4" s="1"/>
  <c r="B325" i="4"/>
  <c r="H325" i="4" s="1"/>
  <c r="I325" i="4" s="1"/>
  <c r="AA324" i="4"/>
  <c r="Z324" i="4"/>
  <c r="U324" i="4"/>
  <c r="T324" i="4"/>
  <c r="R324" i="4"/>
  <c r="Q324" i="4"/>
  <c r="W324" i="4" s="1"/>
  <c r="X324" i="4" s="1"/>
  <c r="K324" i="4"/>
  <c r="L324" i="4" s="1"/>
  <c r="F324" i="4"/>
  <c r="E324" i="4"/>
  <c r="B324" i="4"/>
  <c r="H324" i="4" s="1"/>
  <c r="I324" i="4" s="1"/>
  <c r="AC323" i="4"/>
  <c r="AA323" i="4"/>
  <c r="X323" i="4"/>
  <c r="W323" i="4"/>
  <c r="U323" i="4"/>
  <c r="R323" i="4"/>
  <c r="O323" i="4"/>
  <c r="N323" i="4"/>
  <c r="L323" i="4"/>
  <c r="I323" i="4"/>
  <c r="H323" i="4"/>
  <c r="F323" i="4"/>
  <c r="C323" i="4"/>
  <c r="AD322" i="4"/>
  <c r="AC322" i="4"/>
  <c r="AA322" i="4"/>
  <c r="W322" i="4"/>
  <c r="X322" i="4" s="1"/>
  <c r="U322" i="4"/>
  <c r="R322" i="4"/>
  <c r="N322" i="4"/>
  <c r="O322" i="4" s="1"/>
  <c r="L322" i="4"/>
  <c r="H322" i="4"/>
  <c r="I322" i="4" s="1"/>
  <c r="F322" i="4"/>
  <c r="C322" i="4"/>
  <c r="AC321" i="4"/>
  <c r="AA321" i="4"/>
  <c r="X321" i="4"/>
  <c r="W321" i="4"/>
  <c r="U321" i="4"/>
  <c r="R321" i="4"/>
  <c r="O321" i="4"/>
  <c r="N321" i="4"/>
  <c r="L321" i="4"/>
  <c r="I321" i="4"/>
  <c r="H321" i="4"/>
  <c r="F321" i="4"/>
  <c r="C321" i="4"/>
  <c r="AC320" i="4"/>
  <c r="AD320" i="4" s="1"/>
  <c r="AA320" i="4"/>
  <c r="W320" i="4"/>
  <c r="X320" i="4" s="1"/>
  <c r="U320" i="4"/>
  <c r="R320" i="4"/>
  <c r="N320" i="4"/>
  <c r="O320" i="4" s="1"/>
  <c r="L320" i="4"/>
  <c r="I320" i="4"/>
  <c r="H320" i="4"/>
  <c r="F320" i="4"/>
  <c r="C320" i="4"/>
  <c r="AC319" i="4"/>
  <c r="AA319" i="4"/>
  <c r="W319" i="4"/>
  <c r="X319" i="4" s="1"/>
  <c r="U319" i="4"/>
  <c r="R319" i="4"/>
  <c r="O319" i="4"/>
  <c r="N319" i="4"/>
  <c r="L319" i="4"/>
  <c r="I319" i="4"/>
  <c r="H319" i="4"/>
  <c r="F319" i="4"/>
  <c r="C319" i="4"/>
  <c r="AD318" i="4"/>
  <c r="AC318" i="4"/>
  <c r="AA318" i="4"/>
  <c r="W318" i="4"/>
  <c r="X318" i="4" s="1"/>
  <c r="U318" i="4"/>
  <c r="R318" i="4"/>
  <c r="N318" i="4"/>
  <c r="O318" i="4" s="1"/>
  <c r="L318" i="4"/>
  <c r="H318" i="4"/>
  <c r="I318" i="4" s="1"/>
  <c r="F318" i="4"/>
  <c r="C318" i="4"/>
  <c r="AC317" i="4"/>
  <c r="AA317" i="4"/>
  <c r="X317" i="4"/>
  <c r="W317" i="4"/>
  <c r="U317" i="4"/>
  <c r="R317" i="4"/>
  <c r="O317" i="4"/>
  <c r="N317" i="4"/>
  <c r="L317" i="4"/>
  <c r="H317" i="4"/>
  <c r="I317" i="4" s="1"/>
  <c r="F317" i="4"/>
  <c r="C317" i="4"/>
  <c r="AC316" i="4"/>
  <c r="AD316" i="4" s="1"/>
  <c r="AA316" i="4"/>
  <c r="W316" i="4"/>
  <c r="X316" i="4" s="1"/>
  <c r="U316" i="4"/>
  <c r="R316" i="4"/>
  <c r="N316" i="4"/>
  <c r="O316" i="4" s="1"/>
  <c r="L316" i="4"/>
  <c r="I316" i="4"/>
  <c r="H316" i="4"/>
  <c r="F316" i="4"/>
  <c r="C316" i="4"/>
  <c r="AC315" i="4"/>
  <c r="AA315" i="4"/>
  <c r="W315" i="4"/>
  <c r="X315" i="4" s="1"/>
  <c r="U315" i="4"/>
  <c r="R315" i="4"/>
  <c r="O315" i="4"/>
  <c r="N315" i="4"/>
  <c r="L315" i="4"/>
  <c r="I315" i="4"/>
  <c r="H315" i="4"/>
  <c r="F315" i="4"/>
  <c r="C315" i="4"/>
  <c r="AD314" i="4"/>
  <c r="AC314" i="4"/>
  <c r="AA314" i="4"/>
  <c r="W314" i="4"/>
  <c r="X314" i="4" s="1"/>
  <c r="U314" i="4"/>
  <c r="R314" i="4"/>
  <c r="N314" i="4"/>
  <c r="O314" i="4" s="1"/>
  <c r="L314" i="4"/>
  <c r="H314" i="4"/>
  <c r="I314" i="4" s="1"/>
  <c r="F314" i="4"/>
  <c r="C314" i="4"/>
  <c r="AC313" i="4"/>
  <c r="AA313" i="4"/>
  <c r="X313" i="4"/>
  <c r="W313" i="4"/>
  <c r="U313" i="4"/>
  <c r="R313" i="4"/>
  <c r="O313" i="4"/>
  <c r="N313" i="4"/>
  <c r="L313" i="4"/>
  <c r="H313" i="4"/>
  <c r="I313" i="4" s="1"/>
  <c r="F313" i="4"/>
  <c r="C313" i="4"/>
  <c r="AC312" i="4"/>
  <c r="AA312" i="4"/>
  <c r="W312" i="4"/>
  <c r="X312" i="4" s="1"/>
  <c r="U312" i="4"/>
  <c r="R312" i="4"/>
  <c r="N312" i="4"/>
  <c r="O312" i="4" s="1"/>
  <c r="L312" i="4"/>
  <c r="I312" i="4"/>
  <c r="H312" i="4"/>
  <c r="F312" i="4"/>
  <c r="C312" i="4"/>
  <c r="AC311" i="4"/>
  <c r="AD311" i="4" s="1"/>
  <c r="AA311" i="4"/>
  <c r="W311" i="4"/>
  <c r="X311" i="4" s="1"/>
  <c r="U311" i="4"/>
  <c r="R311" i="4"/>
  <c r="O311" i="4"/>
  <c r="N311" i="4"/>
  <c r="L311" i="4"/>
  <c r="I311" i="4"/>
  <c r="H311" i="4"/>
  <c r="F311" i="4"/>
  <c r="C311" i="4"/>
  <c r="AC310" i="4"/>
  <c r="AA310" i="4"/>
  <c r="W310" i="4"/>
  <c r="X310" i="4" s="1"/>
  <c r="U310" i="4"/>
  <c r="R310" i="4"/>
  <c r="N310" i="4"/>
  <c r="O310" i="4" s="1"/>
  <c r="L310" i="4"/>
  <c r="H310" i="4"/>
  <c r="I310" i="4" s="1"/>
  <c r="F310" i="4"/>
  <c r="C310" i="4"/>
  <c r="AD309" i="4"/>
  <c r="AC309" i="4"/>
  <c r="AA309" i="4"/>
  <c r="X309" i="4"/>
  <c r="W309" i="4"/>
  <c r="U309" i="4"/>
  <c r="R309" i="4"/>
  <c r="O309" i="4"/>
  <c r="N309" i="4"/>
  <c r="L309" i="4"/>
  <c r="H309" i="4"/>
  <c r="I309" i="4" s="1"/>
  <c r="F309" i="4"/>
  <c r="C309" i="4"/>
  <c r="AC308" i="4"/>
  <c r="AD308" i="4" s="1"/>
  <c r="AA308" i="4"/>
  <c r="W308" i="4"/>
  <c r="X308" i="4" s="1"/>
  <c r="U308" i="4"/>
  <c r="R308" i="4"/>
  <c r="N308" i="4"/>
  <c r="O308" i="4" s="1"/>
  <c r="L308" i="4"/>
  <c r="I308" i="4"/>
  <c r="H308" i="4"/>
  <c r="F308" i="4"/>
  <c r="C308" i="4"/>
  <c r="AC307" i="4"/>
  <c r="AA307" i="4"/>
  <c r="X307" i="4"/>
  <c r="W307" i="4"/>
  <c r="U307" i="4"/>
  <c r="R307" i="4"/>
  <c r="O307" i="4"/>
  <c r="N307" i="4"/>
  <c r="L307" i="4"/>
  <c r="I307" i="4"/>
  <c r="H307" i="4"/>
  <c r="F307" i="4"/>
  <c r="C307" i="4"/>
  <c r="AD306" i="4"/>
  <c r="AC306" i="4"/>
  <c r="AA306" i="4"/>
  <c r="W306" i="4"/>
  <c r="X306" i="4" s="1"/>
  <c r="U306" i="4"/>
  <c r="R306" i="4"/>
  <c r="N306" i="4"/>
  <c r="O306" i="4" s="1"/>
  <c r="L306" i="4"/>
  <c r="H306" i="4"/>
  <c r="I306" i="4" s="1"/>
  <c r="F306" i="4"/>
  <c r="C306" i="4"/>
  <c r="AC305" i="4"/>
  <c r="AA305" i="4"/>
  <c r="X305" i="4"/>
  <c r="W305" i="4"/>
  <c r="U305" i="4"/>
  <c r="R305" i="4"/>
  <c r="O305" i="4"/>
  <c r="N305" i="4"/>
  <c r="L305" i="4"/>
  <c r="I305" i="4"/>
  <c r="H305" i="4"/>
  <c r="F305" i="4"/>
  <c r="C305" i="4"/>
  <c r="AC304" i="4"/>
  <c r="AD304" i="4" s="1"/>
  <c r="AA304" i="4"/>
  <c r="W304" i="4"/>
  <c r="X304" i="4" s="1"/>
  <c r="U304" i="4"/>
  <c r="R304" i="4"/>
  <c r="N304" i="4"/>
  <c r="O304" i="4" s="1"/>
  <c r="L304" i="4"/>
  <c r="I304" i="4"/>
  <c r="H304" i="4"/>
  <c r="F304" i="4"/>
  <c r="C304" i="4"/>
  <c r="AC303" i="4"/>
  <c r="AA303" i="4"/>
  <c r="W303" i="4"/>
  <c r="X303" i="4" s="1"/>
  <c r="U303" i="4"/>
  <c r="R303" i="4"/>
  <c r="O303" i="4"/>
  <c r="N303" i="4"/>
  <c r="L303" i="4"/>
  <c r="I303" i="4"/>
  <c r="H303" i="4"/>
  <c r="F303" i="4"/>
  <c r="C303" i="4"/>
  <c r="AD302" i="4"/>
  <c r="AC302" i="4"/>
  <c r="AA302" i="4"/>
  <c r="W302" i="4"/>
  <c r="X302" i="4" s="1"/>
  <c r="U302" i="4"/>
  <c r="R302" i="4"/>
  <c r="N302" i="4"/>
  <c r="O302" i="4" s="1"/>
  <c r="L302" i="4"/>
  <c r="H302" i="4"/>
  <c r="I302" i="4" s="1"/>
  <c r="F302" i="4"/>
  <c r="C302" i="4"/>
  <c r="AC301" i="4"/>
  <c r="AA301" i="4"/>
  <c r="X301" i="4"/>
  <c r="W301" i="4"/>
  <c r="U301" i="4"/>
  <c r="R301" i="4"/>
  <c r="O301" i="4"/>
  <c r="N301" i="4"/>
  <c r="L301" i="4"/>
  <c r="H301" i="4"/>
  <c r="I301" i="4" s="1"/>
  <c r="F301" i="4"/>
  <c r="C301" i="4"/>
  <c r="AC300" i="4"/>
  <c r="AD300" i="4" s="1"/>
  <c r="AA300" i="4"/>
  <c r="W300" i="4"/>
  <c r="X300" i="4" s="1"/>
  <c r="U300" i="4"/>
  <c r="R300" i="4"/>
  <c r="N300" i="4"/>
  <c r="O300" i="4" s="1"/>
  <c r="L300" i="4"/>
  <c r="I300" i="4"/>
  <c r="H300" i="4"/>
  <c r="F300" i="4"/>
  <c r="C300" i="4"/>
  <c r="AC299" i="4"/>
  <c r="AA299" i="4"/>
  <c r="W299" i="4"/>
  <c r="X299" i="4" s="1"/>
  <c r="U299" i="4"/>
  <c r="R299" i="4"/>
  <c r="O299" i="4"/>
  <c r="N299" i="4"/>
  <c r="L299" i="4"/>
  <c r="I299" i="4"/>
  <c r="H299" i="4"/>
  <c r="F299" i="4"/>
  <c r="C299" i="4"/>
  <c r="AD298" i="4"/>
  <c r="AC298" i="4"/>
  <c r="AA298" i="4"/>
  <c r="W298" i="4"/>
  <c r="X298" i="4" s="1"/>
  <c r="U298" i="4"/>
  <c r="R298" i="4"/>
  <c r="N298" i="4"/>
  <c r="O298" i="4" s="1"/>
  <c r="L298" i="4"/>
  <c r="H298" i="4"/>
  <c r="I298" i="4" s="1"/>
  <c r="F298" i="4"/>
  <c r="C298" i="4"/>
  <c r="AC297" i="4"/>
  <c r="AA297" i="4"/>
  <c r="X297" i="4"/>
  <c r="W297" i="4"/>
  <c r="U297" i="4"/>
  <c r="R297" i="4"/>
  <c r="O297" i="4"/>
  <c r="N297" i="4"/>
  <c r="L297" i="4"/>
  <c r="H297" i="4"/>
  <c r="I297" i="4" s="1"/>
  <c r="F297" i="4"/>
  <c r="C297" i="4"/>
  <c r="AA295" i="4"/>
  <c r="Z295" i="4"/>
  <c r="W295" i="4"/>
  <c r="X295" i="4" s="1"/>
  <c r="T295" i="4"/>
  <c r="U295" i="4" s="1"/>
  <c r="R295" i="4"/>
  <c r="Q295" i="4"/>
  <c r="AC295" i="4" s="1"/>
  <c r="AD295" i="4" s="1"/>
  <c r="K295" i="4"/>
  <c r="L295" i="4" s="1"/>
  <c r="E295" i="4"/>
  <c r="F295" i="4" s="1"/>
  <c r="C295" i="4"/>
  <c r="B295" i="4"/>
  <c r="H295" i="4" s="1"/>
  <c r="I295" i="4" s="1"/>
  <c r="AC294" i="4"/>
  <c r="AA294" i="4"/>
  <c r="W294" i="4"/>
  <c r="X294" i="4" s="1"/>
  <c r="U294" i="4"/>
  <c r="R294" i="4"/>
  <c r="N294" i="4"/>
  <c r="O294" i="4" s="1"/>
  <c r="L294" i="4"/>
  <c r="H294" i="4"/>
  <c r="I294" i="4" s="1"/>
  <c r="F294" i="4"/>
  <c r="C294" i="4"/>
  <c r="AD293" i="4"/>
  <c r="AC293" i="4"/>
  <c r="AA293" i="4"/>
  <c r="X293" i="4"/>
  <c r="W293" i="4"/>
  <c r="U293" i="4"/>
  <c r="R293" i="4"/>
  <c r="N293" i="4"/>
  <c r="O293" i="4" s="1"/>
  <c r="L293" i="4"/>
  <c r="I293" i="4"/>
  <c r="H293" i="4"/>
  <c r="F293" i="4"/>
  <c r="C293" i="4"/>
  <c r="AC292" i="4"/>
  <c r="AA292" i="4"/>
  <c r="W292" i="4"/>
  <c r="X292" i="4" s="1"/>
  <c r="U292" i="4"/>
  <c r="R292" i="4"/>
  <c r="N292" i="4"/>
  <c r="O292" i="4" s="1"/>
  <c r="L292" i="4"/>
  <c r="I292" i="4"/>
  <c r="H292" i="4"/>
  <c r="F292" i="4"/>
  <c r="C292" i="4"/>
  <c r="AC291" i="4"/>
  <c r="AD291" i="4" s="1"/>
  <c r="AA291" i="4"/>
  <c r="X291" i="4"/>
  <c r="W291" i="4"/>
  <c r="U291" i="4"/>
  <c r="R291" i="4"/>
  <c r="O291" i="4"/>
  <c r="N291" i="4"/>
  <c r="L291" i="4"/>
  <c r="H291" i="4"/>
  <c r="I291" i="4" s="1"/>
  <c r="F291" i="4"/>
  <c r="C291" i="4"/>
  <c r="AC290" i="4"/>
  <c r="AD290" i="4" s="1"/>
  <c r="AA290" i="4"/>
  <c r="W290" i="4"/>
  <c r="X290" i="4" s="1"/>
  <c r="U290" i="4"/>
  <c r="R290" i="4"/>
  <c r="N290" i="4"/>
  <c r="O290" i="4" s="1"/>
  <c r="L290" i="4"/>
  <c r="H290" i="4"/>
  <c r="I290" i="4" s="1"/>
  <c r="F290" i="4"/>
  <c r="C290" i="4"/>
  <c r="AD289" i="4"/>
  <c r="AC289" i="4"/>
  <c r="AA289" i="4"/>
  <c r="X289" i="4"/>
  <c r="W289" i="4"/>
  <c r="U289" i="4"/>
  <c r="R289" i="4"/>
  <c r="N289" i="4"/>
  <c r="O289" i="4" s="1"/>
  <c r="L289" i="4"/>
  <c r="I289" i="4"/>
  <c r="H289" i="4"/>
  <c r="F289" i="4"/>
  <c r="C289" i="4"/>
  <c r="AD288" i="4"/>
  <c r="AC288" i="4"/>
  <c r="AA288" i="4"/>
  <c r="W288" i="4"/>
  <c r="X288" i="4" s="1"/>
  <c r="U288" i="4"/>
  <c r="R288" i="4"/>
  <c r="N288" i="4"/>
  <c r="O288" i="4" s="1"/>
  <c r="L288" i="4"/>
  <c r="I288" i="4"/>
  <c r="H288" i="4"/>
  <c r="F288" i="4"/>
  <c r="C288" i="4"/>
  <c r="AC287" i="4"/>
  <c r="AD287" i="4" s="1"/>
  <c r="AA287" i="4"/>
  <c r="X287" i="4"/>
  <c r="W287" i="4"/>
  <c r="U287" i="4"/>
  <c r="R287" i="4"/>
  <c r="O287" i="4"/>
  <c r="N287" i="4"/>
  <c r="L287" i="4"/>
  <c r="I287" i="4"/>
  <c r="H287" i="4"/>
  <c r="F287" i="4"/>
  <c r="C287" i="4"/>
  <c r="AC286" i="4"/>
  <c r="AD286" i="4" s="1"/>
  <c r="AA286" i="4"/>
  <c r="W286" i="4"/>
  <c r="X286" i="4" s="1"/>
  <c r="U286" i="4"/>
  <c r="R286" i="4"/>
  <c r="N286" i="4"/>
  <c r="O286" i="4" s="1"/>
  <c r="L286" i="4"/>
  <c r="H286" i="4"/>
  <c r="I286" i="4" s="1"/>
  <c r="F286" i="4"/>
  <c r="C286" i="4"/>
  <c r="AA284" i="4"/>
  <c r="Z284" i="4"/>
  <c r="T284" i="4"/>
  <c r="U284" i="4" s="1"/>
  <c r="R284" i="4"/>
  <c r="Q284" i="4"/>
  <c r="W284" i="4" s="1"/>
  <c r="X284" i="4" s="1"/>
  <c r="N284" i="4"/>
  <c r="O284" i="4" s="1"/>
  <c r="K284" i="4"/>
  <c r="L284" i="4" s="1"/>
  <c r="I284" i="4"/>
  <c r="H284" i="4"/>
  <c r="F284" i="4"/>
  <c r="E284" i="4"/>
  <c r="C284" i="4"/>
  <c r="B284" i="4"/>
  <c r="AC283" i="4"/>
  <c r="AD283" i="4" s="1"/>
  <c r="AA283" i="4"/>
  <c r="X283" i="4"/>
  <c r="W283" i="4"/>
  <c r="U283" i="4"/>
  <c r="R283" i="4"/>
  <c r="O283" i="4"/>
  <c r="N283" i="4"/>
  <c r="L283" i="4"/>
  <c r="I283" i="4"/>
  <c r="H283" i="4"/>
  <c r="F283" i="4"/>
  <c r="C283" i="4"/>
  <c r="AC282" i="4"/>
  <c r="AD282" i="4" s="1"/>
  <c r="AA282" i="4"/>
  <c r="W282" i="4"/>
  <c r="X282" i="4" s="1"/>
  <c r="U282" i="4"/>
  <c r="R282" i="4"/>
  <c r="N282" i="4"/>
  <c r="O282" i="4" s="1"/>
  <c r="L282" i="4"/>
  <c r="H282" i="4"/>
  <c r="I282" i="4" s="1"/>
  <c r="F282" i="4"/>
  <c r="C282" i="4"/>
  <c r="AD281" i="4"/>
  <c r="AC281" i="4"/>
  <c r="AA281" i="4"/>
  <c r="X281" i="4"/>
  <c r="W281" i="4"/>
  <c r="U281" i="4"/>
  <c r="R281" i="4"/>
  <c r="N281" i="4"/>
  <c r="O281" i="4" s="1"/>
  <c r="L281" i="4"/>
  <c r="I281" i="4"/>
  <c r="H281" i="4"/>
  <c r="F281" i="4"/>
  <c r="C281" i="4"/>
  <c r="AD280" i="4"/>
  <c r="AC280" i="4"/>
  <c r="AA280" i="4"/>
  <c r="W280" i="4"/>
  <c r="X280" i="4" s="1"/>
  <c r="U280" i="4"/>
  <c r="R280" i="4"/>
  <c r="N280" i="4"/>
  <c r="O280" i="4" s="1"/>
  <c r="L280" i="4"/>
  <c r="I280" i="4"/>
  <c r="H280" i="4"/>
  <c r="F280" i="4"/>
  <c r="C280" i="4"/>
  <c r="AC279" i="4"/>
  <c r="AD279" i="4" s="1"/>
  <c r="AA279" i="4"/>
  <c r="X279" i="4"/>
  <c r="W279" i="4"/>
  <c r="U279" i="4"/>
  <c r="R279" i="4"/>
  <c r="O279" i="4"/>
  <c r="N279" i="4"/>
  <c r="L279" i="4"/>
  <c r="H279" i="4"/>
  <c r="I279" i="4" s="1"/>
  <c r="F279" i="4"/>
  <c r="C279" i="4"/>
  <c r="AC278" i="4"/>
  <c r="AD278" i="4" s="1"/>
  <c r="AA278" i="4"/>
  <c r="W278" i="4"/>
  <c r="X278" i="4" s="1"/>
  <c r="U278" i="4"/>
  <c r="R278" i="4"/>
  <c r="N278" i="4"/>
  <c r="O278" i="4" s="1"/>
  <c r="L278" i="4"/>
  <c r="H278" i="4"/>
  <c r="I278" i="4" s="1"/>
  <c r="F278" i="4"/>
  <c r="C278" i="4"/>
  <c r="AD277" i="4"/>
  <c r="AC277" i="4"/>
  <c r="AA277" i="4"/>
  <c r="X277" i="4"/>
  <c r="W277" i="4"/>
  <c r="U277" i="4"/>
  <c r="R277" i="4"/>
  <c r="O277" i="4"/>
  <c r="N277" i="4"/>
  <c r="L277" i="4"/>
  <c r="I277" i="4"/>
  <c r="H277" i="4"/>
  <c r="F277" i="4"/>
  <c r="C277" i="4"/>
  <c r="AD276" i="4"/>
  <c r="AC276" i="4"/>
  <c r="AA276" i="4"/>
  <c r="W276" i="4"/>
  <c r="X276" i="4" s="1"/>
  <c r="U276" i="4"/>
  <c r="R276" i="4"/>
  <c r="N276" i="4"/>
  <c r="O276" i="4" s="1"/>
  <c r="L276" i="4"/>
  <c r="I276" i="4"/>
  <c r="H276" i="4"/>
  <c r="F276" i="4"/>
  <c r="C276" i="4"/>
  <c r="AC275" i="4"/>
  <c r="AD275" i="4" s="1"/>
  <c r="AA275" i="4"/>
  <c r="X275" i="4"/>
  <c r="W275" i="4"/>
  <c r="U275" i="4"/>
  <c r="R275" i="4"/>
  <c r="O275" i="4"/>
  <c r="N275" i="4"/>
  <c r="L275" i="4"/>
  <c r="H275" i="4"/>
  <c r="I275" i="4" s="1"/>
  <c r="F275" i="4"/>
  <c r="C275" i="4"/>
  <c r="Z273" i="4"/>
  <c r="AA273" i="4" s="1"/>
  <c r="W273" i="4"/>
  <c r="X273" i="4" s="1"/>
  <c r="U273" i="4"/>
  <c r="T273" i="4"/>
  <c r="R273" i="4"/>
  <c r="Q273" i="4"/>
  <c r="AC273" i="4" s="1"/>
  <c r="AD273" i="4" s="1"/>
  <c r="L273" i="4"/>
  <c r="K273" i="4"/>
  <c r="E273" i="4"/>
  <c r="H273" i="4" s="1"/>
  <c r="I273" i="4" s="1"/>
  <c r="B273" i="4"/>
  <c r="C273" i="4" s="1"/>
  <c r="AD272" i="4"/>
  <c r="AC272" i="4"/>
  <c r="AA272" i="4"/>
  <c r="W272" i="4"/>
  <c r="X272" i="4" s="1"/>
  <c r="U272" i="4"/>
  <c r="R272" i="4"/>
  <c r="N272" i="4"/>
  <c r="O272" i="4" s="1"/>
  <c r="L272" i="4"/>
  <c r="I272" i="4"/>
  <c r="H272" i="4"/>
  <c r="F272" i="4"/>
  <c r="C272" i="4"/>
  <c r="AC271" i="4"/>
  <c r="AD271" i="4" s="1"/>
  <c r="AA271" i="4"/>
  <c r="X271" i="4"/>
  <c r="W271" i="4"/>
  <c r="U271" i="4"/>
  <c r="R271" i="4"/>
  <c r="O271" i="4"/>
  <c r="N271" i="4"/>
  <c r="L271" i="4"/>
  <c r="H271" i="4"/>
  <c r="I271" i="4" s="1"/>
  <c r="F271" i="4"/>
  <c r="C271" i="4"/>
  <c r="AD270" i="4"/>
  <c r="AC270" i="4"/>
  <c r="AA270" i="4"/>
  <c r="W270" i="4"/>
  <c r="X270" i="4" s="1"/>
  <c r="U270" i="4"/>
  <c r="R270" i="4"/>
  <c r="N270" i="4"/>
  <c r="O270" i="4" s="1"/>
  <c r="L270" i="4"/>
  <c r="H270" i="4"/>
  <c r="I270" i="4" s="1"/>
  <c r="F270" i="4"/>
  <c r="C270" i="4"/>
  <c r="AD269" i="4"/>
  <c r="AC269" i="4"/>
  <c r="AA269" i="4"/>
  <c r="X269" i="4"/>
  <c r="W269" i="4"/>
  <c r="U269" i="4"/>
  <c r="R269" i="4"/>
  <c r="N269" i="4"/>
  <c r="O269" i="4" s="1"/>
  <c r="L269" i="4"/>
  <c r="I269" i="4"/>
  <c r="H269" i="4"/>
  <c r="F269" i="4"/>
  <c r="C269" i="4"/>
  <c r="Z267" i="4"/>
  <c r="AA267" i="4" s="1"/>
  <c r="T267" i="4"/>
  <c r="U267" i="4" s="1"/>
  <c r="Q267" i="4"/>
  <c r="R267" i="4" s="1"/>
  <c r="K267" i="4"/>
  <c r="N267" i="4" s="1"/>
  <c r="O267" i="4" s="1"/>
  <c r="E267" i="4"/>
  <c r="F267" i="4" s="1"/>
  <c r="B267" i="4"/>
  <c r="AC266" i="4"/>
  <c r="AD266" i="4" s="1"/>
  <c r="AA266" i="4"/>
  <c r="W266" i="4"/>
  <c r="X266" i="4" s="1"/>
  <c r="U266" i="4"/>
  <c r="R266" i="4"/>
  <c r="N266" i="4"/>
  <c r="O266" i="4" s="1"/>
  <c r="L266" i="4"/>
  <c r="H266" i="4"/>
  <c r="I266" i="4" s="1"/>
  <c r="F266" i="4"/>
  <c r="C266" i="4"/>
  <c r="AC265" i="4"/>
  <c r="AD265" i="4" s="1"/>
  <c r="AA265" i="4"/>
  <c r="X265" i="4"/>
  <c r="W265" i="4"/>
  <c r="U265" i="4"/>
  <c r="R265" i="4"/>
  <c r="O265" i="4"/>
  <c r="N265" i="4"/>
  <c r="L265" i="4"/>
  <c r="H265" i="4"/>
  <c r="I265" i="4" s="1"/>
  <c r="F265" i="4"/>
  <c r="C265" i="4"/>
  <c r="Z263" i="4"/>
  <c r="T263" i="4"/>
  <c r="U263" i="4" s="1"/>
  <c r="Q263" i="4"/>
  <c r="W263" i="4" s="1"/>
  <c r="X263" i="4" s="1"/>
  <c r="L263" i="4"/>
  <c r="K263" i="4"/>
  <c r="F263" i="4"/>
  <c r="E263" i="4"/>
  <c r="B263" i="4"/>
  <c r="H263" i="4" s="1"/>
  <c r="I263" i="4" s="1"/>
  <c r="Z262" i="4"/>
  <c r="AA262" i="4" s="1"/>
  <c r="T262" i="4"/>
  <c r="U262" i="4" s="1"/>
  <c r="Q262" i="4"/>
  <c r="W262" i="4" s="1"/>
  <c r="X262" i="4" s="1"/>
  <c r="K262" i="4"/>
  <c r="L262" i="4" s="1"/>
  <c r="E262" i="4"/>
  <c r="H262" i="4" s="1"/>
  <c r="I262" i="4" s="1"/>
  <c r="B262" i="4"/>
  <c r="C262" i="4" s="1"/>
  <c r="AD261" i="4"/>
  <c r="AC261" i="4"/>
  <c r="AA261" i="4"/>
  <c r="X261" i="4"/>
  <c r="W261" i="4"/>
  <c r="U261" i="4"/>
  <c r="R261" i="4"/>
  <c r="N261" i="4"/>
  <c r="O261" i="4" s="1"/>
  <c r="L261" i="4"/>
  <c r="H261" i="4"/>
  <c r="I261" i="4" s="1"/>
  <c r="F261" i="4"/>
  <c r="C261" i="4"/>
  <c r="AC260" i="4"/>
  <c r="AA260" i="4"/>
  <c r="W260" i="4"/>
  <c r="X260" i="4" s="1"/>
  <c r="U260" i="4"/>
  <c r="R260" i="4"/>
  <c r="O260" i="4"/>
  <c r="N260" i="4"/>
  <c r="L260" i="4"/>
  <c r="H260" i="4"/>
  <c r="I260" i="4" s="1"/>
  <c r="F260" i="4"/>
  <c r="C260" i="4"/>
  <c r="AD259" i="4"/>
  <c r="AC259" i="4"/>
  <c r="AA259" i="4"/>
  <c r="W259" i="4"/>
  <c r="X259" i="4" s="1"/>
  <c r="U259" i="4"/>
  <c r="R259" i="4"/>
  <c r="O259" i="4"/>
  <c r="N259" i="4"/>
  <c r="L259" i="4"/>
  <c r="H259" i="4"/>
  <c r="I259" i="4" s="1"/>
  <c r="F259" i="4"/>
  <c r="C259" i="4"/>
  <c r="AC258" i="4"/>
  <c r="AD258" i="4" s="1"/>
  <c r="AA258" i="4"/>
  <c r="X258" i="4"/>
  <c r="W258" i="4"/>
  <c r="U258" i="4"/>
  <c r="R258" i="4"/>
  <c r="N258" i="4"/>
  <c r="O258" i="4" s="1"/>
  <c r="L258" i="4"/>
  <c r="I258" i="4"/>
  <c r="H258" i="4"/>
  <c r="F258" i="4"/>
  <c r="C258" i="4"/>
  <c r="AD257" i="4"/>
  <c r="AC257" i="4"/>
  <c r="AA257" i="4"/>
  <c r="W257" i="4"/>
  <c r="X257" i="4" s="1"/>
  <c r="U257" i="4"/>
  <c r="R257" i="4"/>
  <c r="N257" i="4"/>
  <c r="O257" i="4" s="1"/>
  <c r="L257" i="4"/>
  <c r="H257" i="4"/>
  <c r="I257" i="4" s="1"/>
  <c r="F257" i="4"/>
  <c r="C257" i="4"/>
  <c r="AC256" i="4"/>
  <c r="AA256" i="4"/>
  <c r="X256" i="4"/>
  <c r="W256" i="4"/>
  <c r="U256" i="4"/>
  <c r="R256" i="4"/>
  <c r="O256" i="4"/>
  <c r="N256" i="4"/>
  <c r="L256" i="4"/>
  <c r="I256" i="4"/>
  <c r="H256" i="4"/>
  <c r="F256" i="4"/>
  <c r="C256" i="4"/>
  <c r="AC255" i="4"/>
  <c r="AD255" i="4" s="1"/>
  <c r="AA255" i="4"/>
  <c r="W255" i="4"/>
  <c r="X255" i="4" s="1"/>
  <c r="U255" i="4"/>
  <c r="R255" i="4"/>
  <c r="O255" i="4"/>
  <c r="N255" i="4"/>
  <c r="L255" i="4"/>
  <c r="H255" i="4"/>
  <c r="I255" i="4" s="1"/>
  <c r="F255" i="4"/>
  <c r="C255" i="4"/>
  <c r="AD254" i="4"/>
  <c r="AC254" i="4"/>
  <c r="AA254" i="4"/>
  <c r="X254" i="4"/>
  <c r="W254" i="4"/>
  <c r="U254" i="4"/>
  <c r="R254" i="4"/>
  <c r="N254" i="4"/>
  <c r="O254" i="4" s="1"/>
  <c r="L254" i="4"/>
  <c r="I254" i="4"/>
  <c r="H254" i="4"/>
  <c r="F254" i="4"/>
  <c r="C254" i="4"/>
  <c r="AD253" i="4"/>
  <c r="AC253" i="4"/>
  <c r="AA253" i="4"/>
  <c r="X253" i="4"/>
  <c r="W253" i="4"/>
  <c r="U253" i="4"/>
  <c r="R253" i="4"/>
  <c r="N253" i="4"/>
  <c r="O253" i="4" s="1"/>
  <c r="L253" i="4"/>
  <c r="H253" i="4"/>
  <c r="I253" i="4" s="1"/>
  <c r="F253" i="4"/>
  <c r="C253" i="4"/>
  <c r="AC252" i="4"/>
  <c r="AD252" i="4" s="1"/>
  <c r="AA252" i="4"/>
  <c r="W252" i="4"/>
  <c r="X252" i="4" s="1"/>
  <c r="U252" i="4"/>
  <c r="R252" i="4"/>
  <c r="O252" i="4"/>
  <c r="N252" i="4"/>
  <c r="L252" i="4"/>
  <c r="H252" i="4"/>
  <c r="I252" i="4" s="1"/>
  <c r="F252" i="4"/>
  <c r="C252" i="4"/>
  <c r="AD251" i="4"/>
  <c r="AC251" i="4"/>
  <c r="AA251" i="4"/>
  <c r="W251" i="4"/>
  <c r="X251" i="4" s="1"/>
  <c r="U251" i="4"/>
  <c r="R251" i="4"/>
  <c r="O251" i="4"/>
  <c r="N251" i="4"/>
  <c r="L251" i="4"/>
  <c r="H251" i="4"/>
  <c r="I251" i="4" s="1"/>
  <c r="F251" i="4"/>
  <c r="C251" i="4"/>
  <c r="AC250" i="4"/>
  <c r="AD250" i="4" s="1"/>
  <c r="AA250" i="4"/>
  <c r="X250" i="4"/>
  <c r="W250" i="4"/>
  <c r="U250" i="4"/>
  <c r="R250" i="4"/>
  <c r="N250" i="4"/>
  <c r="O250" i="4" s="1"/>
  <c r="L250" i="4"/>
  <c r="I250" i="4"/>
  <c r="H250" i="4"/>
  <c r="F250" i="4"/>
  <c r="C250" i="4"/>
  <c r="AD249" i="4"/>
  <c r="AC249" i="4"/>
  <c r="AA249" i="4"/>
  <c r="W249" i="4"/>
  <c r="X249" i="4" s="1"/>
  <c r="U249" i="4"/>
  <c r="R249" i="4"/>
  <c r="N249" i="4"/>
  <c r="O249" i="4" s="1"/>
  <c r="L249" i="4"/>
  <c r="H249" i="4"/>
  <c r="I249" i="4" s="1"/>
  <c r="F249" i="4"/>
  <c r="C249" i="4"/>
  <c r="AC248" i="4"/>
  <c r="AD248" i="4" s="1"/>
  <c r="AA248" i="4"/>
  <c r="X248" i="4"/>
  <c r="W248" i="4"/>
  <c r="U248" i="4"/>
  <c r="R248" i="4"/>
  <c r="O248" i="4"/>
  <c r="N248" i="4"/>
  <c r="L248" i="4"/>
  <c r="I248" i="4"/>
  <c r="H248" i="4"/>
  <c r="F248" i="4"/>
  <c r="C248" i="4"/>
  <c r="AC247" i="4"/>
  <c r="AD247" i="4" s="1"/>
  <c r="AA247" i="4"/>
  <c r="W247" i="4"/>
  <c r="X247" i="4" s="1"/>
  <c r="U247" i="4"/>
  <c r="R247" i="4"/>
  <c r="O247" i="4"/>
  <c r="N247" i="4"/>
  <c r="L247" i="4"/>
  <c r="H247" i="4"/>
  <c r="I247" i="4" s="1"/>
  <c r="F247" i="4"/>
  <c r="C247" i="4"/>
  <c r="AD246" i="4"/>
  <c r="AC246" i="4"/>
  <c r="AA246" i="4"/>
  <c r="X246" i="4"/>
  <c r="W246" i="4"/>
  <c r="U246" i="4"/>
  <c r="R246" i="4"/>
  <c r="N246" i="4"/>
  <c r="O246" i="4" s="1"/>
  <c r="L246" i="4"/>
  <c r="I246" i="4"/>
  <c r="H246" i="4"/>
  <c r="F246" i="4"/>
  <c r="C246" i="4"/>
  <c r="AD245" i="4"/>
  <c r="AC245" i="4"/>
  <c r="AA245" i="4"/>
  <c r="X245" i="4"/>
  <c r="W245" i="4"/>
  <c r="U245" i="4"/>
  <c r="R245" i="4"/>
  <c r="N245" i="4"/>
  <c r="O245" i="4" s="1"/>
  <c r="L245" i="4"/>
  <c r="H245" i="4"/>
  <c r="I245" i="4" s="1"/>
  <c r="F245" i="4"/>
  <c r="C245" i="4"/>
  <c r="AC244" i="4"/>
  <c r="AD244" i="4" s="1"/>
  <c r="AA244" i="4"/>
  <c r="W244" i="4"/>
  <c r="X244" i="4" s="1"/>
  <c r="U244" i="4"/>
  <c r="R244" i="4"/>
  <c r="O244" i="4"/>
  <c r="N244" i="4"/>
  <c r="L244" i="4"/>
  <c r="H244" i="4"/>
  <c r="I244" i="4" s="1"/>
  <c r="F244" i="4"/>
  <c r="C244" i="4"/>
  <c r="AD243" i="4"/>
  <c r="AC243" i="4"/>
  <c r="AA243" i="4"/>
  <c r="W243" i="4"/>
  <c r="X243" i="4" s="1"/>
  <c r="U243" i="4"/>
  <c r="R243" i="4"/>
  <c r="O243" i="4"/>
  <c r="N243" i="4"/>
  <c r="L243" i="4"/>
  <c r="H243" i="4"/>
  <c r="I243" i="4" s="1"/>
  <c r="F243" i="4"/>
  <c r="C243" i="4"/>
  <c r="AC242" i="4"/>
  <c r="AD242" i="4" s="1"/>
  <c r="AA242" i="4"/>
  <c r="X242" i="4"/>
  <c r="W242" i="4"/>
  <c r="U242" i="4"/>
  <c r="R242" i="4"/>
  <c r="N242" i="4"/>
  <c r="O242" i="4" s="1"/>
  <c r="L242" i="4"/>
  <c r="I242" i="4"/>
  <c r="H242" i="4"/>
  <c r="F242" i="4"/>
  <c r="C242" i="4"/>
  <c r="AD241" i="4"/>
  <c r="AC241" i="4"/>
  <c r="AA241" i="4"/>
  <c r="W241" i="4"/>
  <c r="X241" i="4" s="1"/>
  <c r="U241" i="4"/>
  <c r="R241" i="4"/>
  <c r="N241" i="4"/>
  <c r="O241" i="4" s="1"/>
  <c r="L241" i="4"/>
  <c r="H241" i="4"/>
  <c r="I241" i="4" s="1"/>
  <c r="F241" i="4"/>
  <c r="C241" i="4"/>
  <c r="AC240" i="4"/>
  <c r="AD240" i="4" s="1"/>
  <c r="AA240" i="4"/>
  <c r="X240" i="4"/>
  <c r="W240" i="4"/>
  <c r="U240" i="4"/>
  <c r="R240" i="4"/>
  <c r="O240" i="4"/>
  <c r="N240" i="4"/>
  <c r="L240" i="4"/>
  <c r="I240" i="4"/>
  <c r="H240" i="4"/>
  <c r="F240" i="4"/>
  <c r="C240" i="4"/>
  <c r="AC238" i="4"/>
  <c r="AD238" i="4" s="1"/>
  <c r="AA238" i="4"/>
  <c r="W238" i="4"/>
  <c r="X238" i="4" s="1"/>
  <c r="U238" i="4"/>
  <c r="R238" i="4"/>
  <c r="O238" i="4"/>
  <c r="N238" i="4"/>
  <c r="L238" i="4"/>
  <c r="H238" i="4"/>
  <c r="I238" i="4" s="1"/>
  <c r="F238" i="4"/>
  <c r="C238" i="4"/>
  <c r="AD236" i="4"/>
  <c r="AC236" i="4"/>
  <c r="AA236" i="4"/>
  <c r="Z236" i="4"/>
  <c r="T236" i="4"/>
  <c r="U236" i="4" s="1"/>
  <c r="R236" i="4"/>
  <c r="Q236" i="4"/>
  <c r="K236" i="4"/>
  <c r="L236" i="4" s="1"/>
  <c r="F236" i="4"/>
  <c r="E236" i="4"/>
  <c r="B236" i="4"/>
  <c r="AC235" i="4"/>
  <c r="AD235" i="4" s="1"/>
  <c r="AA235" i="4"/>
  <c r="W235" i="4"/>
  <c r="X235" i="4" s="1"/>
  <c r="U235" i="4"/>
  <c r="R235" i="4"/>
  <c r="O235" i="4"/>
  <c r="N235" i="4"/>
  <c r="L235" i="4"/>
  <c r="I235" i="4"/>
  <c r="H235" i="4"/>
  <c r="F235" i="4"/>
  <c r="C235" i="4"/>
  <c r="AD234" i="4"/>
  <c r="AC234" i="4"/>
  <c r="AA234" i="4"/>
  <c r="W234" i="4"/>
  <c r="X234" i="4" s="1"/>
  <c r="U234" i="4"/>
  <c r="R234" i="4"/>
  <c r="N234" i="4"/>
  <c r="O234" i="4" s="1"/>
  <c r="L234" i="4"/>
  <c r="H234" i="4"/>
  <c r="I234" i="4" s="1"/>
  <c r="F234" i="4"/>
  <c r="C234" i="4"/>
  <c r="AD233" i="4"/>
  <c r="AC233" i="4"/>
  <c r="AA233" i="4"/>
  <c r="X233" i="4"/>
  <c r="W233" i="4"/>
  <c r="U233" i="4"/>
  <c r="R233" i="4"/>
  <c r="O233" i="4"/>
  <c r="N233" i="4"/>
  <c r="L233" i="4"/>
  <c r="H233" i="4"/>
  <c r="I233" i="4" s="1"/>
  <c r="F233" i="4"/>
  <c r="C233" i="4"/>
  <c r="AD232" i="4"/>
  <c r="AC232" i="4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C231" i="4"/>
  <c r="AD231" i="4" s="1"/>
  <c r="AA231" i="4"/>
  <c r="W231" i="4"/>
  <c r="X231" i="4" s="1"/>
  <c r="U231" i="4"/>
  <c r="R231" i="4"/>
  <c r="O231" i="4"/>
  <c r="N231" i="4"/>
  <c r="L231" i="4"/>
  <c r="I231" i="4"/>
  <c r="H231" i="4"/>
  <c r="F231" i="4"/>
  <c r="C231" i="4"/>
  <c r="AD230" i="4"/>
  <c r="AC230" i="4"/>
  <c r="AA230" i="4"/>
  <c r="W230" i="4"/>
  <c r="X230" i="4" s="1"/>
  <c r="U230" i="4"/>
  <c r="R230" i="4"/>
  <c r="O230" i="4"/>
  <c r="N230" i="4"/>
  <c r="L230" i="4"/>
  <c r="H230" i="4"/>
  <c r="I230" i="4" s="1"/>
  <c r="F230" i="4"/>
  <c r="C230" i="4"/>
  <c r="AD229" i="4"/>
  <c r="AC229" i="4"/>
  <c r="AA229" i="4"/>
  <c r="X229" i="4"/>
  <c r="W229" i="4"/>
  <c r="U229" i="4"/>
  <c r="R229" i="4"/>
  <c r="O229" i="4"/>
  <c r="N229" i="4"/>
  <c r="L229" i="4"/>
  <c r="I229" i="4"/>
  <c r="H229" i="4"/>
  <c r="F229" i="4"/>
  <c r="C229" i="4"/>
  <c r="AC227" i="4"/>
  <c r="AD227" i="4" s="1"/>
  <c r="AA227" i="4"/>
  <c r="Z227" i="4"/>
  <c r="T227" i="4"/>
  <c r="U227" i="4" s="1"/>
  <c r="Q227" i="4"/>
  <c r="W227" i="4" s="1"/>
  <c r="X227" i="4" s="1"/>
  <c r="K227" i="4"/>
  <c r="L227" i="4" s="1"/>
  <c r="F227" i="4"/>
  <c r="E227" i="4"/>
  <c r="B227" i="4"/>
  <c r="H227" i="4" s="1"/>
  <c r="I227" i="4" s="1"/>
  <c r="AD226" i="4"/>
  <c r="AC226" i="4"/>
  <c r="AA226" i="4"/>
  <c r="W226" i="4"/>
  <c r="X226" i="4" s="1"/>
  <c r="U226" i="4"/>
  <c r="R226" i="4"/>
  <c r="O226" i="4"/>
  <c r="N226" i="4"/>
  <c r="L226" i="4"/>
  <c r="H226" i="4"/>
  <c r="I226" i="4" s="1"/>
  <c r="F226" i="4"/>
  <c r="C226" i="4"/>
  <c r="AC225" i="4"/>
  <c r="AD225" i="4" s="1"/>
  <c r="AA225" i="4"/>
  <c r="X225" i="4"/>
  <c r="W225" i="4"/>
  <c r="U225" i="4"/>
  <c r="R225" i="4"/>
  <c r="O225" i="4"/>
  <c r="N225" i="4"/>
  <c r="L225" i="4"/>
  <c r="I225" i="4"/>
  <c r="H225" i="4"/>
  <c r="F225" i="4"/>
  <c r="C225" i="4"/>
  <c r="AC224" i="4"/>
  <c r="AD224" i="4" s="1"/>
  <c r="AA224" i="4"/>
  <c r="W224" i="4"/>
  <c r="X224" i="4" s="1"/>
  <c r="U224" i="4"/>
  <c r="R224" i="4"/>
  <c r="O224" i="4"/>
  <c r="N224" i="4"/>
  <c r="L224" i="4"/>
  <c r="H224" i="4"/>
  <c r="I224" i="4" s="1"/>
  <c r="F224" i="4"/>
  <c r="C224" i="4"/>
  <c r="AC223" i="4"/>
  <c r="AD223" i="4" s="1"/>
  <c r="AA223" i="4"/>
  <c r="W223" i="4"/>
  <c r="X223" i="4" s="1"/>
  <c r="U223" i="4"/>
  <c r="R223" i="4"/>
  <c r="O223" i="4"/>
  <c r="N223" i="4"/>
  <c r="L223" i="4"/>
  <c r="I223" i="4"/>
  <c r="H223" i="4"/>
  <c r="F223" i="4"/>
  <c r="C223" i="4"/>
  <c r="AC222" i="4"/>
  <c r="AD222" i="4" s="1"/>
  <c r="AA222" i="4"/>
  <c r="W222" i="4"/>
  <c r="X222" i="4" s="1"/>
  <c r="U222" i="4"/>
  <c r="R222" i="4"/>
  <c r="N222" i="4"/>
  <c r="O222" i="4" s="1"/>
  <c r="L222" i="4"/>
  <c r="H222" i="4"/>
  <c r="I222" i="4" s="1"/>
  <c r="F222" i="4"/>
  <c r="C222" i="4"/>
  <c r="AC221" i="4"/>
  <c r="AD221" i="4" s="1"/>
  <c r="AA221" i="4"/>
  <c r="X221" i="4"/>
  <c r="W221" i="4"/>
  <c r="U221" i="4"/>
  <c r="R221" i="4"/>
  <c r="O221" i="4"/>
  <c r="N221" i="4"/>
  <c r="L221" i="4"/>
  <c r="H221" i="4"/>
  <c r="I221" i="4" s="1"/>
  <c r="F221" i="4"/>
  <c r="C221" i="4"/>
  <c r="AC220" i="4"/>
  <c r="AD220" i="4" s="1"/>
  <c r="AA220" i="4"/>
  <c r="X220" i="4"/>
  <c r="W220" i="4"/>
  <c r="U220" i="4"/>
  <c r="R220" i="4"/>
  <c r="O220" i="4"/>
  <c r="N220" i="4"/>
  <c r="L220" i="4"/>
  <c r="H220" i="4"/>
  <c r="I220" i="4" s="1"/>
  <c r="F220" i="4"/>
  <c r="C220" i="4"/>
  <c r="AC219" i="4"/>
  <c r="AD219" i="4" s="1"/>
  <c r="AA219" i="4"/>
  <c r="W219" i="4"/>
  <c r="X219" i="4" s="1"/>
  <c r="U219" i="4"/>
  <c r="R219" i="4"/>
  <c r="O219" i="4"/>
  <c r="N219" i="4"/>
  <c r="L219" i="4"/>
  <c r="I219" i="4"/>
  <c r="H219" i="4"/>
  <c r="F219" i="4"/>
  <c r="C219" i="4"/>
  <c r="Z218" i="4"/>
  <c r="AA218" i="4" s="1"/>
  <c r="T218" i="4"/>
  <c r="Q218" i="4"/>
  <c r="R218" i="4" s="1"/>
  <c r="K218" i="4"/>
  <c r="L218" i="4" s="1"/>
  <c r="F218" i="4"/>
  <c r="E218" i="4"/>
  <c r="B218" i="4"/>
  <c r="C218" i="4" s="1"/>
  <c r="AC217" i="4"/>
  <c r="AD217" i="4" s="1"/>
  <c r="AA217" i="4"/>
  <c r="X217" i="4"/>
  <c r="W217" i="4"/>
  <c r="U217" i="4"/>
  <c r="R217" i="4"/>
  <c r="O217" i="4"/>
  <c r="N217" i="4"/>
  <c r="L217" i="4"/>
  <c r="I217" i="4"/>
  <c r="H217" i="4"/>
  <c r="F217" i="4"/>
  <c r="C217" i="4"/>
  <c r="AC216" i="4"/>
  <c r="AD216" i="4" s="1"/>
  <c r="AA216" i="4"/>
  <c r="W216" i="4"/>
  <c r="X216" i="4" s="1"/>
  <c r="U216" i="4"/>
  <c r="R216" i="4"/>
  <c r="O216" i="4"/>
  <c r="N216" i="4"/>
  <c r="L216" i="4"/>
  <c r="I216" i="4"/>
  <c r="H216" i="4"/>
  <c r="F216" i="4"/>
  <c r="C216" i="4"/>
  <c r="AD215" i="4"/>
  <c r="AC215" i="4"/>
  <c r="AA215" i="4"/>
  <c r="W215" i="4"/>
  <c r="X215" i="4" s="1"/>
  <c r="U215" i="4"/>
  <c r="R215" i="4"/>
  <c r="O215" i="4"/>
  <c r="N215" i="4"/>
  <c r="L215" i="4"/>
  <c r="H215" i="4"/>
  <c r="I215" i="4" s="1"/>
  <c r="F215" i="4"/>
  <c r="C215" i="4"/>
  <c r="AC214" i="4"/>
  <c r="AD214" i="4" s="1"/>
  <c r="AA214" i="4"/>
  <c r="X214" i="4"/>
  <c r="W214" i="4"/>
  <c r="U214" i="4"/>
  <c r="R214" i="4"/>
  <c r="O214" i="4"/>
  <c r="N214" i="4"/>
  <c r="L214" i="4"/>
  <c r="I214" i="4"/>
  <c r="H214" i="4"/>
  <c r="F214" i="4"/>
  <c r="C214" i="4"/>
  <c r="AC213" i="4"/>
  <c r="AD213" i="4" s="1"/>
  <c r="AA213" i="4"/>
  <c r="W213" i="4"/>
  <c r="X213" i="4" s="1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W211" i="4"/>
  <c r="X211" i="4" s="1"/>
  <c r="U211" i="4"/>
  <c r="R211" i="4"/>
  <c r="O211" i="4"/>
  <c r="N211" i="4"/>
  <c r="L211" i="4"/>
  <c r="I211" i="4"/>
  <c r="H211" i="4"/>
  <c r="F211" i="4"/>
  <c r="C211" i="4"/>
  <c r="AC209" i="4"/>
  <c r="AD209" i="4" s="1"/>
  <c r="Z209" i="4"/>
  <c r="AA209" i="4" s="1"/>
  <c r="W209" i="4"/>
  <c r="X209" i="4" s="1"/>
  <c r="T209" i="4"/>
  <c r="U209" i="4" s="1"/>
  <c r="Q209" i="4"/>
  <c r="R209" i="4" s="1"/>
  <c r="N209" i="4"/>
  <c r="O209" i="4" s="1"/>
  <c r="L209" i="4"/>
  <c r="K209" i="4"/>
  <c r="F209" i="4"/>
  <c r="E209" i="4"/>
  <c r="B209" i="4"/>
  <c r="C209" i="4" s="1"/>
  <c r="AD208" i="4"/>
  <c r="AC208" i="4"/>
  <c r="AA208" i="4"/>
  <c r="X208" i="4"/>
  <c r="W208" i="4"/>
  <c r="U208" i="4"/>
  <c r="R208" i="4"/>
  <c r="N208" i="4"/>
  <c r="O208" i="4" s="1"/>
  <c r="L208" i="4"/>
  <c r="H208" i="4"/>
  <c r="I208" i="4" s="1"/>
  <c r="F208" i="4"/>
  <c r="C208" i="4"/>
  <c r="AC207" i="4"/>
  <c r="AD207" i="4" s="1"/>
  <c r="AA207" i="4"/>
  <c r="X207" i="4"/>
  <c r="W207" i="4"/>
  <c r="U207" i="4"/>
  <c r="R207" i="4"/>
  <c r="O207" i="4"/>
  <c r="N207" i="4"/>
  <c r="L207" i="4"/>
  <c r="H207" i="4"/>
  <c r="I207" i="4" s="1"/>
  <c r="F207" i="4"/>
  <c r="C207" i="4"/>
  <c r="AD206" i="4"/>
  <c r="AC206" i="4"/>
  <c r="AA206" i="4"/>
  <c r="W206" i="4"/>
  <c r="X206" i="4" s="1"/>
  <c r="U206" i="4"/>
  <c r="R206" i="4"/>
  <c r="N206" i="4"/>
  <c r="O206" i="4" s="1"/>
  <c r="L206" i="4"/>
  <c r="H206" i="4"/>
  <c r="I206" i="4" s="1"/>
  <c r="F206" i="4"/>
  <c r="C206" i="4"/>
  <c r="AD205" i="4"/>
  <c r="AC205" i="4"/>
  <c r="AA205" i="4"/>
  <c r="X205" i="4"/>
  <c r="W205" i="4"/>
  <c r="U205" i="4"/>
  <c r="R205" i="4"/>
  <c r="N205" i="4"/>
  <c r="O205" i="4" s="1"/>
  <c r="L205" i="4"/>
  <c r="H205" i="4"/>
  <c r="I205" i="4" s="1"/>
  <c r="F205" i="4"/>
  <c r="C205" i="4"/>
  <c r="AC204" i="4"/>
  <c r="AD204" i="4" s="1"/>
  <c r="AA204" i="4"/>
  <c r="X204" i="4"/>
  <c r="W204" i="4"/>
  <c r="U204" i="4"/>
  <c r="R204" i="4"/>
  <c r="O204" i="4"/>
  <c r="N204" i="4"/>
  <c r="L204" i="4"/>
  <c r="I204" i="4"/>
  <c r="H204" i="4"/>
  <c r="F204" i="4"/>
  <c r="C204" i="4"/>
  <c r="AC203" i="4"/>
  <c r="AD203" i="4" s="1"/>
  <c r="AA203" i="4"/>
  <c r="W203" i="4"/>
  <c r="X203" i="4" s="1"/>
  <c r="U203" i="4"/>
  <c r="R203" i="4"/>
  <c r="O203" i="4"/>
  <c r="N203" i="4"/>
  <c r="L203" i="4"/>
  <c r="I203" i="4"/>
  <c r="H203" i="4"/>
  <c r="F203" i="4"/>
  <c r="C203" i="4"/>
  <c r="AD202" i="4"/>
  <c r="AC202" i="4"/>
  <c r="AA202" i="4"/>
  <c r="W202" i="4"/>
  <c r="X202" i="4" s="1"/>
  <c r="U202" i="4"/>
  <c r="R202" i="4"/>
  <c r="O202" i="4"/>
  <c r="N202" i="4"/>
  <c r="L202" i="4"/>
  <c r="H202" i="4"/>
  <c r="I202" i="4" s="1"/>
  <c r="F202" i="4"/>
  <c r="C202" i="4"/>
  <c r="AC201" i="4"/>
  <c r="AD201" i="4" s="1"/>
  <c r="AA201" i="4"/>
  <c r="X201" i="4"/>
  <c r="W201" i="4"/>
  <c r="U201" i="4"/>
  <c r="R201" i="4"/>
  <c r="O201" i="4"/>
  <c r="N201" i="4"/>
  <c r="L201" i="4"/>
  <c r="I201" i="4"/>
  <c r="H201" i="4"/>
  <c r="F201" i="4"/>
  <c r="C201" i="4"/>
  <c r="Z197" i="4"/>
  <c r="AA197" i="4" s="1"/>
  <c r="U197" i="4"/>
  <c r="T197" i="4"/>
  <c r="R197" i="4"/>
  <c r="Q197" i="4"/>
  <c r="W197" i="4" s="1"/>
  <c r="X197" i="4" s="1"/>
  <c r="L197" i="4"/>
  <c r="K197" i="4"/>
  <c r="N197" i="4" s="1"/>
  <c r="O197" i="4" s="1"/>
  <c r="H197" i="4"/>
  <c r="I197" i="4" s="1"/>
  <c r="E197" i="4"/>
  <c r="F197" i="4" s="1"/>
  <c r="B197" i="4"/>
  <c r="C197" i="4" s="1"/>
  <c r="AC196" i="4"/>
  <c r="AD196" i="4" s="1"/>
  <c r="AA196" i="4"/>
  <c r="Z196" i="4"/>
  <c r="T196" i="4"/>
  <c r="U196" i="4" s="1"/>
  <c r="Q196" i="4"/>
  <c r="W196" i="4" s="1"/>
  <c r="X196" i="4" s="1"/>
  <c r="K196" i="4"/>
  <c r="L196" i="4" s="1"/>
  <c r="F196" i="4"/>
  <c r="E196" i="4"/>
  <c r="B196" i="4"/>
  <c r="H196" i="4" s="1"/>
  <c r="I196" i="4" s="1"/>
  <c r="AD195" i="4"/>
  <c r="AC195" i="4"/>
  <c r="AA195" i="4"/>
  <c r="W195" i="4"/>
  <c r="X195" i="4" s="1"/>
  <c r="U195" i="4"/>
  <c r="R195" i="4"/>
  <c r="O195" i="4"/>
  <c r="N195" i="4"/>
  <c r="L195" i="4"/>
  <c r="H195" i="4"/>
  <c r="I195" i="4" s="1"/>
  <c r="F195" i="4"/>
  <c r="C195" i="4"/>
  <c r="AC194" i="4"/>
  <c r="AD194" i="4" s="1"/>
  <c r="AA194" i="4"/>
  <c r="X194" i="4"/>
  <c r="W194" i="4"/>
  <c r="U194" i="4"/>
  <c r="R194" i="4"/>
  <c r="O194" i="4"/>
  <c r="N194" i="4"/>
  <c r="L194" i="4"/>
  <c r="I194" i="4"/>
  <c r="H194" i="4"/>
  <c r="F194" i="4"/>
  <c r="C194" i="4"/>
  <c r="Z193" i="4"/>
  <c r="AC193" i="4" s="1"/>
  <c r="AD193" i="4" s="1"/>
  <c r="X193" i="4"/>
  <c r="W193" i="4"/>
  <c r="T193" i="4"/>
  <c r="U193" i="4" s="1"/>
  <c r="R193" i="4"/>
  <c r="Q193" i="4"/>
  <c r="K193" i="4"/>
  <c r="L193" i="4" s="1"/>
  <c r="E193" i="4"/>
  <c r="B193" i="4"/>
  <c r="C193" i="4" s="1"/>
  <c r="AC192" i="4"/>
  <c r="AD192" i="4" s="1"/>
  <c r="AA192" i="4"/>
  <c r="X192" i="4"/>
  <c r="W192" i="4"/>
  <c r="U192" i="4"/>
  <c r="R192" i="4"/>
  <c r="O192" i="4"/>
  <c r="N192" i="4"/>
  <c r="L192" i="4"/>
  <c r="H192" i="4"/>
  <c r="I192" i="4" s="1"/>
  <c r="F192" i="4"/>
  <c r="C192" i="4"/>
  <c r="AD191" i="4"/>
  <c r="AC191" i="4"/>
  <c r="AA191" i="4"/>
  <c r="X191" i="4"/>
  <c r="W191" i="4"/>
  <c r="U191" i="4"/>
  <c r="R191" i="4"/>
  <c r="N191" i="4"/>
  <c r="O191" i="4" s="1"/>
  <c r="L191" i="4"/>
  <c r="I191" i="4"/>
  <c r="H191" i="4"/>
  <c r="F191" i="4"/>
  <c r="C191" i="4"/>
  <c r="AD190" i="4"/>
  <c r="AC190" i="4"/>
  <c r="AA190" i="4"/>
  <c r="W190" i="4"/>
  <c r="X190" i="4" s="1"/>
  <c r="U190" i="4"/>
  <c r="R190" i="4"/>
  <c r="O190" i="4"/>
  <c r="N190" i="4"/>
  <c r="L190" i="4"/>
  <c r="I190" i="4"/>
  <c r="H190" i="4"/>
  <c r="F190" i="4"/>
  <c r="C190" i="4"/>
  <c r="AC189" i="4"/>
  <c r="AD189" i="4" s="1"/>
  <c r="AA189" i="4"/>
  <c r="X189" i="4"/>
  <c r="W189" i="4"/>
  <c r="U189" i="4"/>
  <c r="R189" i="4"/>
  <c r="O189" i="4"/>
  <c r="N189" i="4"/>
  <c r="L189" i="4"/>
  <c r="I189" i="4"/>
  <c r="H189" i="4"/>
  <c r="F189" i="4"/>
  <c r="C189" i="4"/>
  <c r="AC188" i="4"/>
  <c r="AD188" i="4" s="1"/>
  <c r="AA188" i="4"/>
  <c r="W188" i="4"/>
  <c r="X188" i="4" s="1"/>
  <c r="U188" i="4"/>
  <c r="R188" i="4"/>
  <c r="O188" i="4"/>
  <c r="N188" i="4"/>
  <c r="L188" i="4"/>
  <c r="H188" i="4"/>
  <c r="I188" i="4" s="1"/>
  <c r="F188" i="4"/>
  <c r="C188" i="4"/>
  <c r="AD187" i="4"/>
  <c r="AC187" i="4"/>
  <c r="AA187" i="4"/>
  <c r="X187" i="4"/>
  <c r="W187" i="4"/>
  <c r="U187" i="4"/>
  <c r="R187" i="4"/>
  <c r="O187" i="4"/>
  <c r="N187" i="4"/>
  <c r="L187" i="4"/>
  <c r="I187" i="4"/>
  <c r="H187" i="4"/>
  <c r="F187" i="4"/>
  <c r="C187" i="4"/>
  <c r="AC186" i="4"/>
  <c r="AD186" i="4" s="1"/>
  <c r="AA186" i="4"/>
  <c r="W186" i="4"/>
  <c r="X186" i="4" s="1"/>
  <c r="U186" i="4"/>
  <c r="R186" i="4"/>
  <c r="N186" i="4"/>
  <c r="O186" i="4" s="1"/>
  <c r="L186" i="4"/>
  <c r="I186" i="4"/>
  <c r="H186" i="4"/>
  <c r="F186" i="4"/>
  <c r="C186" i="4"/>
  <c r="AC184" i="4"/>
  <c r="AD184" i="4" s="1"/>
  <c r="AA184" i="4"/>
  <c r="W184" i="4"/>
  <c r="X184" i="4" s="1"/>
  <c r="U184" i="4"/>
  <c r="R184" i="4"/>
  <c r="O184" i="4"/>
  <c r="N184" i="4"/>
  <c r="L184" i="4"/>
  <c r="H184" i="4"/>
  <c r="I184" i="4" s="1"/>
  <c r="F184" i="4"/>
  <c r="C184" i="4"/>
  <c r="AC183" i="4"/>
  <c r="AD183" i="4" s="1"/>
  <c r="AA183" i="4"/>
  <c r="X183" i="4"/>
  <c r="W183" i="4"/>
  <c r="U183" i="4"/>
  <c r="R183" i="4"/>
  <c r="O183" i="4"/>
  <c r="N183" i="4"/>
  <c r="L183" i="4"/>
  <c r="H183" i="4"/>
  <c r="I183" i="4" s="1"/>
  <c r="F183" i="4"/>
  <c r="C183" i="4"/>
  <c r="AC182" i="4"/>
  <c r="AD182" i="4" s="1"/>
  <c r="AA182" i="4"/>
  <c r="Z182" i="4"/>
  <c r="W182" i="4"/>
  <c r="X182" i="4" s="1"/>
  <c r="T182" i="4"/>
  <c r="U182" i="4" s="1"/>
  <c r="Q182" i="4"/>
  <c r="R182" i="4" s="1"/>
  <c r="K182" i="4"/>
  <c r="L182" i="4" s="1"/>
  <c r="F182" i="4"/>
  <c r="E182" i="4"/>
  <c r="B182" i="4"/>
  <c r="H182" i="4" s="1"/>
  <c r="I182" i="4" s="1"/>
  <c r="AC181" i="4"/>
  <c r="AD181" i="4" s="1"/>
  <c r="AA181" i="4"/>
  <c r="X181" i="4"/>
  <c r="W181" i="4"/>
  <c r="U181" i="4"/>
  <c r="R181" i="4"/>
  <c r="O181" i="4"/>
  <c r="N181" i="4"/>
  <c r="L181" i="4"/>
  <c r="H181" i="4"/>
  <c r="I181" i="4" s="1"/>
  <c r="F181" i="4"/>
  <c r="C181" i="4"/>
  <c r="AC180" i="4"/>
  <c r="AD180" i="4" s="1"/>
  <c r="AA180" i="4"/>
  <c r="X180" i="4"/>
  <c r="W180" i="4"/>
  <c r="U180" i="4"/>
  <c r="R180" i="4"/>
  <c r="O180" i="4"/>
  <c r="N180" i="4"/>
  <c r="L180" i="4"/>
  <c r="H180" i="4"/>
  <c r="I180" i="4" s="1"/>
  <c r="F180" i="4"/>
  <c r="C180" i="4"/>
  <c r="AD179" i="4"/>
  <c r="AC179" i="4"/>
  <c r="AA179" i="4"/>
  <c r="X179" i="4"/>
  <c r="W179" i="4"/>
  <c r="U179" i="4"/>
  <c r="R179" i="4"/>
  <c r="N179" i="4"/>
  <c r="O179" i="4" s="1"/>
  <c r="L179" i="4"/>
  <c r="I179" i="4"/>
  <c r="H179" i="4"/>
  <c r="F179" i="4"/>
  <c r="C179" i="4"/>
  <c r="AD178" i="4"/>
  <c r="AC178" i="4"/>
  <c r="AA178" i="4"/>
  <c r="W178" i="4"/>
  <c r="X178" i="4" s="1"/>
  <c r="U178" i="4"/>
  <c r="R178" i="4"/>
  <c r="O178" i="4"/>
  <c r="N178" i="4"/>
  <c r="L178" i="4"/>
  <c r="I178" i="4"/>
  <c r="H178" i="4"/>
  <c r="F178" i="4"/>
  <c r="C178" i="4"/>
  <c r="AC177" i="4"/>
  <c r="AD177" i="4" s="1"/>
  <c r="AA177" i="4"/>
  <c r="X177" i="4"/>
  <c r="W177" i="4"/>
  <c r="U177" i="4"/>
  <c r="R177" i="4"/>
  <c r="O177" i="4"/>
  <c r="N177" i="4"/>
  <c r="L177" i="4"/>
  <c r="I177" i="4"/>
  <c r="H177" i="4"/>
  <c r="F177" i="4"/>
  <c r="C177" i="4"/>
  <c r="AC175" i="4"/>
  <c r="AD175" i="4" s="1"/>
  <c r="AA175" i="4"/>
  <c r="W175" i="4"/>
  <c r="X175" i="4" s="1"/>
  <c r="U175" i="4"/>
  <c r="R175" i="4"/>
  <c r="O175" i="4"/>
  <c r="N175" i="4"/>
  <c r="L175" i="4"/>
  <c r="H175" i="4"/>
  <c r="I175" i="4" s="1"/>
  <c r="F175" i="4"/>
  <c r="C175" i="4"/>
  <c r="AC171" i="4"/>
  <c r="AD171" i="4" s="1"/>
  <c r="Z171" i="4"/>
  <c r="AA171" i="4" s="1"/>
  <c r="T171" i="4"/>
  <c r="T172" i="4" s="1"/>
  <c r="Q171" i="4"/>
  <c r="R171" i="4" s="1"/>
  <c r="L171" i="4"/>
  <c r="K171" i="4"/>
  <c r="E171" i="4"/>
  <c r="F171" i="4" s="1"/>
  <c r="B171" i="4"/>
  <c r="Z170" i="4"/>
  <c r="AC170" i="4" s="1"/>
  <c r="AD170" i="4" s="1"/>
  <c r="W170" i="4"/>
  <c r="X170" i="4" s="1"/>
  <c r="U170" i="4"/>
  <c r="T170" i="4"/>
  <c r="R170" i="4"/>
  <c r="Q170" i="4"/>
  <c r="K170" i="4"/>
  <c r="L170" i="4" s="1"/>
  <c r="E170" i="4"/>
  <c r="B170" i="4"/>
  <c r="C170" i="4" s="1"/>
  <c r="AC169" i="4"/>
  <c r="AD169" i="4" s="1"/>
  <c r="AA169" i="4"/>
  <c r="W169" i="4"/>
  <c r="X169" i="4" s="1"/>
  <c r="U169" i="4"/>
  <c r="R169" i="4"/>
  <c r="O169" i="4"/>
  <c r="N169" i="4"/>
  <c r="L169" i="4"/>
  <c r="I169" i="4"/>
  <c r="H169" i="4"/>
  <c r="F169" i="4"/>
  <c r="C169" i="4"/>
  <c r="AD168" i="4"/>
  <c r="AC168" i="4"/>
  <c r="AA168" i="4"/>
  <c r="W168" i="4"/>
  <c r="X168" i="4" s="1"/>
  <c r="U168" i="4"/>
  <c r="R168" i="4"/>
  <c r="N168" i="4"/>
  <c r="O168" i="4" s="1"/>
  <c r="L168" i="4"/>
  <c r="H168" i="4"/>
  <c r="I168" i="4" s="1"/>
  <c r="F168" i="4"/>
  <c r="C168" i="4"/>
  <c r="AC167" i="4"/>
  <c r="AD167" i="4" s="1"/>
  <c r="AA167" i="4"/>
  <c r="X167" i="4"/>
  <c r="W167" i="4"/>
  <c r="U167" i="4"/>
  <c r="R167" i="4"/>
  <c r="O167" i="4"/>
  <c r="N167" i="4"/>
  <c r="L167" i="4"/>
  <c r="H167" i="4"/>
  <c r="I167" i="4" s="1"/>
  <c r="F167" i="4"/>
  <c r="C167" i="4"/>
  <c r="Z166" i="4"/>
  <c r="AC166" i="4" s="1"/>
  <c r="AD166" i="4" s="1"/>
  <c r="W166" i="4"/>
  <c r="X166" i="4" s="1"/>
  <c r="T166" i="4"/>
  <c r="U166" i="4" s="1"/>
  <c r="R166" i="4"/>
  <c r="Q166" i="4"/>
  <c r="L166" i="4"/>
  <c r="K166" i="4"/>
  <c r="H166" i="4"/>
  <c r="I166" i="4" s="1"/>
  <c r="E166" i="4"/>
  <c r="F166" i="4" s="1"/>
  <c r="B166" i="4"/>
  <c r="C166" i="4" s="1"/>
  <c r="AC165" i="4"/>
  <c r="AD165" i="4" s="1"/>
  <c r="AA165" i="4"/>
  <c r="X165" i="4"/>
  <c r="W165" i="4"/>
  <c r="U165" i="4"/>
  <c r="R165" i="4"/>
  <c r="O165" i="4"/>
  <c r="N165" i="4"/>
  <c r="L165" i="4"/>
  <c r="H165" i="4"/>
  <c r="I165" i="4" s="1"/>
  <c r="F165" i="4"/>
  <c r="C165" i="4"/>
  <c r="AD164" i="4"/>
  <c r="AC164" i="4"/>
  <c r="AA164" i="4"/>
  <c r="X164" i="4"/>
  <c r="W164" i="4"/>
  <c r="U164" i="4"/>
  <c r="R164" i="4"/>
  <c r="N164" i="4"/>
  <c r="O164" i="4" s="1"/>
  <c r="L164" i="4"/>
  <c r="I164" i="4"/>
  <c r="H164" i="4"/>
  <c r="F164" i="4"/>
  <c r="C164" i="4"/>
  <c r="AD163" i="4"/>
  <c r="AC163" i="4"/>
  <c r="AA163" i="4"/>
  <c r="W163" i="4"/>
  <c r="X163" i="4" s="1"/>
  <c r="U163" i="4"/>
  <c r="R163" i="4"/>
  <c r="N163" i="4"/>
  <c r="O163" i="4" s="1"/>
  <c r="L163" i="4"/>
  <c r="I163" i="4"/>
  <c r="H163" i="4"/>
  <c r="F163" i="4"/>
  <c r="C163" i="4"/>
  <c r="AC162" i="4"/>
  <c r="AD162" i="4" s="1"/>
  <c r="AA162" i="4"/>
  <c r="X162" i="4"/>
  <c r="W162" i="4"/>
  <c r="U162" i="4"/>
  <c r="R162" i="4"/>
  <c r="O162" i="4"/>
  <c r="N162" i="4"/>
  <c r="L162" i="4"/>
  <c r="H162" i="4"/>
  <c r="I162" i="4" s="1"/>
  <c r="F162" i="4"/>
  <c r="C162" i="4"/>
  <c r="AC161" i="4"/>
  <c r="AD161" i="4" s="1"/>
  <c r="AA161" i="4"/>
  <c r="X161" i="4"/>
  <c r="W161" i="4"/>
  <c r="U161" i="4"/>
  <c r="R161" i="4"/>
  <c r="O161" i="4"/>
  <c r="N161" i="4"/>
  <c r="L161" i="4"/>
  <c r="H161" i="4"/>
  <c r="I161" i="4" s="1"/>
  <c r="F161" i="4"/>
  <c r="C161" i="4"/>
  <c r="AD160" i="4"/>
  <c r="AC160" i="4"/>
  <c r="AA160" i="4"/>
  <c r="X160" i="4"/>
  <c r="W160" i="4"/>
  <c r="U160" i="4"/>
  <c r="R160" i="4"/>
  <c r="N160" i="4"/>
  <c r="O160" i="4" s="1"/>
  <c r="L160" i="4"/>
  <c r="I160" i="4"/>
  <c r="H160" i="4"/>
  <c r="F160" i="4"/>
  <c r="C160" i="4"/>
  <c r="AA158" i="4"/>
  <c r="Z158" i="4"/>
  <c r="T158" i="4"/>
  <c r="U158" i="4" s="1"/>
  <c r="Q158" i="4"/>
  <c r="W158" i="4" s="1"/>
  <c r="X158" i="4" s="1"/>
  <c r="N158" i="4"/>
  <c r="O158" i="4" s="1"/>
  <c r="K158" i="4"/>
  <c r="L158" i="4" s="1"/>
  <c r="F158" i="4"/>
  <c r="E158" i="4"/>
  <c r="H158" i="4" s="1"/>
  <c r="I158" i="4" s="1"/>
  <c r="C158" i="4"/>
  <c r="B158" i="4"/>
  <c r="AD157" i="4"/>
  <c r="AC157" i="4"/>
  <c r="AA157" i="4"/>
  <c r="W157" i="4"/>
  <c r="X157" i="4" s="1"/>
  <c r="U157" i="4"/>
  <c r="R157" i="4"/>
  <c r="N157" i="4"/>
  <c r="O157" i="4" s="1"/>
  <c r="L157" i="4"/>
  <c r="H157" i="4"/>
  <c r="I157" i="4" s="1"/>
  <c r="F157" i="4"/>
  <c r="C157" i="4"/>
  <c r="AC156" i="4"/>
  <c r="AD156" i="4" s="1"/>
  <c r="AA156" i="4"/>
  <c r="X156" i="4"/>
  <c r="W156" i="4"/>
  <c r="U156" i="4"/>
  <c r="R156" i="4"/>
  <c r="O156" i="4"/>
  <c r="N156" i="4"/>
  <c r="L156" i="4"/>
  <c r="H156" i="4"/>
  <c r="I156" i="4" s="1"/>
  <c r="F156" i="4"/>
  <c r="C156" i="4"/>
  <c r="AC155" i="4"/>
  <c r="AD155" i="4" s="1"/>
  <c r="AA155" i="4"/>
  <c r="X155" i="4"/>
  <c r="W155" i="4"/>
  <c r="U155" i="4"/>
  <c r="R155" i="4"/>
  <c r="O155" i="4"/>
  <c r="N155" i="4"/>
  <c r="L155" i="4"/>
  <c r="H155" i="4"/>
  <c r="I155" i="4" s="1"/>
  <c r="F155" i="4"/>
  <c r="C155" i="4"/>
  <c r="AC154" i="4"/>
  <c r="AD154" i="4" s="1"/>
  <c r="AA154" i="4"/>
  <c r="X154" i="4"/>
  <c r="W154" i="4"/>
  <c r="U154" i="4"/>
  <c r="R154" i="4"/>
  <c r="O154" i="4"/>
  <c r="N154" i="4"/>
  <c r="L154" i="4"/>
  <c r="H154" i="4"/>
  <c r="I154" i="4" s="1"/>
  <c r="F154" i="4"/>
  <c r="C154" i="4"/>
  <c r="AC153" i="4"/>
  <c r="AD153" i="4" s="1"/>
  <c r="AA153" i="4"/>
  <c r="X153" i="4"/>
  <c r="W153" i="4"/>
  <c r="U153" i="4"/>
  <c r="R153" i="4"/>
  <c r="O153" i="4"/>
  <c r="N153" i="4"/>
  <c r="L153" i="4"/>
  <c r="H153" i="4"/>
  <c r="I153" i="4" s="1"/>
  <c r="F153" i="4"/>
  <c r="C153" i="4"/>
  <c r="AC151" i="4"/>
  <c r="AD151" i="4" s="1"/>
  <c r="AA151" i="4"/>
  <c r="X151" i="4"/>
  <c r="W151" i="4"/>
  <c r="U151" i="4"/>
  <c r="R151" i="4"/>
  <c r="O151" i="4"/>
  <c r="N151" i="4"/>
  <c r="L151" i="4"/>
  <c r="H151" i="4"/>
  <c r="I151" i="4" s="1"/>
  <c r="F151" i="4"/>
  <c r="C151" i="4"/>
  <c r="Z149" i="4"/>
  <c r="AA149" i="4" s="1"/>
  <c r="W149" i="4"/>
  <c r="X149" i="4" s="1"/>
  <c r="T149" i="4"/>
  <c r="U149" i="4" s="1"/>
  <c r="Q149" i="4"/>
  <c r="R149" i="4" s="1"/>
  <c r="K149" i="4"/>
  <c r="L149" i="4" s="1"/>
  <c r="E149" i="4"/>
  <c r="F149" i="4" s="1"/>
  <c r="B149" i="4"/>
  <c r="H149" i="4" s="1"/>
  <c r="I149" i="4" s="1"/>
  <c r="AC148" i="4"/>
  <c r="AD148" i="4" s="1"/>
  <c r="Z148" i="4"/>
  <c r="AA148" i="4" s="1"/>
  <c r="T148" i="4"/>
  <c r="U148" i="4" s="1"/>
  <c r="Q148" i="4"/>
  <c r="K148" i="4"/>
  <c r="L148" i="4" s="1"/>
  <c r="E148" i="4"/>
  <c r="B148" i="4"/>
  <c r="C148" i="4" s="1"/>
  <c r="AC147" i="4"/>
  <c r="AD147" i="4" s="1"/>
  <c r="AA147" i="4"/>
  <c r="X147" i="4"/>
  <c r="W147" i="4"/>
  <c r="U147" i="4"/>
  <c r="R147" i="4"/>
  <c r="O147" i="4"/>
  <c r="N147" i="4"/>
  <c r="L147" i="4"/>
  <c r="H147" i="4"/>
  <c r="I147" i="4" s="1"/>
  <c r="F147" i="4"/>
  <c r="C147" i="4"/>
  <c r="AC146" i="4"/>
  <c r="AD146" i="4" s="1"/>
  <c r="AA146" i="4"/>
  <c r="X146" i="4"/>
  <c r="W146" i="4"/>
  <c r="U146" i="4"/>
  <c r="R146" i="4"/>
  <c r="O146" i="4"/>
  <c r="N146" i="4"/>
  <c r="L146" i="4"/>
  <c r="H146" i="4"/>
  <c r="I146" i="4" s="1"/>
  <c r="F146" i="4"/>
  <c r="C146" i="4"/>
  <c r="AC145" i="4"/>
  <c r="AD145" i="4" s="1"/>
  <c r="AA145" i="4"/>
  <c r="X145" i="4"/>
  <c r="W145" i="4"/>
  <c r="U145" i="4"/>
  <c r="R145" i="4"/>
  <c r="O145" i="4"/>
  <c r="N145" i="4"/>
  <c r="L145" i="4"/>
  <c r="H145" i="4"/>
  <c r="I145" i="4" s="1"/>
  <c r="F145" i="4"/>
  <c r="C145" i="4"/>
  <c r="AC144" i="4"/>
  <c r="AD144" i="4" s="1"/>
  <c r="AA144" i="4"/>
  <c r="X144" i="4"/>
  <c r="W144" i="4"/>
  <c r="U144" i="4"/>
  <c r="R144" i="4"/>
  <c r="O144" i="4"/>
  <c r="N144" i="4"/>
  <c r="L144" i="4"/>
  <c r="H144" i="4"/>
  <c r="I144" i="4" s="1"/>
  <c r="F144" i="4"/>
  <c r="C144" i="4"/>
  <c r="AC143" i="4"/>
  <c r="AD143" i="4" s="1"/>
  <c r="AA143" i="4"/>
  <c r="X143" i="4"/>
  <c r="W143" i="4"/>
  <c r="U143" i="4"/>
  <c r="R143" i="4"/>
  <c r="O143" i="4"/>
  <c r="N143" i="4"/>
  <c r="L143" i="4"/>
  <c r="H143" i="4"/>
  <c r="I143" i="4" s="1"/>
  <c r="F143" i="4"/>
  <c r="C143" i="4"/>
  <c r="Z141" i="4"/>
  <c r="AA141" i="4" s="1"/>
  <c r="T141" i="4"/>
  <c r="Q141" i="4"/>
  <c r="R141" i="4" s="1"/>
  <c r="K141" i="4"/>
  <c r="L141" i="4" s="1"/>
  <c r="H141" i="4"/>
  <c r="I141" i="4" s="1"/>
  <c r="E141" i="4"/>
  <c r="F141" i="4" s="1"/>
  <c r="B141" i="4"/>
  <c r="C141" i="4" s="1"/>
  <c r="AC140" i="4"/>
  <c r="AD140" i="4" s="1"/>
  <c r="AA140" i="4"/>
  <c r="X140" i="4"/>
  <c r="W140" i="4"/>
  <c r="U140" i="4"/>
  <c r="R140" i="4"/>
  <c r="O140" i="4"/>
  <c r="N140" i="4"/>
  <c r="L140" i="4"/>
  <c r="H140" i="4"/>
  <c r="I140" i="4" s="1"/>
  <c r="F140" i="4"/>
  <c r="C140" i="4"/>
  <c r="AC139" i="4"/>
  <c r="AD139" i="4" s="1"/>
  <c r="AA139" i="4"/>
  <c r="X139" i="4"/>
  <c r="W139" i="4"/>
  <c r="U139" i="4"/>
  <c r="R139" i="4"/>
  <c r="O139" i="4"/>
  <c r="N139" i="4"/>
  <c r="L139" i="4"/>
  <c r="H139" i="4"/>
  <c r="I139" i="4" s="1"/>
  <c r="F139" i="4"/>
  <c r="C139" i="4"/>
  <c r="AC138" i="4"/>
  <c r="AD138" i="4" s="1"/>
  <c r="AA138" i="4"/>
  <c r="X138" i="4"/>
  <c r="W138" i="4"/>
  <c r="U138" i="4"/>
  <c r="R138" i="4"/>
  <c r="O138" i="4"/>
  <c r="N138" i="4"/>
  <c r="L138" i="4"/>
  <c r="H138" i="4"/>
  <c r="I138" i="4" s="1"/>
  <c r="F138" i="4"/>
  <c r="C138" i="4"/>
  <c r="AC137" i="4"/>
  <c r="AD137" i="4" s="1"/>
  <c r="AA137" i="4"/>
  <c r="X137" i="4"/>
  <c r="W137" i="4"/>
  <c r="U137" i="4"/>
  <c r="R137" i="4"/>
  <c r="O137" i="4"/>
  <c r="N137" i="4"/>
  <c r="L137" i="4"/>
  <c r="H137" i="4"/>
  <c r="I137" i="4" s="1"/>
  <c r="F137" i="4"/>
  <c r="C137" i="4"/>
  <c r="AC136" i="4"/>
  <c r="AD136" i="4" s="1"/>
  <c r="AA136" i="4"/>
  <c r="X136" i="4"/>
  <c r="W136" i="4"/>
  <c r="U136" i="4"/>
  <c r="R136" i="4"/>
  <c r="O136" i="4"/>
  <c r="N136" i="4"/>
  <c r="L136" i="4"/>
  <c r="H136" i="4"/>
  <c r="I136" i="4" s="1"/>
  <c r="F136" i="4"/>
  <c r="C136" i="4"/>
  <c r="AC135" i="4"/>
  <c r="AD135" i="4" s="1"/>
  <c r="AA135" i="4"/>
  <c r="X135" i="4"/>
  <c r="W135" i="4"/>
  <c r="U135" i="4"/>
  <c r="R135" i="4"/>
  <c r="O135" i="4"/>
  <c r="N135" i="4"/>
  <c r="L135" i="4"/>
  <c r="H135" i="4"/>
  <c r="I135" i="4" s="1"/>
  <c r="F135" i="4"/>
  <c r="C135" i="4"/>
  <c r="AC134" i="4"/>
  <c r="AD134" i="4" s="1"/>
  <c r="AA134" i="4"/>
  <c r="X134" i="4"/>
  <c r="W134" i="4"/>
  <c r="U134" i="4"/>
  <c r="R134" i="4"/>
  <c r="O134" i="4"/>
  <c r="N134" i="4"/>
  <c r="L134" i="4"/>
  <c r="H134" i="4"/>
  <c r="I134" i="4" s="1"/>
  <c r="F134" i="4"/>
  <c r="C134" i="4"/>
  <c r="AC133" i="4"/>
  <c r="AD133" i="4" s="1"/>
  <c r="AA133" i="4"/>
  <c r="X133" i="4"/>
  <c r="W133" i="4"/>
  <c r="U133" i="4"/>
  <c r="R133" i="4"/>
  <c r="O133" i="4"/>
  <c r="N133" i="4"/>
  <c r="L133" i="4"/>
  <c r="H133" i="4"/>
  <c r="I133" i="4" s="1"/>
  <c r="F133" i="4"/>
  <c r="C133" i="4"/>
  <c r="AC132" i="4"/>
  <c r="AD132" i="4" s="1"/>
  <c r="AA132" i="4"/>
  <c r="X132" i="4"/>
  <c r="W132" i="4"/>
  <c r="U132" i="4"/>
  <c r="R132" i="4"/>
  <c r="O132" i="4"/>
  <c r="N132" i="4"/>
  <c r="L132" i="4"/>
  <c r="H132" i="4"/>
  <c r="I132" i="4" s="1"/>
  <c r="F132" i="4"/>
  <c r="C132" i="4"/>
  <c r="AC131" i="4"/>
  <c r="AD131" i="4" s="1"/>
  <c r="AA131" i="4"/>
  <c r="X131" i="4"/>
  <c r="W131" i="4"/>
  <c r="U131" i="4"/>
  <c r="R131" i="4"/>
  <c r="O131" i="4"/>
  <c r="N131" i="4"/>
  <c r="L131" i="4"/>
  <c r="I131" i="4"/>
  <c r="H131" i="4"/>
  <c r="F131" i="4"/>
  <c r="C131" i="4"/>
  <c r="AC130" i="4"/>
  <c r="AD130" i="4" s="1"/>
  <c r="AA130" i="4"/>
  <c r="W130" i="4"/>
  <c r="X130" i="4" s="1"/>
  <c r="U130" i="4"/>
  <c r="R130" i="4"/>
  <c r="O130" i="4"/>
  <c r="N130" i="4"/>
  <c r="L130" i="4"/>
  <c r="H130" i="4"/>
  <c r="I130" i="4" s="1"/>
  <c r="F130" i="4"/>
  <c r="C130" i="4"/>
  <c r="AC129" i="4"/>
  <c r="AD129" i="4" s="1"/>
  <c r="AA129" i="4"/>
  <c r="X129" i="4"/>
  <c r="W129" i="4"/>
  <c r="U129" i="4"/>
  <c r="R129" i="4"/>
  <c r="O129" i="4"/>
  <c r="N129" i="4"/>
  <c r="L129" i="4"/>
  <c r="H129" i="4"/>
  <c r="I129" i="4" s="1"/>
  <c r="F129" i="4"/>
  <c r="C129" i="4"/>
  <c r="AC127" i="4"/>
  <c r="AD127" i="4" s="1"/>
  <c r="AA127" i="4"/>
  <c r="X127" i="4"/>
  <c r="W127" i="4"/>
  <c r="U127" i="4"/>
  <c r="R127" i="4"/>
  <c r="O127" i="4"/>
  <c r="N127" i="4"/>
  <c r="L127" i="4"/>
  <c r="H127" i="4"/>
  <c r="I127" i="4" s="1"/>
  <c r="F127" i="4"/>
  <c r="C127" i="4"/>
  <c r="Z124" i="4"/>
  <c r="T124" i="4"/>
  <c r="U124" i="4" s="1"/>
  <c r="Q124" i="4"/>
  <c r="K124" i="4"/>
  <c r="E124" i="4"/>
  <c r="C124" i="4"/>
  <c r="B124" i="4"/>
  <c r="AC123" i="4"/>
  <c r="AD123" i="4" s="1"/>
  <c r="AA123" i="4"/>
  <c r="X123" i="4"/>
  <c r="W123" i="4"/>
  <c r="U123" i="4"/>
  <c r="R123" i="4"/>
  <c r="O123" i="4"/>
  <c r="N123" i="4"/>
  <c r="L123" i="4"/>
  <c r="H123" i="4"/>
  <c r="I123" i="4" s="1"/>
  <c r="F123" i="4"/>
  <c r="C123" i="4"/>
  <c r="Z122" i="4"/>
  <c r="AA122" i="4" s="1"/>
  <c r="T122" i="4"/>
  <c r="U122" i="4" s="1"/>
  <c r="Q122" i="4"/>
  <c r="N122" i="4"/>
  <c r="O122" i="4" s="1"/>
  <c r="K122" i="4"/>
  <c r="L122" i="4" s="1"/>
  <c r="E122" i="4"/>
  <c r="B122" i="4"/>
  <c r="C122" i="4" s="1"/>
  <c r="AC121" i="4"/>
  <c r="AD121" i="4" s="1"/>
  <c r="AA121" i="4"/>
  <c r="W121" i="4"/>
  <c r="X121" i="4" s="1"/>
  <c r="U121" i="4"/>
  <c r="R121" i="4"/>
  <c r="O121" i="4"/>
  <c r="N121" i="4"/>
  <c r="L121" i="4"/>
  <c r="H121" i="4"/>
  <c r="I121" i="4" s="1"/>
  <c r="F121" i="4"/>
  <c r="C121" i="4"/>
  <c r="AC120" i="4"/>
  <c r="AD120" i="4" s="1"/>
  <c r="AA120" i="4"/>
  <c r="X120" i="4"/>
  <c r="W120" i="4"/>
  <c r="U120" i="4"/>
  <c r="R120" i="4"/>
  <c r="O120" i="4"/>
  <c r="N120" i="4"/>
  <c r="L120" i="4"/>
  <c r="H120" i="4"/>
  <c r="I120" i="4" s="1"/>
  <c r="F120" i="4"/>
  <c r="C120" i="4"/>
  <c r="AC119" i="4"/>
  <c r="AD119" i="4" s="1"/>
  <c r="AA119" i="4"/>
  <c r="X119" i="4"/>
  <c r="W119" i="4"/>
  <c r="U119" i="4"/>
  <c r="R119" i="4"/>
  <c r="O119" i="4"/>
  <c r="N119" i="4"/>
  <c r="L119" i="4"/>
  <c r="H119" i="4"/>
  <c r="I119" i="4" s="1"/>
  <c r="F119" i="4"/>
  <c r="C119" i="4"/>
  <c r="AA118" i="4"/>
  <c r="Z118" i="4"/>
  <c r="T118" i="4"/>
  <c r="U118" i="4" s="1"/>
  <c r="Q118" i="4"/>
  <c r="R118" i="4" s="1"/>
  <c r="N118" i="4"/>
  <c r="O118" i="4" s="1"/>
  <c r="K118" i="4"/>
  <c r="L118" i="4" s="1"/>
  <c r="E118" i="4"/>
  <c r="F118" i="4" s="1"/>
  <c r="C118" i="4"/>
  <c r="B118" i="4"/>
  <c r="AC117" i="4"/>
  <c r="AD117" i="4" s="1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C116" i="4"/>
  <c r="AD116" i="4" s="1"/>
  <c r="AA116" i="4"/>
  <c r="X116" i="4"/>
  <c r="W116" i="4"/>
  <c r="U116" i="4"/>
  <c r="R116" i="4"/>
  <c r="O116" i="4"/>
  <c r="N116" i="4"/>
  <c r="L116" i="4"/>
  <c r="H116" i="4"/>
  <c r="I116" i="4" s="1"/>
  <c r="F116" i="4"/>
  <c r="C116" i="4"/>
  <c r="AC115" i="4"/>
  <c r="AD115" i="4" s="1"/>
  <c r="AA115" i="4"/>
  <c r="X115" i="4"/>
  <c r="W115" i="4"/>
  <c r="U115" i="4"/>
  <c r="R115" i="4"/>
  <c r="O115" i="4"/>
  <c r="N115" i="4"/>
  <c r="L115" i="4"/>
  <c r="H115" i="4"/>
  <c r="I115" i="4" s="1"/>
  <c r="F115" i="4"/>
  <c r="C115" i="4"/>
  <c r="AC114" i="4"/>
  <c r="AD114" i="4" s="1"/>
  <c r="AA114" i="4"/>
  <c r="W114" i="4"/>
  <c r="X114" i="4" s="1"/>
  <c r="U114" i="4"/>
  <c r="R114" i="4"/>
  <c r="O114" i="4"/>
  <c r="N114" i="4"/>
  <c r="L114" i="4"/>
  <c r="H114" i="4"/>
  <c r="I114" i="4" s="1"/>
  <c r="F114" i="4"/>
  <c r="C114" i="4"/>
  <c r="AC113" i="4"/>
  <c r="AD113" i="4" s="1"/>
  <c r="AA113" i="4"/>
  <c r="X113" i="4"/>
  <c r="W113" i="4"/>
  <c r="U113" i="4"/>
  <c r="R113" i="4"/>
  <c r="O113" i="4"/>
  <c r="N113" i="4"/>
  <c r="L113" i="4"/>
  <c r="H113" i="4"/>
  <c r="I113" i="4" s="1"/>
  <c r="F113" i="4"/>
  <c r="C113" i="4"/>
  <c r="AD112" i="4"/>
  <c r="AC112" i="4"/>
  <c r="AA112" i="4"/>
  <c r="X112" i="4"/>
  <c r="W112" i="4"/>
  <c r="U112" i="4"/>
  <c r="R112" i="4"/>
  <c r="O112" i="4"/>
  <c r="N112" i="4"/>
  <c r="L112" i="4"/>
  <c r="H112" i="4"/>
  <c r="I112" i="4" s="1"/>
  <c r="F112" i="4"/>
  <c r="C112" i="4"/>
  <c r="AC111" i="4"/>
  <c r="AD111" i="4" s="1"/>
  <c r="AA111" i="4"/>
  <c r="X111" i="4"/>
  <c r="W111" i="4"/>
  <c r="U111" i="4"/>
  <c r="R111" i="4"/>
  <c r="O111" i="4"/>
  <c r="N111" i="4"/>
  <c r="L111" i="4"/>
  <c r="H111" i="4"/>
  <c r="I111" i="4" s="1"/>
  <c r="F111" i="4"/>
  <c r="C111" i="4"/>
  <c r="AC110" i="4"/>
  <c r="AD110" i="4" s="1"/>
  <c r="AA110" i="4"/>
  <c r="W110" i="4"/>
  <c r="X110" i="4" s="1"/>
  <c r="U110" i="4"/>
  <c r="R110" i="4"/>
  <c r="O110" i="4"/>
  <c r="N110" i="4"/>
  <c r="L110" i="4"/>
  <c r="H110" i="4"/>
  <c r="I110" i="4" s="1"/>
  <c r="F110" i="4"/>
  <c r="C110" i="4"/>
  <c r="AC109" i="4"/>
  <c r="AD109" i="4" s="1"/>
  <c r="AA109" i="4"/>
  <c r="X109" i="4"/>
  <c r="W109" i="4"/>
  <c r="U109" i="4"/>
  <c r="R109" i="4"/>
  <c r="O109" i="4"/>
  <c r="N109" i="4"/>
  <c r="L109" i="4"/>
  <c r="H109" i="4"/>
  <c r="I109" i="4" s="1"/>
  <c r="F109" i="4"/>
  <c r="C109" i="4"/>
  <c r="AC108" i="4"/>
  <c r="AD108" i="4" s="1"/>
  <c r="AA108" i="4"/>
  <c r="X108" i="4"/>
  <c r="W108" i="4"/>
  <c r="U108" i="4"/>
  <c r="R108" i="4"/>
  <c r="N108" i="4"/>
  <c r="O108" i="4" s="1"/>
  <c r="L108" i="4"/>
  <c r="H108" i="4"/>
  <c r="I108" i="4" s="1"/>
  <c r="F108" i="4"/>
  <c r="C108" i="4"/>
  <c r="AC107" i="4"/>
  <c r="AD107" i="4" s="1"/>
  <c r="AA107" i="4"/>
  <c r="X107" i="4"/>
  <c r="W107" i="4"/>
  <c r="U107" i="4"/>
  <c r="R107" i="4"/>
  <c r="O107" i="4"/>
  <c r="N107" i="4"/>
  <c r="L107" i="4"/>
  <c r="I107" i="4"/>
  <c r="H107" i="4"/>
  <c r="F107" i="4"/>
  <c r="C107" i="4"/>
  <c r="AC106" i="4"/>
  <c r="AD106" i="4" s="1"/>
  <c r="AA106" i="4"/>
  <c r="W106" i="4"/>
  <c r="X106" i="4" s="1"/>
  <c r="U106" i="4"/>
  <c r="R106" i="4"/>
  <c r="O106" i="4"/>
  <c r="N106" i="4"/>
  <c r="L106" i="4"/>
  <c r="H106" i="4"/>
  <c r="I106" i="4" s="1"/>
  <c r="F106" i="4"/>
  <c r="C106" i="4"/>
  <c r="AC105" i="4"/>
  <c r="AD105" i="4" s="1"/>
  <c r="AA105" i="4"/>
  <c r="X105" i="4"/>
  <c r="W105" i="4"/>
  <c r="U105" i="4"/>
  <c r="R105" i="4"/>
  <c r="O105" i="4"/>
  <c r="N105" i="4"/>
  <c r="L105" i="4"/>
  <c r="H105" i="4"/>
  <c r="I105" i="4" s="1"/>
  <c r="F105" i="4"/>
  <c r="C105" i="4"/>
  <c r="AC104" i="4"/>
  <c r="AD104" i="4" s="1"/>
  <c r="AA104" i="4"/>
  <c r="X104" i="4"/>
  <c r="W104" i="4"/>
  <c r="U104" i="4"/>
  <c r="R104" i="4"/>
  <c r="O104" i="4"/>
  <c r="N104" i="4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O103" i="4"/>
  <c r="N103" i="4"/>
  <c r="L103" i="4"/>
  <c r="H103" i="4"/>
  <c r="I103" i="4" s="1"/>
  <c r="F103" i="4"/>
  <c r="C103" i="4"/>
  <c r="AC102" i="4"/>
  <c r="AD102" i="4" s="1"/>
  <c r="AA102" i="4"/>
  <c r="X102" i="4"/>
  <c r="W102" i="4"/>
  <c r="U102" i="4"/>
  <c r="R102" i="4"/>
  <c r="O102" i="4"/>
  <c r="N102" i="4"/>
  <c r="L102" i="4"/>
  <c r="H102" i="4"/>
  <c r="I102" i="4" s="1"/>
  <c r="F102" i="4"/>
  <c r="C102" i="4"/>
  <c r="AC101" i="4"/>
  <c r="AD101" i="4" s="1"/>
  <c r="AA101" i="4"/>
  <c r="X101" i="4"/>
  <c r="W101" i="4"/>
  <c r="U101" i="4"/>
  <c r="R101" i="4"/>
  <c r="O101" i="4"/>
  <c r="N101" i="4"/>
  <c r="L101" i="4"/>
  <c r="H101" i="4"/>
  <c r="I101" i="4" s="1"/>
  <c r="F101" i="4"/>
  <c r="C101" i="4"/>
  <c r="AC100" i="4"/>
  <c r="AD100" i="4" s="1"/>
  <c r="AA100" i="4"/>
  <c r="X100" i="4"/>
  <c r="W100" i="4"/>
  <c r="U100" i="4"/>
  <c r="R100" i="4"/>
  <c r="O100" i="4"/>
  <c r="N100" i="4"/>
  <c r="L100" i="4"/>
  <c r="H100" i="4"/>
  <c r="I100" i="4" s="1"/>
  <c r="F100" i="4"/>
  <c r="C100" i="4"/>
  <c r="AC99" i="4"/>
  <c r="AD99" i="4" s="1"/>
  <c r="AA99" i="4"/>
  <c r="X99" i="4"/>
  <c r="W99" i="4"/>
  <c r="U99" i="4"/>
  <c r="R99" i="4"/>
  <c r="O99" i="4"/>
  <c r="N99" i="4"/>
  <c r="L99" i="4"/>
  <c r="H99" i="4"/>
  <c r="I99" i="4" s="1"/>
  <c r="F99" i="4"/>
  <c r="C99" i="4"/>
  <c r="AC98" i="4"/>
  <c r="AD98" i="4" s="1"/>
  <c r="AA98" i="4"/>
  <c r="W98" i="4"/>
  <c r="X98" i="4" s="1"/>
  <c r="U98" i="4"/>
  <c r="R98" i="4"/>
  <c r="O98" i="4"/>
  <c r="N98" i="4"/>
  <c r="L98" i="4"/>
  <c r="H98" i="4"/>
  <c r="I98" i="4" s="1"/>
  <c r="F98" i="4"/>
  <c r="C98" i="4"/>
  <c r="AC97" i="4"/>
  <c r="AD97" i="4" s="1"/>
  <c r="AA97" i="4"/>
  <c r="X97" i="4"/>
  <c r="W97" i="4"/>
  <c r="U97" i="4"/>
  <c r="R97" i="4"/>
  <c r="O97" i="4"/>
  <c r="N97" i="4"/>
  <c r="L97" i="4"/>
  <c r="H97" i="4"/>
  <c r="I97" i="4" s="1"/>
  <c r="F97" i="4"/>
  <c r="C97" i="4"/>
  <c r="AC96" i="4"/>
  <c r="AD96" i="4" s="1"/>
  <c r="AA96" i="4"/>
  <c r="X96" i="4"/>
  <c r="W96" i="4"/>
  <c r="U96" i="4"/>
  <c r="R96" i="4"/>
  <c r="O96" i="4"/>
  <c r="N96" i="4"/>
  <c r="L96" i="4"/>
  <c r="H96" i="4"/>
  <c r="I96" i="4" s="1"/>
  <c r="F96" i="4"/>
  <c r="C96" i="4"/>
  <c r="AC95" i="4"/>
  <c r="AD95" i="4" s="1"/>
  <c r="AA95" i="4"/>
  <c r="X95" i="4"/>
  <c r="W95" i="4"/>
  <c r="U95" i="4"/>
  <c r="R95" i="4"/>
  <c r="O95" i="4"/>
  <c r="N95" i="4"/>
  <c r="L95" i="4"/>
  <c r="H95" i="4"/>
  <c r="I95" i="4" s="1"/>
  <c r="F95" i="4"/>
  <c r="C95" i="4"/>
  <c r="AC94" i="4"/>
  <c r="AD94" i="4" s="1"/>
  <c r="AA94" i="4"/>
  <c r="W94" i="4"/>
  <c r="X94" i="4" s="1"/>
  <c r="U94" i="4"/>
  <c r="R94" i="4"/>
  <c r="O94" i="4"/>
  <c r="N94" i="4"/>
  <c r="L94" i="4"/>
  <c r="H94" i="4"/>
  <c r="I94" i="4" s="1"/>
  <c r="F94" i="4"/>
  <c r="C94" i="4"/>
  <c r="AC92" i="4"/>
  <c r="AD92" i="4" s="1"/>
  <c r="AA92" i="4"/>
  <c r="X92" i="4"/>
  <c r="W92" i="4"/>
  <c r="U92" i="4"/>
  <c r="R92" i="4"/>
  <c r="O92" i="4"/>
  <c r="N92" i="4"/>
  <c r="L92" i="4"/>
  <c r="H92" i="4"/>
  <c r="I92" i="4" s="1"/>
  <c r="F92" i="4"/>
  <c r="C92" i="4"/>
  <c r="AC91" i="4"/>
  <c r="AD91" i="4" s="1"/>
  <c r="AA91" i="4"/>
  <c r="X91" i="4"/>
  <c r="W91" i="4"/>
  <c r="U91" i="4"/>
  <c r="R91" i="4"/>
  <c r="O91" i="4"/>
  <c r="N91" i="4"/>
  <c r="L91" i="4"/>
  <c r="H91" i="4"/>
  <c r="I91" i="4" s="1"/>
  <c r="F91" i="4"/>
  <c r="C91" i="4"/>
  <c r="AC90" i="4"/>
  <c r="AD90" i="4" s="1"/>
  <c r="AA90" i="4"/>
  <c r="X90" i="4"/>
  <c r="W90" i="4"/>
  <c r="U90" i="4"/>
  <c r="R90" i="4"/>
  <c r="O90" i="4"/>
  <c r="N90" i="4"/>
  <c r="L90" i="4"/>
  <c r="H90" i="4"/>
  <c r="I90" i="4" s="1"/>
  <c r="F90" i="4"/>
  <c r="C90" i="4"/>
  <c r="AC89" i="4"/>
  <c r="AD89" i="4" s="1"/>
  <c r="AA89" i="4"/>
  <c r="W89" i="4"/>
  <c r="X89" i="4" s="1"/>
  <c r="U89" i="4"/>
  <c r="R89" i="4"/>
  <c r="O89" i="4"/>
  <c r="N89" i="4"/>
  <c r="L89" i="4"/>
  <c r="H89" i="4"/>
  <c r="I89" i="4" s="1"/>
  <c r="F89" i="4"/>
  <c r="C89" i="4"/>
  <c r="Z88" i="4"/>
  <c r="AA88" i="4" s="1"/>
  <c r="T88" i="4"/>
  <c r="U88" i="4" s="1"/>
  <c r="Q88" i="4"/>
  <c r="R88" i="4" s="1"/>
  <c r="K88" i="4"/>
  <c r="L88" i="4" s="1"/>
  <c r="E88" i="4"/>
  <c r="F88" i="4" s="1"/>
  <c r="B88" i="4"/>
  <c r="C88" i="4" s="1"/>
  <c r="AC87" i="4"/>
  <c r="AD87" i="4" s="1"/>
  <c r="AA87" i="4"/>
  <c r="X87" i="4"/>
  <c r="W87" i="4"/>
  <c r="U87" i="4"/>
  <c r="R87" i="4"/>
  <c r="O87" i="4"/>
  <c r="N87" i="4"/>
  <c r="L87" i="4"/>
  <c r="H87" i="4"/>
  <c r="I87" i="4" s="1"/>
  <c r="F87" i="4"/>
  <c r="C87" i="4"/>
  <c r="AC86" i="4"/>
  <c r="AD86" i="4" s="1"/>
  <c r="AA86" i="4"/>
  <c r="W86" i="4"/>
  <c r="X86" i="4" s="1"/>
  <c r="U86" i="4"/>
  <c r="R86" i="4"/>
  <c r="O86" i="4"/>
  <c r="N86" i="4"/>
  <c r="L86" i="4"/>
  <c r="H86" i="4"/>
  <c r="I86" i="4" s="1"/>
  <c r="F86" i="4"/>
  <c r="C86" i="4"/>
  <c r="AC85" i="4"/>
  <c r="AD85" i="4" s="1"/>
  <c r="AA85" i="4"/>
  <c r="X85" i="4"/>
  <c r="W85" i="4"/>
  <c r="U85" i="4"/>
  <c r="R85" i="4"/>
  <c r="O85" i="4"/>
  <c r="N85" i="4"/>
  <c r="L85" i="4"/>
  <c r="H85" i="4"/>
  <c r="I85" i="4" s="1"/>
  <c r="F85" i="4"/>
  <c r="C85" i="4"/>
  <c r="AC84" i="4"/>
  <c r="AD84" i="4" s="1"/>
  <c r="AA84" i="4"/>
  <c r="X84" i="4"/>
  <c r="W84" i="4"/>
  <c r="U84" i="4"/>
  <c r="R84" i="4"/>
  <c r="O84" i="4"/>
  <c r="N84" i="4"/>
  <c r="L84" i="4"/>
  <c r="H84" i="4"/>
  <c r="I84" i="4" s="1"/>
  <c r="F84" i="4"/>
  <c r="C84" i="4"/>
  <c r="AC83" i="4"/>
  <c r="AD83" i="4" s="1"/>
  <c r="AA83" i="4"/>
  <c r="X83" i="4"/>
  <c r="W83" i="4"/>
  <c r="U83" i="4"/>
  <c r="R83" i="4"/>
  <c r="O83" i="4"/>
  <c r="N83" i="4"/>
  <c r="L83" i="4"/>
  <c r="H83" i="4"/>
  <c r="I83" i="4" s="1"/>
  <c r="F83" i="4"/>
  <c r="C83" i="4"/>
  <c r="AC82" i="4"/>
  <c r="AD82" i="4" s="1"/>
  <c r="AA82" i="4"/>
  <c r="W82" i="4"/>
  <c r="X82" i="4" s="1"/>
  <c r="U82" i="4"/>
  <c r="R82" i="4"/>
  <c r="O82" i="4"/>
  <c r="N82" i="4"/>
  <c r="L82" i="4"/>
  <c r="H82" i="4"/>
  <c r="I82" i="4" s="1"/>
  <c r="F82" i="4"/>
  <c r="C82" i="4"/>
  <c r="AC81" i="4"/>
  <c r="AD81" i="4" s="1"/>
  <c r="AA81" i="4"/>
  <c r="X81" i="4"/>
  <c r="W81" i="4"/>
  <c r="U81" i="4"/>
  <c r="R81" i="4"/>
  <c r="O81" i="4"/>
  <c r="N81" i="4"/>
  <c r="L81" i="4"/>
  <c r="H81" i="4"/>
  <c r="I81" i="4" s="1"/>
  <c r="F81" i="4"/>
  <c r="C81" i="4"/>
  <c r="AC80" i="4"/>
  <c r="AD80" i="4" s="1"/>
  <c r="AA80" i="4"/>
  <c r="X80" i="4"/>
  <c r="W80" i="4"/>
  <c r="U80" i="4"/>
  <c r="R80" i="4"/>
  <c r="O80" i="4"/>
  <c r="N80" i="4"/>
  <c r="L80" i="4"/>
  <c r="H80" i="4"/>
  <c r="I80" i="4" s="1"/>
  <c r="F80" i="4"/>
  <c r="C80" i="4"/>
  <c r="AC79" i="4"/>
  <c r="AD79" i="4" s="1"/>
  <c r="AA79" i="4"/>
  <c r="X79" i="4"/>
  <c r="W79" i="4"/>
  <c r="U79" i="4"/>
  <c r="R79" i="4"/>
  <c r="O79" i="4"/>
  <c r="N79" i="4"/>
  <c r="L79" i="4"/>
  <c r="H79" i="4"/>
  <c r="I79" i="4" s="1"/>
  <c r="F79" i="4"/>
  <c r="C79" i="4"/>
  <c r="AC78" i="4"/>
  <c r="AD78" i="4" s="1"/>
  <c r="AA78" i="4"/>
  <c r="W78" i="4"/>
  <c r="X78" i="4" s="1"/>
  <c r="U78" i="4"/>
  <c r="R78" i="4"/>
  <c r="O78" i="4"/>
  <c r="N78" i="4"/>
  <c r="L78" i="4"/>
  <c r="H78" i="4"/>
  <c r="I78" i="4" s="1"/>
  <c r="F78" i="4"/>
  <c r="C78" i="4"/>
  <c r="AC77" i="4"/>
  <c r="AD77" i="4" s="1"/>
  <c r="AA77" i="4"/>
  <c r="X77" i="4"/>
  <c r="W77" i="4"/>
  <c r="U77" i="4"/>
  <c r="R77" i="4"/>
  <c r="O77" i="4"/>
  <c r="N77" i="4"/>
  <c r="L77" i="4"/>
  <c r="H77" i="4"/>
  <c r="I77" i="4" s="1"/>
  <c r="F77" i="4"/>
  <c r="C77" i="4"/>
  <c r="AC76" i="4"/>
  <c r="AD76" i="4" s="1"/>
  <c r="AA76" i="4"/>
  <c r="X76" i="4"/>
  <c r="W76" i="4"/>
  <c r="U76" i="4"/>
  <c r="R76" i="4"/>
  <c r="N76" i="4"/>
  <c r="O76" i="4" s="1"/>
  <c r="L76" i="4"/>
  <c r="H76" i="4"/>
  <c r="I76" i="4" s="1"/>
  <c r="F76" i="4"/>
  <c r="C76" i="4"/>
  <c r="AC75" i="4"/>
  <c r="AD75" i="4" s="1"/>
  <c r="AA75" i="4"/>
  <c r="X75" i="4"/>
  <c r="W75" i="4"/>
  <c r="U75" i="4"/>
  <c r="R75" i="4"/>
  <c r="O75" i="4"/>
  <c r="N75" i="4"/>
  <c r="L75" i="4"/>
  <c r="H75" i="4"/>
  <c r="I75" i="4" s="1"/>
  <c r="F75" i="4"/>
  <c r="C75" i="4"/>
  <c r="Z73" i="4"/>
  <c r="AA73" i="4" s="1"/>
  <c r="T73" i="4"/>
  <c r="U73" i="4" s="1"/>
  <c r="Q73" i="4"/>
  <c r="R73" i="4" s="1"/>
  <c r="K73" i="4"/>
  <c r="N73" i="4" s="1"/>
  <c r="O73" i="4" s="1"/>
  <c r="E73" i="4"/>
  <c r="F73" i="4" s="1"/>
  <c r="B73" i="4"/>
  <c r="C73" i="4" s="1"/>
  <c r="AD72" i="4"/>
  <c r="AC72" i="4"/>
  <c r="AA72" i="4"/>
  <c r="X72" i="4"/>
  <c r="W72" i="4"/>
  <c r="U72" i="4"/>
  <c r="R72" i="4"/>
  <c r="N72" i="4"/>
  <c r="O72" i="4" s="1"/>
  <c r="L72" i="4"/>
  <c r="H72" i="4"/>
  <c r="I72" i="4" s="1"/>
  <c r="F72" i="4"/>
  <c r="C72" i="4"/>
  <c r="AC71" i="4"/>
  <c r="AD71" i="4" s="1"/>
  <c r="AA71" i="4"/>
  <c r="X71" i="4"/>
  <c r="W71" i="4"/>
  <c r="U71" i="4"/>
  <c r="R71" i="4"/>
  <c r="O71" i="4"/>
  <c r="N71" i="4"/>
  <c r="L71" i="4"/>
  <c r="I71" i="4"/>
  <c r="H71" i="4"/>
  <c r="F71" i="4"/>
  <c r="C71" i="4"/>
  <c r="AC70" i="4"/>
  <c r="AD70" i="4" s="1"/>
  <c r="AA70" i="4"/>
  <c r="X70" i="4"/>
  <c r="W70" i="4"/>
  <c r="U70" i="4"/>
  <c r="R70" i="4"/>
  <c r="O70" i="4"/>
  <c r="N70" i="4"/>
  <c r="L70" i="4"/>
  <c r="H70" i="4"/>
  <c r="I70" i="4" s="1"/>
  <c r="F70" i="4"/>
  <c r="C70" i="4"/>
  <c r="AC69" i="4"/>
  <c r="AD69" i="4" s="1"/>
  <c r="AA69" i="4"/>
  <c r="X69" i="4"/>
  <c r="W69" i="4"/>
  <c r="U69" i="4"/>
  <c r="R69" i="4"/>
  <c r="O69" i="4"/>
  <c r="N69" i="4"/>
  <c r="L69" i="4"/>
  <c r="H69" i="4"/>
  <c r="I69" i="4" s="1"/>
  <c r="F69" i="4"/>
  <c r="C69" i="4"/>
  <c r="AC68" i="4"/>
  <c r="AD68" i="4" s="1"/>
  <c r="AA68" i="4"/>
  <c r="X68" i="4"/>
  <c r="W68" i="4"/>
  <c r="U68" i="4"/>
  <c r="R68" i="4"/>
  <c r="N68" i="4"/>
  <c r="O68" i="4" s="1"/>
  <c r="L68" i="4"/>
  <c r="H68" i="4"/>
  <c r="I68" i="4" s="1"/>
  <c r="F68" i="4"/>
  <c r="C68" i="4"/>
  <c r="AC67" i="4"/>
  <c r="AD67" i="4" s="1"/>
  <c r="AA67" i="4"/>
  <c r="X67" i="4"/>
  <c r="W67" i="4"/>
  <c r="U67" i="4"/>
  <c r="R67" i="4"/>
  <c r="O67" i="4"/>
  <c r="N67" i="4"/>
  <c r="L67" i="4"/>
  <c r="I67" i="4"/>
  <c r="H67" i="4"/>
  <c r="F67" i="4"/>
  <c r="C67" i="4"/>
  <c r="AC66" i="4"/>
  <c r="AD66" i="4" s="1"/>
  <c r="AA66" i="4"/>
  <c r="X66" i="4"/>
  <c r="W66" i="4"/>
  <c r="U66" i="4"/>
  <c r="R66" i="4"/>
  <c r="O66" i="4"/>
  <c r="N66" i="4"/>
  <c r="L66" i="4"/>
  <c r="H66" i="4"/>
  <c r="I66" i="4" s="1"/>
  <c r="F66" i="4"/>
  <c r="C66" i="4"/>
  <c r="AC65" i="4"/>
  <c r="AD65" i="4" s="1"/>
  <c r="AA65" i="4"/>
  <c r="X65" i="4"/>
  <c r="W65" i="4"/>
  <c r="U65" i="4"/>
  <c r="R65" i="4"/>
  <c r="O65" i="4"/>
  <c r="N65" i="4"/>
  <c r="L65" i="4"/>
  <c r="H65" i="4"/>
  <c r="I65" i="4" s="1"/>
  <c r="F65" i="4"/>
  <c r="C65" i="4"/>
  <c r="AD64" i="4"/>
  <c r="AC64" i="4"/>
  <c r="AA64" i="4"/>
  <c r="X64" i="4"/>
  <c r="W64" i="4"/>
  <c r="U64" i="4"/>
  <c r="R64" i="4"/>
  <c r="N64" i="4"/>
  <c r="O64" i="4" s="1"/>
  <c r="L64" i="4"/>
  <c r="H64" i="4"/>
  <c r="I64" i="4" s="1"/>
  <c r="F64" i="4"/>
  <c r="C64" i="4"/>
  <c r="Z62" i="4"/>
  <c r="AA62" i="4" s="1"/>
  <c r="T62" i="4"/>
  <c r="U62" i="4" s="1"/>
  <c r="Q62" i="4"/>
  <c r="K62" i="4"/>
  <c r="L62" i="4" s="1"/>
  <c r="E62" i="4"/>
  <c r="F62" i="4" s="1"/>
  <c r="B62" i="4"/>
  <c r="H62" i="4" s="1"/>
  <c r="I62" i="4" s="1"/>
  <c r="Z61" i="4"/>
  <c r="AA61" i="4" s="1"/>
  <c r="U61" i="4"/>
  <c r="T61" i="4"/>
  <c r="Q61" i="4"/>
  <c r="R61" i="4" s="1"/>
  <c r="K61" i="4"/>
  <c r="L61" i="4" s="1"/>
  <c r="E61" i="4"/>
  <c r="B61" i="4"/>
  <c r="C61" i="4" s="1"/>
  <c r="AC60" i="4"/>
  <c r="AD60" i="4" s="1"/>
  <c r="AA60" i="4"/>
  <c r="X60" i="4"/>
  <c r="W60" i="4"/>
  <c r="U60" i="4"/>
  <c r="R60" i="4"/>
  <c r="O60" i="4"/>
  <c r="N60" i="4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O59" i="4"/>
  <c r="N59" i="4"/>
  <c r="L59" i="4"/>
  <c r="H59" i="4"/>
  <c r="I59" i="4" s="1"/>
  <c r="F59" i="4"/>
  <c r="C59" i="4"/>
  <c r="AC58" i="4"/>
  <c r="AD58" i="4" s="1"/>
  <c r="AA58" i="4"/>
  <c r="X58" i="4"/>
  <c r="W58" i="4"/>
  <c r="U58" i="4"/>
  <c r="R58" i="4"/>
  <c r="O58" i="4"/>
  <c r="N58" i="4"/>
  <c r="L58" i="4"/>
  <c r="H58" i="4"/>
  <c r="I58" i="4" s="1"/>
  <c r="F58" i="4"/>
  <c r="C58" i="4"/>
  <c r="AC57" i="4"/>
  <c r="AD57" i="4" s="1"/>
  <c r="AA57" i="4"/>
  <c r="X57" i="4"/>
  <c r="W57" i="4"/>
  <c r="U57" i="4"/>
  <c r="R57" i="4"/>
  <c r="O57" i="4"/>
  <c r="N57" i="4"/>
  <c r="L57" i="4"/>
  <c r="H57" i="4"/>
  <c r="I57" i="4" s="1"/>
  <c r="F57" i="4"/>
  <c r="C57" i="4"/>
  <c r="AC56" i="4"/>
  <c r="AD56" i="4" s="1"/>
  <c r="AA56" i="4"/>
  <c r="X56" i="4"/>
  <c r="W56" i="4"/>
  <c r="U56" i="4"/>
  <c r="R56" i="4"/>
  <c r="O56" i="4"/>
  <c r="N56" i="4"/>
  <c r="L56" i="4"/>
  <c r="H56" i="4"/>
  <c r="I56" i="4" s="1"/>
  <c r="F56" i="4"/>
  <c r="C56" i="4"/>
  <c r="AC55" i="4"/>
  <c r="AD55" i="4" s="1"/>
  <c r="AA55" i="4"/>
  <c r="W55" i="4"/>
  <c r="X55" i="4" s="1"/>
  <c r="U55" i="4"/>
  <c r="R55" i="4"/>
  <c r="O55" i="4"/>
  <c r="N55" i="4"/>
  <c r="L55" i="4"/>
  <c r="H55" i="4"/>
  <c r="I55" i="4" s="1"/>
  <c r="F55" i="4"/>
  <c r="C55" i="4"/>
  <c r="AC54" i="4"/>
  <c r="AD54" i="4" s="1"/>
  <c r="AA54" i="4"/>
  <c r="X54" i="4"/>
  <c r="W54" i="4"/>
  <c r="U54" i="4"/>
  <c r="R54" i="4"/>
  <c r="O54" i="4"/>
  <c r="N54" i="4"/>
  <c r="L54" i="4"/>
  <c r="H54" i="4"/>
  <c r="I54" i="4" s="1"/>
  <c r="F54" i="4"/>
  <c r="C54" i="4"/>
  <c r="AC53" i="4"/>
  <c r="AD53" i="4" s="1"/>
  <c r="AA53" i="4"/>
  <c r="X53" i="4"/>
  <c r="W53" i="4"/>
  <c r="U53" i="4"/>
  <c r="R53" i="4"/>
  <c r="O53" i="4"/>
  <c r="N53" i="4"/>
  <c r="L53" i="4"/>
  <c r="H53" i="4"/>
  <c r="I53" i="4" s="1"/>
  <c r="F53" i="4"/>
  <c r="C53" i="4"/>
  <c r="AC52" i="4"/>
  <c r="AD52" i="4" s="1"/>
  <c r="AA52" i="4"/>
  <c r="X52" i="4"/>
  <c r="W52" i="4"/>
  <c r="U52" i="4"/>
  <c r="R52" i="4"/>
  <c r="O52" i="4"/>
  <c r="N52" i="4"/>
  <c r="L52" i="4"/>
  <c r="H52" i="4"/>
  <c r="I52" i="4" s="1"/>
  <c r="F52" i="4"/>
  <c r="C52" i="4"/>
  <c r="AC51" i="4"/>
  <c r="AD51" i="4" s="1"/>
  <c r="AA51" i="4"/>
  <c r="W51" i="4"/>
  <c r="X51" i="4" s="1"/>
  <c r="U51" i="4"/>
  <c r="R51" i="4"/>
  <c r="O51" i="4"/>
  <c r="N51" i="4"/>
  <c r="L51" i="4"/>
  <c r="H51" i="4"/>
  <c r="I51" i="4" s="1"/>
  <c r="F51" i="4"/>
  <c r="C51" i="4"/>
  <c r="AC50" i="4"/>
  <c r="AD50" i="4" s="1"/>
  <c r="AA50" i="4"/>
  <c r="X50" i="4"/>
  <c r="W50" i="4"/>
  <c r="U50" i="4"/>
  <c r="R50" i="4"/>
  <c r="O50" i="4"/>
  <c r="N50" i="4"/>
  <c r="L50" i="4"/>
  <c r="H50" i="4"/>
  <c r="I50" i="4" s="1"/>
  <c r="F50" i="4"/>
  <c r="C50" i="4"/>
  <c r="AC49" i="4"/>
  <c r="AD49" i="4" s="1"/>
  <c r="AA49" i="4"/>
  <c r="X49" i="4"/>
  <c r="W49" i="4"/>
  <c r="U49" i="4"/>
  <c r="R49" i="4"/>
  <c r="O49" i="4"/>
  <c r="N49" i="4"/>
  <c r="L49" i="4"/>
  <c r="H49" i="4"/>
  <c r="I49" i="4" s="1"/>
  <c r="F49" i="4"/>
  <c r="C49" i="4"/>
  <c r="AC48" i="4"/>
  <c r="AD48" i="4" s="1"/>
  <c r="AA48" i="4"/>
  <c r="X48" i="4"/>
  <c r="W48" i="4"/>
  <c r="U48" i="4"/>
  <c r="R48" i="4"/>
  <c r="O48" i="4"/>
  <c r="N48" i="4"/>
  <c r="L48" i="4"/>
  <c r="H48" i="4"/>
  <c r="I48" i="4" s="1"/>
  <c r="F48" i="4"/>
  <c r="C48" i="4"/>
  <c r="AC47" i="4"/>
  <c r="AD47" i="4" s="1"/>
  <c r="AA47" i="4"/>
  <c r="W47" i="4"/>
  <c r="X47" i="4" s="1"/>
  <c r="U47" i="4"/>
  <c r="R47" i="4"/>
  <c r="O47" i="4"/>
  <c r="N47" i="4"/>
  <c r="L47" i="4"/>
  <c r="H47" i="4"/>
  <c r="I47" i="4" s="1"/>
  <c r="F47" i="4"/>
  <c r="C47" i="4"/>
  <c r="AC46" i="4"/>
  <c r="AD46" i="4" s="1"/>
  <c r="AA46" i="4"/>
  <c r="X46" i="4"/>
  <c r="W46" i="4"/>
  <c r="U46" i="4"/>
  <c r="R46" i="4"/>
  <c r="O46" i="4"/>
  <c r="N46" i="4"/>
  <c r="L46" i="4"/>
  <c r="H46" i="4"/>
  <c r="I46" i="4" s="1"/>
  <c r="F46" i="4"/>
  <c r="C46" i="4"/>
  <c r="AC44" i="4"/>
  <c r="AD44" i="4" s="1"/>
  <c r="AA44" i="4"/>
  <c r="X44" i="4"/>
  <c r="W44" i="4"/>
  <c r="U44" i="4"/>
  <c r="R44" i="4"/>
  <c r="N44" i="4"/>
  <c r="O44" i="4" s="1"/>
  <c r="L44" i="4"/>
  <c r="H44" i="4"/>
  <c r="I44" i="4" s="1"/>
  <c r="F44" i="4"/>
  <c r="C44" i="4"/>
  <c r="AC43" i="4"/>
  <c r="AD43" i="4" s="1"/>
  <c r="AA43" i="4"/>
  <c r="X43" i="4"/>
  <c r="W43" i="4"/>
  <c r="U43" i="4"/>
  <c r="R43" i="4"/>
  <c r="O43" i="4"/>
  <c r="N43" i="4"/>
  <c r="L43" i="4"/>
  <c r="H43" i="4"/>
  <c r="I43" i="4" s="1"/>
  <c r="F43" i="4"/>
  <c r="C43" i="4"/>
  <c r="AC42" i="4"/>
  <c r="AD42" i="4" s="1"/>
  <c r="AA42" i="4"/>
  <c r="W42" i="4"/>
  <c r="X42" i="4" s="1"/>
  <c r="U42" i="4"/>
  <c r="R42" i="4"/>
  <c r="O42" i="4"/>
  <c r="N42" i="4"/>
  <c r="L42" i="4"/>
  <c r="H42" i="4"/>
  <c r="I42" i="4" s="1"/>
  <c r="F42" i="4"/>
  <c r="C42" i="4"/>
  <c r="Z40" i="4"/>
  <c r="AA40" i="4" s="1"/>
  <c r="U40" i="4"/>
  <c r="T40" i="4"/>
  <c r="Q40" i="4"/>
  <c r="K40" i="4"/>
  <c r="L40" i="4" s="1"/>
  <c r="E40" i="4"/>
  <c r="F40" i="4" s="1"/>
  <c r="B40" i="4"/>
  <c r="C40" i="4" s="1"/>
  <c r="AC39" i="4"/>
  <c r="AD39" i="4" s="1"/>
  <c r="AA39" i="4"/>
  <c r="X39" i="4"/>
  <c r="W39" i="4"/>
  <c r="U39" i="4"/>
  <c r="R39" i="4"/>
  <c r="O39" i="4"/>
  <c r="N39" i="4"/>
  <c r="L39" i="4"/>
  <c r="H39" i="4"/>
  <c r="I39" i="4" s="1"/>
  <c r="F39" i="4"/>
  <c r="C39" i="4"/>
  <c r="AC38" i="4"/>
  <c r="AD38" i="4" s="1"/>
  <c r="AA38" i="4"/>
  <c r="W38" i="4"/>
  <c r="X38" i="4" s="1"/>
  <c r="U38" i="4"/>
  <c r="R38" i="4"/>
  <c r="O38" i="4"/>
  <c r="N38" i="4"/>
  <c r="L38" i="4"/>
  <c r="H38" i="4"/>
  <c r="I38" i="4" s="1"/>
  <c r="F38" i="4"/>
  <c r="C38" i="4"/>
  <c r="AC37" i="4"/>
  <c r="AD37" i="4" s="1"/>
  <c r="AA37" i="4"/>
  <c r="X37" i="4"/>
  <c r="W37" i="4"/>
  <c r="U37" i="4"/>
  <c r="R37" i="4"/>
  <c r="O37" i="4"/>
  <c r="N37" i="4"/>
  <c r="L37" i="4"/>
  <c r="H37" i="4"/>
  <c r="I37" i="4" s="1"/>
  <c r="F37" i="4"/>
  <c r="C37" i="4"/>
  <c r="AC36" i="4"/>
  <c r="AD36" i="4" s="1"/>
  <c r="AA36" i="4"/>
  <c r="X36" i="4"/>
  <c r="W36" i="4"/>
  <c r="U36" i="4"/>
  <c r="R36" i="4"/>
  <c r="O36" i="4"/>
  <c r="N36" i="4"/>
  <c r="L36" i="4"/>
  <c r="H36" i="4"/>
  <c r="I36" i="4" s="1"/>
  <c r="F36" i="4"/>
  <c r="C36" i="4"/>
  <c r="AC35" i="4"/>
  <c r="AD35" i="4" s="1"/>
  <c r="AA35" i="4"/>
  <c r="X35" i="4"/>
  <c r="W35" i="4"/>
  <c r="U35" i="4"/>
  <c r="R35" i="4"/>
  <c r="O35" i="4"/>
  <c r="N35" i="4"/>
  <c r="L35" i="4"/>
  <c r="H35" i="4"/>
  <c r="I35" i="4" s="1"/>
  <c r="F35" i="4"/>
  <c r="C35" i="4"/>
  <c r="AC34" i="4"/>
  <c r="AD34" i="4" s="1"/>
  <c r="AA34" i="4"/>
  <c r="W34" i="4"/>
  <c r="X34" i="4" s="1"/>
  <c r="U34" i="4"/>
  <c r="R34" i="4"/>
  <c r="O34" i="4"/>
  <c r="N34" i="4"/>
  <c r="L34" i="4"/>
  <c r="H34" i="4"/>
  <c r="I34" i="4" s="1"/>
  <c r="F34" i="4"/>
  <c r="C34" i="4"/>
  <c r="AC33" i="4"/>
  <c r="AD33" i="4" s="1"/>
  <c r="AA33" i="4"/>
  <c r="X33" i="4"/>
  <c r="W33" i="4"/>
  <c r="U33" i="4"/>
  <c r="R33" i="4"/>
  <c r="O33" i="4"/>
  <c r="N33" i="4"/>
  <c r="L33" i="4"/>
  <c r="H33" i="4"/>
  <c r="I33" i="4" s="1"/>
  <c r="F33" i="4"/>
  <c r="C33" i="4"/>
  <c r="AC32" i="4"/>
  <c r="AD32" i="4" s="1"/>
  <c r="AA32" i="4"/>
  <c r="X32" i="4"/>
  <c r="W32" i="4"/>
  <c r="U32" i="4"/>
  <c r="R32" i="4"/>
  <c r="O32" i="4"/>
  <c r="N32" i="4"/>
  <c r="L32" i="4"/>
  <c r="H32" i="4"/>
  <c r="I32" i="4" s="1"/>
  <c r="F32" i="4"/>
  <c r="C32" i="4"/>
  <c r="AC31" i="4"/>
  <c r="AD31" i="4" s="1"/>
  <c r="AA31" i="4"/>
  <c r="X31" i="4"/>
  <c r="W31" i="4"/>
  <c r="U31" i="4"/>
  <c r="R31" i="4"/>
  <c r="O31" i="4"/>
  <c r="N31" i="4"/>
  <c r="L31" i="4"/>
  <c r="H31" i="4"/>
  <c r="I31" i="4" s="1"/>
  <c r="F31" i="4"/>
  <c r="C31" i="4"/>
  <c r="Z29" i="4"/>
  <c r="AA29" i="4" s="1"/>
  <c r="T29" i="4"/>
  <c r="U29" i="4" s="1"/>
  <c r="Q29" i="4"/>
  <c r="R29" i="4" s="1"/>
  <c r="K29" i="4"/>
  <c r="N29" i="4" s="1"/>
  <c r="O29" i="4" s="1"/>
  <c r="E29" i="4"/>
  <c r="F29" i="4" s="1"/>
  <c r="B29" i="4"/>
  <c r="C29" i="4" s="1"/>
  <c r="AD28" i="4"/>
  <c r="AC28" i="4"/>
  <c r="AA28" i="4"/>
  <c r="X28" i="4"/>
  <c r="W28" i="4"/>
  <c r="U28" i="4"/>
  <c r="R28" i="4"/>
  <c r="N28" i="4"/>
  <c r="O28" i="4" s="1"/>
  <c r="L28" i="4"/>
  <c r="H28" i="4"/>
  <c r="I28" i="4" s="1"/>
  <c r="F28" i="4"/>
  <c r="C28" i="4"/>
  <c r="AC27" i="4"/>
  <c r="AD27" i="4" s="1"/>
  <c r="AA27" i="4"/>
  <c r="X27" i="4"/>
  <c r="W27" i="4"/>
  <c r="U27" i="4"/>
  <c r="R27" i="4"/>
  <c r="O27" i="4"/>
  <c r="N27" i="4"/>
  <c r="L27" i="4"/>
  <c r="I27" i="4"/>
  <c r="H27" i="4"/>
  <c r="F27" i="4"/>
  <c r="C27" i="4"/>
  <c r="AC26" i="4"/>
  <c r="AD26" i="4" s="1"/>
  <c r="AA26" i="4"/>
  <c r="X26" i="4"/>
  <c r="W26" i="4"/>
  <c r="U26" i="4"/>
  <c r="R26" i="4"/>
  <c r="O26" i="4"/>
  <c r="N26" i="4"/>
  <c r="L26" i="4"/>
  <c r="H26" i="4"/>
  <c r="I26" i="4" s="1"/>
  <c r="F26" i="4"/>
  <c r="C26" i="4"/>
  <c r="AC25" i="4"/>
  <c r="AD25" i="4" s="1"/>
  <c r="AA25" i="4"/>
  <c r="X25" i="4"/>
  <c r="W25" i="4"/>
  <c r="U25" i="4"/>
  <c r="R25" i="4"/>
  <c r="O25" i="4"/>
  <c r="N25" i="4"/>
  <c r="L25" i="4"/>
  <c r="H25" i="4"/>
  <c r="I25" i="4" s="1"/>
  <c r="F25" i="4"/>
  <c r="C25" i="4"/>
  <c r="AD24" i="4"/>
  <c r="AC24" i="4"/>
  <c r="AA24" i="4"/>
  <c r="X24" i="4"/>
  <c r="W24" i="4"/>
  <c r="U24" i="4"/>
  <c r="R24" i="4"/>
  <c r="N24" i="4"/>
  <c r="O24" i="4" s="1"/>
  <c r="L24" i="4"/>
  <c r="H24" i="4"/>
  <c r="I24" i="4" s="1"/>
  <c r="F24" i="4"/>
  <c r="C24" i="4"/>
  <c r="AC23" i="4"/>
  <c r="AD23" i="4" s="1"/>
  <c r="AA23" i="4"/>
  <c r="X23" i="4"/>
  <c r="W23" i="4"/>
  <c r="U23" i="4"/>
  <c r="R23" i="4"/>
  <c r="O23" i="4"/>
  <c r="N23" i="4"/>
  <c r="L23" i="4"/>
  <c r="I23" i="4"/>
  <c r="H23" i="4"/>
  <c r="F23" i="4"/>
  <c r="C23" i="4"/>
  <c r="AC22" i="4"/>
  <c r="AD22" i="4" s="1"/>
  <c r="AA22" i="4"/>
  <c r="X22" i="4"/>
  <c r="W22" i="4"/>
  <c r="U22" i="4"/>
  <c r="R22" i="4"/>
  <c r="O22" i="4"/>
  <c r="N22" i="4"/>
  <c r="L22" i="4"/>
  <c r="H22" i="4"/>
  <c r="I22" i="4" s="1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D19" i="4"/>
  <c r="AC19" i="4"/>
  <c r="AA19" i="4"/>
  <c r="X19" i="4"/>
  <c r="W19" i="4"/>
  <c r="U19" i="4"/>
  <c r="R19" i="4"/>
  <c r="N19" i="4"/>
  <c r="O19" i="4" s="1"/>
  <c r="L19" i="4"/>
  <c r="H19" i="4"/>
  <c r="I19" i="4" s="1"/>
  <c r="F19" i="4"/>
  <c r="C19" i="4"/>
  <c r="Z18" i="4"/>
  <c r="AA18" i="4" s="1"/>
  <c r="T18" i="4"/>
  <c r="U18" i="4" s="1"/>
  <c r="Q18" i="4"/>
  <c r="K18" i="4"/>
  <c r="L18" i="4" s="1"/>
  <c r="E18" i="4"/>
  <c r="F18" i="4" s="1"/>
  <c r="B18" i="4"/>
  <c r="H18" i="4" s="1"/>
  <c r="I18" i="4" s="1"/>
  <c r="AC17" i="4"/>
  <c r="AD17" i="4" s="1"/>
  <c r="AA17" i="4"/>
  <c r="X17" i="4"/>
  <c r="W17" i="4"/>
  <c r="U17" i="4"/>
  <c r="R17" i="4"/>
  <c r="O17" i="4"/>
  <c r="N17" i="4"/>
  <c r="L17" i="4"/>
  <c r="H17" i="4"/>
  <c r="I17" i="4" s="1"/>
  <c r="F17" i="4"/>
  <c r="C17" i="4"/>
  <c r="AC16" i="4"/>
  <c r="AD16" i="4" s="1"/>
  <c r="AA16" i="4"/>
  <c r="X16" i="4"/>
  <c r="W16" i="4"/>
  <c r="U16" i="4"/>
  <c r="R16" i="4"/>
  <c r="O16" i="4"/>
  <c r="N16" i="4"/>
  <c r="L16" i="4"/>
  <c r="H16" i="4"/>
  <c r="I16" i="4" s="1"/>
  <c r="F16" i="4"/>
  <c r="C16" i="4"/>
  <c r="AC15" i="4"/>
  <c r="AD15" i="4" s="1"/>
  <c r="AA15" i="4"/>
  <c r="X15" i="4"/>
  <c r="W15" i="4"/>
  <c r="U15" i="4"/>
  <c r="R15" i="4"/>
  <c r="O15" i="4"/>
  <c r="N15" i="4"/>
  <c r="L15" i="4"/>
  <c r="H15" i="4"/>
  <c r="I15" i="4" s="1"/>
  <c r="F15" i="4"/>
  <c r="C15" i="4"/>
  <c r="AC14" i="4"/>
  <c r="AD14" i="4" s="1"/>
  <c r="AA14" i="4"/>
  <c r="W14" i="4"/>
  <c r="X14" i="4" s="1"/>
  <c r="U14" i="4"/>
  <c r="R14" i="4"/>
  <c r="O14" i="4"/>
  <c r="N14" i="4"/>
  <c r="L14" i="4"/>
  <c r="H14" i="4"/>
  <c r="I14" i="4" s="1"/>
  <c r="F14" i="4"/>
  <c r="C14" i="4"/>
  <c r="AC13" i="4"/>
  <c r="AD13" i="4" s="1"/>
  <c r="AA13" i="4"/>
  <c r="X13" i="4"/>
  <c r="W13" i="4"/>
  <c r="U13" i="4"/>
  <c r="R13" i="4"/>
  <c r="O13" i="4"/>
  <c r="N13" i="4"/>
  <c r="L13" i="4"/>
  <c r="H13" i="4"/>
  <c r="I13" i="4" s="1"/>
  <c r="F13" i="4"/>
  <c r="C13" i="4"/>
  <c r="AC12" i="4"/>
  <c r="AD12" i="4" s="1"/>
  <c r="AA12" i="4"/>
  <c r="X12" i="4"/>
  <c r="W12" i="4"/>
  <c r="U12" i="4"/>
  <c r="R12" i="4"/>
  <c r="O12" i="4"/>
  <c r="N12" i="4"/>
  <c r="L12" i="4"/>
  <c r="H12" i="4"/>
  <c r="I12" i="4" s="1"/>
  <c r="F12" i="4"/>
  <c r="C12" i="4"/>
  <c r="AC11" i="4"/>
  <c r="AD11" i="4" s="1"/>
  <c r="AA11" i="4"/>
  <c r="X11" i="4"/>
  <c r="W11" i="4"/>
  <c r="U11" i="4"/>
  <c r="R11" i="4"/>
  <c r="O11" i="4"/>
  <c r="N11" i="4"/>
  <c r="L11" i="4"/>
  <c r="H11" i="4"/>
  <c r="I11" i="4" s="1"/>
  <c r="F11" i="4"/>
  <c r="C11" i="4"/>
  <c r="AC10" i="4"/>
  <c r="AD10" i="4" s="1"/>
  <c r="AA10" i="4"/>
  <c r="W10" i="4"/>
  <c r="X10" i="4" s="1"/>
  <c r="U10" i="4"/>
  <c r="R10" i="4"/>
  <c r="O10" i="4"/>
  <c r="N10" i="4"/>
  <c r="L10" i="4"/>
  <c r="H10" i="4"/>
  <c r="I10" i="4" s="1"/>
  <c r="F10" i="4"/>
  <c r="C10" i="4"/>
  <c r="AC8" i="4"/>
  <c r="AD8" i="4" s="1"/>
  <c r="AA8" i="4"/>
  <c r="X8" i="4"/>
  <c r="W8" i="4"/>
  <c r="U8" i="4"/>
  <c r="R8" i="4"/>
  <c r="O8" i="4"/>
  <c r="N8" i="4"/>
  <c r="L8" i="4"/>
  <c r="H8" i="4"/>
  <c r="I8" i="4" s="1"/>
  <c r="F8" i="4"/>
  <c r="C8" i="4"/>
  <c r="AC444" i="3"/>
  <c r="W444" i="3"/>
  <c r="N444" i="3"/>
  <c r="H444" i="3"/>
  <c r="Z442" i="3"/>
  <c r="AA442" i="3" s="1"/>
  <c r="T442" i="3"/>
  <c r="U442" i="3" s="1"/>
  <c r="R442" i="3"/>
  <c r="Q442" i="3"/>
  <c r="W442" i="3" s="1"/>
  <c r="N442" i="3"/>
  <c r="O442" i="3" s="1"/>
  <c r="K442" i="3"/>
  <c r="L442" i="3" s="1"/>
  <c r="E442" i="3"/>
  <c r="H442" i="3" s="1"/>
  <c r="I442" i="3" s="1"/>
  <c r="B442" i="3"/>
  <c r="C442" i="3" s="1"/>
  <c r="Z441" i="3"/>
  <c r="AA441" i="3" s="1"/>
  <c r="W441" i="3"/>
  <c r="X441" i="3" s="1"/>
  <c r="T441" i="3"/>
  <c r="U441" i="3" s="1"/>
  <c r="Q441" i="3"/>
  <c r="R441" i="3" s="1"/>
  <c r="N441" i="3"/>
  <c r="O441" i="3" s="1"/>
  <c r="L441" i="3"/>
  <c r="K441" i="3"/>
  <c r="H441" i="3"/>
  <c r="I441" i="3" s="1"/>
  <c r="E441" i="3"/>
  <c r="F441" i="3" s="1"/>
  <c r="B441" i="3"/>
  <c r="C441" i="3" s="1"/>
  <c r="AC440" i="3"/>
  <c r="AD440" i="3" s="1"/>
  <c r="AA440" i="3"/>
  <c r="W440" i="3"/>
  <c r="U440" i="3"/>
  <c r="R440" i="3"/>
  <c r="O440" i="3"/>
  <c r="N440" i="3"/>
  <c r="L440" i="3"/>
  <c r="H440" i="3"/>
  <c r="I440" i="3" s="1"/>
  <c r="F440" i="3"/>
  <c r="C440" i="3"/>
  <c r="AC439" i="3"/>
  <c r="AD439" i="3" s="1"/>
  <c r="AA439" i="3"/>
  <c r="W439" i="3"/>
  <c r="U439" i="3"/>
  <c r="R439" i="3"/>
  <c r="O439" i="3"/>
  <c r="N439" i="3"/>
  <c r="L439" i="3"/>
  <c r="H439" i="3"/>
  <c r="I439" i="3" s="1"/>
  <c r="F439" i="3"/>
  <c r="C439" i="3"/>
  <c r="AC438" i="3"/>
  <c r="AD438" i="3" s="1"/>
  <c r="AA438" i="3"/>
  <c r="W438" i="3"/>
  <c r="X438" i="3" s="1"/>
  <c r="U438" i="3"/>
  <c r="R438" i="3"/>
  <c r="O438" i="3"/>
  <c r="N438" i="3"/>
  <c r="L438" i="3"/>
  <c r="H438" i="3"/>
  <c r="I438" i="3" s="1"/>
  <c r="F438" i="3"/>
  <c r="C438" i="3"/>
  <c r="AC437" i="3"/>
  <c r="AD437" i="3" s="1"/>
  <c r="AA437" i="3"/>
  <c r="W437" i="3"/>
  <c r="U437" i="3"/>
  <c r="R437" i="3"/>
  <c r="O437" i="3"/>
  <c r="N437" i="3"/>
  <c r="L437" i="3"/>
  <c r="H437" i="3"/>
  <c r="I437" i="3" s="1"/>
  <c r="F437" i="3"/>
  <c r="C437" i="3"/>
  <c r="AD436" i="3"/>
  <c r="AC436" i="3"/>
  <c r="AA436" i="3"/>
  <c r="X436" i="3"/>
  <c r="W436" i="3"/>
  <c r="U436" i="3"/>
  <c r="R436" i="3"/>
  <c r="N436" i="3"/>
  <c r="O436" i="3" s="1"/>
  <c r="L436" i="3"/>
  <c r="H436" i="3"/>
  <c r="F436" i="3"/>
  <c r="C436" i="3"/>
  <c r="AC435" i="3"/>
  <c r="AD435" i="3" s="1"/>
  <c r="AA435" i="3"/>
  <c r="W435" i="3"/>
  <c r="U435" i="3"/>
  <c r="R435" i="3"/>
  <c r="O435" i="3"/>
  <c r="N435" i="3"/>
  <c r="L435" i="3"/>
  <c r="H435" i="3"/>
  <c r="I435" i="3" s="1"/>
  <c r="F435" i="3"/>
  <c r="C435" i="3"/>
  <c r="AC434" i="3"/>
  <c r="AD434" i="3" s="1"/>
  <c r="AA434" i="3"/>
  <c r="W434" i="3"/>
  <c r="X434" i="3" s="1"/>
  <c r="U434" i="3"/>
  <c r="R434" i="3"/>
  <c r="O434" i="3"/>
  <c r="N434" i="3"/>
  <c r="L434" i="3"/>
  <c r="H434" i="3"/>
  <c r="I434" i="3" s="1"/>
  <c r="F434" i="3"/>
  <c r="C434" i="3"/>
  <c r="AC433" i="3"/>
  <c r="AD433" i="3" s="1"/>
  <c r="AA433" i="3"/>
  <c r="W433" i="3"/>
  <c r="U433" i="3"/>
  <c r="R433" i="3"/>
  <c r="O433" i="3"/>
  <c r="N433" i="3"/>
  <c r="L433" i="3"/>
  <c r="H433" i="3"/>
  <c r="I433" i="3" s="1"/>
  <c r="F433" i="3"/>
  <c r="C433" i="3"/>
  <c r="AC432" i="3"/>
  <c r="AD432" i="3" s="1"/>
  <c r="AA432" i="3"/>
  <c r="W432" i="3"/>
  <c r="U432" i="3"/>
  <c r="R432" i="3"/>
  <c r="O432" i="3"/>
  <c r="N432" i="3"/>
  <c r="L432" i="3"/>
  <c r="H432" i="3"/>
  <c r="I432" i="3" s="1"/>
  <c r="F432" i="3"/>
  <c r="C432" i="3"/>
  <c r="Z429" i="3"/>
  <c r="AC429" i="3" s="1"/>
  <c r="AD429" i="3" s="1"/>
  <c r="T429" i="3"/>
  <c r="U429" i="3" s="1"/>
  <c r="Q429" i="3"/>
  <c r="R429" i="3" s="1"/>
  <c r="K429" i="3"/>
  <c r="L429" i="3" s="1"/>
  <c r="E429" i="3"/>
  <c r="F429" i="3" s="1"/>
  <c r="B429" i="3"/>
  <c r="Z428" i="3"/>
  <c r="AA428" i="3" s="1"/>
  <c r="U428" i="3"/>
  <c r="T428" i="3"/>
  <c r="Q428" i="3"/>
  <c r="R428" i="3" s="1"/>
  <c r="K428" i="3"/>
  <c r="L428" i="3" s="1"/>
  <c r="E428" i="3"/>
  <c r="F428" i="3" s="1"/>
  <c r="B428" i="3"/>
  <c r="C428" i="3" s="1"/>
  <c r="AC427" i="3"/>
  <c r="AD427" i="3" s="1"/>
  <c r="AA427" i="3"/>
  <c r="W427" i="3"/>
  <c r="U427" i="3"/>
  <c r="R427" i="3"/>
  <c r="O427" i="3"/>
  <c r="N427" i="3"/>
  <c r="L427" i="3"/>
  <c r="I427" i="3"/>
  <c r="H427" i="3"/>
  <c r="F427" i="3"/>
  <c r="C427" i="3"/>
  <c r="AC426" i="3"/>
  <c r="AD426" i="3" s="1"/>
  <c r="AA426" i="3"/>
  <c r="W426" i="3"/>
  <c r="U426" i="3"/>
  <c r="R426" i="3"/>
  <c r="O426" i="3"/>
  <c r="N426" i="3"/>
  <c r="L426" i="3"/>
  <c r="H426" i="3"/>
  <c r="I426" i="3" s="1"/>
  <c r="F426" i="3"/>
  <c r="C426" i="3"/>
  <c r="AC425" i="3"/>
  <c r="AD425" i="3" s="1"/>
  <c r="AA425" i="3"/>
  <c r="X425" i="3"/>
  <c r="W425" i="3"/>
  <c r="U425" i="3"/>
  <c r="R425" i="3"/>
  <c r="O425" i="3"/>
  <c r="N425" i="3"/>
  <c r="L425" i="3"/>
  <c r="H425" i="3"/>
  <c r="F425" i="3"/>
  <c r="C425" i="3"/>
  <c r="AD424" i="3"/>
  <c r="AC424" i="3"/>
  <c r="AA424" i="3"/>
  <c r="W424" i="3"/>
  <c r="U424" i="3"/>
  <c r="R424" i="3"/>
  <c r="N424" i="3"/>
  <c r="O424" i="3" s="1"/>
  <c r="L424" i="3"/>
  <c r="H424" i="3"/>
  <c r="I424" i="3" s="1"/>
  <c r="F424" i="3"/>
  <c r="C424" i="3"/>
  <c r="AC423" i="3"/>
  <c r="AD423" i="3" s="1"/>
  <c r="AA423" i="3"/>
  <c r="W423" i="3"/>
  <c r="U423" i="3"/>
  <c r="R423" i="3"/>
  <c r="O423" i="3"/>
  <c r="N423" i="3"/>
  <c r="L423" i="3"/>
  <c r="I423" i="3"/>
  <c r="H423" i="3"/>
  <c r="F423" i="3"/>
  <c r="C423" i="3"/>
  <c r="AC422" i="3"/>
  <c r="AD422" i="3" s="1"/>
  <c r="AA422" i="3"/>
  <c r="W422" i="3"/>
  <c r="U422" i="3"/>
  <c r="R422" i="3"/>
  <c r="O422" i="3"/>
  <c r="N422" i="3"/>
  <c r="L422" i="3"/>
  <c r="H422" i="3"/>
  <c r="I422" i="3" s="1"/>
  <c r="F422" i="3"/>
  <c r="C422" i="3"/>
  <c r="AC421" i="3"/>
  <c r="AD421" i="3" s="1"/>
  <c r="AA421" i="3"/>
  <c r="W421" i="3"/>
  <c r="U421" i="3"/>
  <c r="R421" i="3"/>
  <c r="O421" i="3"/>
  <c r="N421" i="3"/>
  <c r="L421" i="3"/>
  <c r="H421" i="3"/>
  <c r="I421" i="3" s="1"/>
  <c r="F421" i="3"/>
  <c r="C421" i="3"/>
  <c r="AD420" i="3"/>
  <c r="AC420" i="3"/>
  <c r="AA420" i="3"/>
  <c r="W420" i="3"/>
  <c r="U420" i="3"/>
  <c r="R420" i="3"/>
  <c r="N420" i="3"/>
  <c r="O420" i="3" s="1"/>
  <c r="L420" i="3"/>
  <c r="H420" i="3"/>
  <c r="I420" i="3" s="1"/>
  <c r="F420" i="3"/>
  <c r="C420" i="3"/>
  <c r="AC419" i="3"/>
  <c r="AD419" i="3" s="1"/>
  <c r="AA419" i="3"/>
  <c r="W419" i="3"/>
  <c r="U419" i="3"/>
  <c r="R419" i="3"/>
  <c r="O419" i="3"/>
  <c r="N419" i="3"/>
  <c r="L419" i="3"/>
  <c r="I419" i="3"/>
  <c r="H419" i="3"/>
  <c r="F419" i="3"/>
  <c r="C419" i="3"/>
  <c r="AC418" i="3"/>
  <c r="AD418" i="3" s="1"/>
  <c r="AA418" i="3"/>
  <c r="X418" i="3"/>
  <c r="W418" i="3"/>
  <c r="U418" i="3"/>
  <c r="R418" i="3"/>
  <c r="O418" i="3"/>
  <c r="N418" i="3"/>
  <c r="L418" i="3"/>
  <c r="H418" i="3"/>
  <c r="F418" i="3"/>
  <c r="C418" i="3"/>
  <c r="AC417" i="3"/>
  <c r="AD417" i="3" s="1"/>
  <c r="AA417" i="3"/>
  <c r="W417" i="3"/>
  <c r="U417" i="3"/>
  <c r="R417" i="3"/>
  <c r="O417" i="3"/>
  <c r="N417" i="3"/>
  <c r="L417" i="3"/>
  <c r="H417" i="3"/>
  <c r="I417" i="3" s="1"/>
  <c r="F417" i="3"/>
  <c r="C417" i="3"/>
  <c r="AD416" i="3"/>
  <c r="AC416" i="3"/>
  <c r="AA416" i="3"/>
  <c r="W416" i="3"/>
  <c r="U416" i="3"/>
  <c r="R416" i="3"/>
  <c r="N416" i="3"/>
  <c r="O416" i="3" s="1"/>
  <c r="L416" i="3"/>
  <c r="H416" i="3"/>
  <c r="I416" i="3" s="1"/>
  <c r="F416" i="3"/>
  <c r="C416" i="3"/>
  <c r="AC415" i="3"/>
  <c r="AD415" i="3" s="1"/>
  <c r="AA415" i="3"/>
  <c r="W415" i="3"/>
  <c r="U415" i="3"/>
  <c r="R415" i="3"/>
  <c r="O415" i="3"/>
  <c r="N415" i="3"/>
  <c r="L415" i="3"/>
  <c r="H415" i="3"/>
  <c r="I415" i="3" s="1"/>
  <c r="F415" i="3"/>
  <c r="C415" i="3"/>
  <c r="AC414" i="3"/>
  <c r="AD414" i="3" s="1"/>
  <c r="AA414" i="3"/>
  <c r="W414" i="3"/>
  <c r="U414" i="3"/>
  <c r="R414" i="3"/>
  <c r="O414" i="3"/>
  <c r="N414" i="3"/>
  <c r="L414" i="3"/>
  <c r="H414" i="3"/>
  <c r="I414" i="3" s="1"/>
  <c r="F414" i="3"/>
  <c r="C414" i="3"/>
  <c r="AC413" i="3"/>
  <c r="AD413" i="3" s="1"/>
  <c r="AA413" i="3"/>
  <c r="W413" i="3"/>
  <c r="U413" i="3"/>
  <c r="R413" i="3"/>
  <c r="O413" i="3"/>
  <c r="N413" i="3"/>
  <c r="L413" i="3"/>
  <c r="H413" i="3"/>
  <c r="I413" i="3" s="1"/>
  <c r="F413" i="3"/>
  <c r="C413" i="3"/>
  <c r="AD412" i="3"/>
  <c r="AC412" i="3"/>
  <c r="AA412" i="3"/>
  <c r="W412" i="3"/>
  <c r="U412" i="3"/>
  <c r="R412" i="3"/>
  <c r="N412" i="3"/>
  <c r="O412" i="3" s="1"/>
  <c r="L412" i="3"/>
  <c r="H412" i="3"/>
  <c r="I412" i="3" s="1"/>
  <c r="F412" i="3"/>
  <c r="C412" i="3"/>
  <c r="AC411" i="3"/>
  <c r="AD411" i="3" s="1"/>
  <c r="AA411" i="3"/>
  <c r="W411" i="3"/>
  <c r="U411" i="3"/>
  <c r="R411" i="3"/>
  <c r="O411" i="3"/>
  <c r="N411" i="3"/>
  <c r="L411" i="3"/>
  <c r="I411" i="3"/>
  <c r="H411" i="3"/>
  <c r="F411" i="3"/>
  <c r="C411" i="3"/>
  <c r="AC410" i="3"/>
  <c r="AD410" i="3" s="1"/>
  <c r="AA410" i="3"/>
  <c r="W410" i="3"/>
  <c r="X410" i="3" s="1"/>
  <c r="U410" i="3"/>
  <c r="R410" i="3"/>
  <c r="O410" i="3"/>
  <c r="N410" i="3"/>
  <c r="L410" i="3"/>
  <c r="H410" i="3"/>
  <c r="I410" i="3" s="1"/>
  <c r="F410" i="3"/>
  <c r="C410" i="3"/>
  <c r="AC409" i="3"/>
  <c r="AD409" i="3" s="1"/>
  <c r="AA409" i="3"/>
  <c r="X409" i="3"/>
  <c r="W409" i="3"/>
  <c r="U409" i="3"/>
  <c r="R409" i="3"/>
  <c r="O409" i="3"/>
  <c r="N409" i="3"/>
  <c r="L409" i="3"/>
  <c r="H409" i="3"/>
  <c r="F409" i="3"/>
  <c r="C409" i="3"/>
  <c r="AD408" i="3"/>
  <c r="AC408" i="3"/>
  <c r="AA408" i="3"/>
  <c r="W408" i="3"/>
  <c r="U408" i="3"/>
  <c r="R408" i="3"/>
  <c r="N408" i="3"/>
  <c r="O408" i="3" s="1"/>
  <c r="L408" i="3"/>
  <c r="H408" i="3"/>
  <c r="I408" i="3" s="1"/>
  <c r="F408" i="3"/>
  <c r="C408" i="3"/>
  <c r="AC407" i="3"/>
  <c r="AD407" i="3" s="1"/>
  <c r="AA407" i="3"/>
  <c r="W407" i="3"/>
  <c r="U407" i="3"/>
  <c r="R407" i="3"/>
  <c r="O407" i="3"/>
  <c r="N407" i="3"/>
  <c r="L407" i="3"/>
  <c r="I407" i="3"/>
  <c r="H407" i="3"/>
  <c r="F407" i="3"/>
  <c r="C407" i="3"/>
  <c r="AD403" i="3"/>
  <c r="Z403" i="3"/>
  <c r="AA403" i="3" s="1"/>
  <c r="T403" i="3"/>
  <c r="U403" i="3" s="1"/>
  <c r="Q403" i="3"/>
  <c r="AC403" i="3" s="1"/>
  <c r="K403" i="3"/>
  <c r="L403" i="3" s="1"/>
  <c r="F403" i="3"/>
  <c r="E403" i="3"/>
  <c r="B403" i="3"/>
  <c r="C403" i="3" s="1"/>
  <c r="AC402" i="3"/>
  <c r="AD402" i="3" s="1"/>
  <c r="AA402" i="3"/>
  <c r="W402" i="3"/>
  <c r="X402" i="3" s="1"/>
  <c r="U402" i="3"/>
  <c r="R402" i="3"/>
  <c r="O402" i="3"/>
  <c r="N402" i="3"/>
  <c r="L402" i="3"/>
  <c r="H402" i="3"/>
  <c r="I402" i="3" s="1"/>
  <c r="F402" i="3"/>
  <c r="C402" i="3"/>
  <c r="AC401" i="3"/>
  <c r="AD401" i="3" s="1"/>
  <c r="AA401" i="3"/>
  <c r="W401" i="3"/>
  <c r="U401" i="3"/>
  <c r="R401" i="3"/>
  <c r="O401" i="3"/>
  <c r="N401" i="3"/>
  <c r="L401" i="3"/>
  <c r="H401" i="3"/>
  <c r="I401" i="3" s="1"/>
  <c r="F401" i="3"/>
  <c r="C401" i="3"/>
  <c r="AC400" i="3"/>
  <c r="AD400" i="3" s="1"/>
  <c r="AA400" i="3"/>
  <c r="X400" i="3"/>
  <c r="W400" i="3"/>
  <c r="U400" i="3"/>
  <c r="R400" i="3"/>
  <c r="O400" i="3"/>
  <c r="N400" i="3"/>
  <c r="L400" i="3"/>
  <c r="H400" i="3"/>
  <c r="F400" i="3"/>
  <c r="C400" i="3"/>
  <c r="AC399" i="3"/>
  <c r="AD399" i="3" s="1"/>
  <c r="AA399" i="3"/>
  <c r="W399" i="3"/>
  <c r="U399" i="3"/>
  <c r="R399" i="3"/>
  <c r="O399" i="3"/>
  <c r="N399" i="3"/>
  <c r="L399" i="3"/>
  <c r="H399" i="3"/>
  <c r="I399" i="3" s="1"/>
  <c r="F399" i="3"/>
  <c r="C399" i="3"/>
  <c r="AC398" i="3"/>
  <c r="AD398" i="3" s="1"/>
  <c r="AA398" i="3"/>
  <c r="W398" i="3"/>
  <c r="X398" i="3" s="1"/>
  <c r="U398" i="3"/>
  <c r="R398" i="3"/>
  <c r="O398" i="3"/>
  <c r="N398" i="3"/>
  <c r="L398" i="3"/>
  <c r="H398" i="3"/>
  <c r="I398" i="3" s="1"/>
  <c r="F398" i="3"/>
  <c r="C398" i="3"/>
  <c r="AC397" i="3"/>
  <c r="AD397" i="3" s="1"/>
  <c r="AA397" i="3"/>
  <c r="W397" i="3"/>
  <c r="U397" i="3"/>
  <c r="R397" i="3"/>
  <c r="O397" i="3"/>
  <c r="N397" i="3"/>
  <c r="L397" i="3"/>
  <c r="H397" i="3"/>
  <c r="I397" i="3" s="1"/>
  <c r="F397" i="3"/>
  <c r="C397" i="3"/>
  <c r="AC396" i="3"/>
  <c r="AD396" i="3" s="1"/>
  <c r="Z396" i="3"/>
  <c r="AA396" i="3" s="1"/>
  <c r="T396" i="3"/>
  <c r="U396" i="3" s="1"/>
  <c r="R396" i="3"/>
  <c r="Q396" i="3"/>
  <c r="W396" i="3" s="1"/>
  <c r="X396" i="3" s="1"/>
  <c r="N396" i="3"/>
  <c r="O396" i="3" s="1"/>
  <c r="K396" i="3"/>
  <c r="L396" i="3" s="1"/>
  <c r="H396" i="3"/>
  <c r="I396" i="3" s="1"/>
  <c r="E396" i="3"/>
  <c r="F396" i="3" s="1"/>
  <c r="B396" i="3"/>
  <c r="C396" i="3" s="1"/>
  <c r="AC395" i="3"/>
  <c r="AD395" i="3" s="1"/>
  <c r="AA395" i="3"/>
  <c r="W395" i="3"/>
  <c r="U395" i="3"/>
  <c r="R395" i="3"/>
  <c r="O395" i="3"/>
  <c r="N395" i="3"/>
  <c r="L395" i="3"/>
  <c r="H395" i="3"/>
  <c r="I395" i="3" s="1"/>
  <c r="F395" i="3"/>
  <c r="C395" i="3"/>
  <c r="AC394" i="3"/>
  <c r="AD394" i="3" s="1"/>
  <c r="AA394" i="3"/>
  <c r="W394" i="3"/>
  <c r="U394" i="3"/>
  <c r="R394" i="3"/>
  <c r="O394" i="3"/>
  <c r="N394" i="3"/>
  <c r="L394" i="3"/>
  <c r="H394" i="3"/>
  <c r="I394" i="3" s="1"/>
  <c r="F394" i="3"/>
  <c r="C394" i="3"/>
  <c r="Z393" i="3"/>
  <c r="AA393" i="3" s="1"/>
  <c r="T393" i="3"/>
  <c r="U393" i="3" s="1"/>
  <c r="Q393" i="3"/>
  <c r="R393" i="3" s="1"/>
  <c r="K393" i="3"/>
  <c r="L393" i="3" s="1"/>
  <c r="F393" i="3"/>
  <c r="E393" i="3"/>
  <c r="B393" i="3"/>
  <c r="AC392" i="3"/>
  <c r="AD392" i="3" s="1"/>
  <c r="AA392" i="3"/>
  <c r="W392" i="3"/>
  <c r="X392" i="3" s="1"/>
  <c r="U392" i="3"/>
  <c r="R392" i="3"/>
  <c r="O392" i="3"/>
  <c r="N392" i="3"/>
  <c r="L392" i="3"/>
  <c r="H392" i="3"/>
  <c r="I392" i="3" s="1"/>
  <c r="F392" i="3"/>
  <c r="C392" i="3"/>
  <c r="AC391" i="3"/>
  <c r="AD391" i="3" s="1"/>
  <c r="AA391" i="3"/>
  <c r="W391" i="3"/>
  <c r="U391" i="3"/>
  <c r="R391" i="3"/>
  <c r="O391" i="3"/>
  <c r="N391" i="3"/>
  <c r="L391" i="3"/>
  <c r="H391" i="3"/>
  <c r="I391" i="3" s="1"/>
  <c r="F391" i="3"/>
  <c r="C391" i="3"/>
  <c r="AC390" i="3"/>
  <c r="AD390" i="3" s="1"/>
  <c r="AA390" i="3"/>
  <c r="W390" i="3"/>
  <c r="U390" i="3"/>
  <c r="R390" i="3"/>
  <c r="O390" i="3"/>
  <c r="N390" i="3"/>
  <c r="L390" i="3"/>
  <c r="H390" i="3"/>
  <c r="I390" i="3" s="1"/>
  <c r="F390" i="3"/>
  <c r="C390" i="3"/>
  <c r="AC389" i="3"/>
  <c r="AD389" i="3" s="1"/>
  <c r="AA389" i="3"/>
  <c r="X389" i="3"/>
  <c r="W389" i="3"/>
  <c r="U389" i="3"/>
  <c r="R389" i="3"/>
  <c r="O389" i="3"/>
  <c r="N389" i="3"/>
  <c r="L389" i="3"/>
  <c r="H389" i="3"/>
  <c r="I389" i="3" s="1"/>
  <c r="F389" i="3"/>
  <c r="C389" i="3"/>
  <c r="AC388" i="3"/>
  <c r="AD388" i="3" s="1"/>
  <c r="AA388" i="3"/>
  <c r="W388" i="3"/>
  <c r="X388" i="3" s="1"/>
  <c r="U388" i="3"/>
  <c r="R388" i="3"/>
  <c r="O388" i="3"/>
  <c r="N388" i="3"/>
  <c r="L388" i="3"/>
  <c r="H388" i="3"/>
  <c r="I388" i="3" s="1"/>
  <c r="F388" i="3"/>
  <c r="C388" i="3"/>
  <c r="AC386" i="3"/>
  <c r="AD386" i="3" s="1"/>
  <c r="AA386" i="3"/>
  <c r="W386" i="3"/>
  <c r="U386" i="3"/>
  <c r="R386" i="3"/>
  <c r="O386" i="3"/>
  <c r="N386" i="3"/>
  <c r="L386" i="3"/>
  <c r="H386" i="3"/>
  <c r="I386" i="3" s="1"/>
  <c r="F386" i="3"/>
  <c r="C386" i="3"/>
  <c r="AC385" i="3"/>
  <c r="AD385" i="3" s="1"/>
  <c r="AA385" i="3"/>
  <c r="W385" i="3"/>
  <c r="U385" i="3"/>
  <c r="R385" i="3"/>
  <c r="O385" i="3"/>
  <c r="N385" i="3"/>
  <c r="L385" i="3"/>
  <c r="H385" i="3"/>
  <c r="I385" i="3" s="1"/>
  <c r="F385" i="3"/>
  <c r="C385" i="3"/>
  <c r="AC383" i="3"/>
  <c r="AD383" i="3" s="1"/>
  <c r="AA383" i="3"/>
  <c r="W383" i="3"/>
  <c r="U383" i="3"/>
  <c r="R383" i="3"/>
  <c r="O383" i="3"/>
  <c r="N383" i="3"/>
  <c r="L383" i="3"/>
  <c r="H383" i="3"/>
  <c r="I383" i="3" s="1"/>
  <c r="F383" i="3"/>
  <c r="C383" i="3"/>
  <c r="AC382" i="3"/>
  <c r="AD382" i="3" s="1"/>
  <c r="AA382" i="3"/>
  <c r="W382" i="3"/>
  <c r="X382" i="3" s="1"/>
  <c r="U382" i="3"/>
  <c r="R382" i="3"/>
  <c r="O382" i="3"/>
  <c r="N382" i="3"/>
  <c r="L382" i="3"/>
  <c r="H382" i="3"/>
  <c r="I382" i="3" s="1"/>
  <c r="F382" i="3"/>
  <c r="C382" i="3"/>
  <c r="AC381" i="3"/>
  <c r="AD381" i="3" s="1"/>
  <c r="AA381" i="3"/>
  <c r="W381" i="3"/>
  <c r="U381" i="3"/>
  <c r="R381" i="3"/>
  <c r="O381" i="3"/>
  <c r="N381" i="3"/>
  <c r="L381" i="3"/>
  <c r="H381" i="3"/>
  <c r="I381" i="3" s="1"/>
  <c r="F381" i="3"/>
  <c r="C381" i="3"/>
  <c r="AC380" i="3"/>
  <c r="AD380" i="3" s="1"/>
  <c r="AA380" i="3"/>
  <c r="X380" i="3"/>
  <c r="W380" i="3"/>
  <c r="U380" i="3"/>
  <c r="R380" i="3"/>
  <c r="N380" i="3"/>
  <c r="O380" i="3" s="1"/>
  <c r="L380" i="3"/>
  <c r="H380" i="3"/>
  <c r="I380" i="3" s="1"/>
  <c r="F380" i="3"/>
  <c r="C380" i="3"/>
  <c r="AC379" i="3"/>
  <c r="AD379" i="3" s="1"/>
  <c r="AA379" i="3"/>
  <c r="W379" i="3"/>
  <c r="U379" i="3"/>
  <c r="R379" i="3"/>
  <c r="O379" i="3"/>
  <c r="N379" i="3"/>
  <c r="L379" i="3"/>
  <c r="H379" i="3"/>
  <c r="I379" i="3" s="1"/>
  <c r="F379" i="3"/>
  <c r="C379" i="3"/>
  <c r="AC378" i="3"/>
  <c r="AD378" i="3" s="1"/>
  <c r="AA378" i="3"/>
  <c r="W378" i="3"/>
  <c r="X378" i="3" s="1"/>
  <c r="U378" i="3"/>
  <c r="R378" i="3"/>
  <c r="O378" i="3"/>
  <c r="N378" i="3"/>
  <c r="L378" i="3"/>
  <c r="H378" i="3"/>
  <c r="I378" i="3" s="1"/>
  <c r="F378" i="3"/>
  <c r="C378" i="3"/>
  <c r="AC377" i="3"/>
  <c r="AD377" i="3" s="1"/>
  <c r="AA377" i="3"/>
  <c r="W377" i="3"/>
  <c r="U377" i="3"/>
  <c r="R377" i="3"/>
  <c r="O377" i="3"/>
  <c r="N377" i="3"/>
  <c r="L377" i="3"/>
  <c r="H377" i="3"/>
  <c r="I377" i="3" s="1"/>
  <c r="F377" i="3"/>
  <c r="C377" i="3"/>
  <c r="AC376" i="3"/>
  <c r="AD376" i="3" s="1"/>
  <c r="AA376" i="3"/>
  <c r="W376" i="3"/>
  <c r="U376" i="3"/>
  <c r="R376" i="3"/>
  <c r="O376" i="3"/>
  <c r="N376" i="3"/>
  <c r="L376" i="3"/>
  <c r="H376" i="3"/>
  <c r="I376" i="3" s="1"/>
  <c r="F376" i="3"/>
  <c r="C376" i="3"/>
  <c r="AC375" i="3"/>
  <c r="AD375" i="3" s="1"/>
  <c r="AA375" i="3"/>
  <c r="W375" i="3"/>
  <c r="U375" i="3"/>
  <c r="R375" i="3"/>
  <c r="O375" i="3"/>
  <c r="N375" i="3"/>
  <c r="L375" i="3"/>
  <c r="H375" i="3"/>
  <c r="I375" i="3" s="1"/>
  <c r="F375" i="3"/>
  <c r="C375" i="3"/>
  <c r="AC374" i="3"/>
  <c r="AD374" i="3" s="1"/>
  <c r="AA374" i="3"/>
  <c r="W374" i="3"/>
  <c r="X374" i="3" s="1"/>
  <c r="U374" i="3"/>
  <c r="R374" i="3"/>
  <c r="O374" i="3"/>
  <c r="N374" i="3"/>
  <c r="L374" i="3"/>
  <c r="H374" i="3"/>
  <c r="I374" i="3" s="1"/>
  <c r="F374" i="3"/>
  <c r="C374" i="3"/>
  <c r="AC373" i="3"/>
  <c r="AD373" i="3" s="1"/>
  <c r="AA373" i="3"/>
  <c r="W373" i="3"/>
  <c r="U373" i="3"/>
  <c r="R373" i="3"/>
  <c r="O373" i="3"/>
  <c r="N373" i="3"/>
  <c r="L373" i="3"/>
  <c r="H373" i="3"/>
  <c r="I373" i="3" s="1"/>
  <c r="F373" i="3"/>
  <c r="C373" i="3"/>
  <c r="AC372" i="3"/>
  <c r="AD372" i="3" s="1"/>
  <c r="AA372" i="3"/>
  <c r="W372" i="3"/>
  <c r="U372" i="3"/>
  <c r="R372" i="3"/>
  <c r="O372" i="3"/>
  <c r="N372" i="3"/>
  <c r="L372" i="3"/>
  <c r="H372" i="3"/>
  <c r="I372" i="3" s="1"/>
  <c r="F372" i="3"/>
  <c r="C372" i="3"/>
  <c r="AC371" i="3"/>
  <c r="AD371" i="3" s="1"/>
  <c r="AA371" i="3"/>
  <c r="X371" i="3"/>
  <c r="W371" i="3"/>
  <c r="U371" i="3"/>
  <c r="R371" i="3"/>
  <c r="O371" i="3"/>
  <c r="N371" i="3"/>
  <c r="L371" i="3"/>
  <c r="H371" i="3"/>
  <c r="I371" i="3" s="1"/>
  <c r="F371" i="3"/>
  <c r="C371" i="3"/>
  <c r="AC370" i="3"/>
  <c r="AD370" i="3" s="1"/>
  <c r="AA370" i="3"/>
  <c r="W370" i="3"/>
  <c r="X370" i="3" s="1"/>
  <c r="U370" i="3"/>
  <c r="R370" i="3"/>
  <c r="O370" i="3"/>
  <c r="N370" i="3"/>
  <c r="L370" i="3"/>
  <c r="H370" i="3"/>
  <c r="I370" i="3" s="1"/>
  <c r="F370" i="3"/>
  <c r="C370" i="3"/>
  <c r="AC369" i="3"/>
  <c r="AD369" i="3" s="1"/>
  <c r="AA369" i="3"/>
  <c r="W369" i="3"/>
  <c r="U369" i="3"/>
  <c r="R369" i="3"/>
  <c r="O369" i="3"/>
  <c r="N369" i="3"/>
  <c r="L369" i="3"/>
  <c r="H369" i="3"/>
  <c r="I369" i="3" s="1"/>
  <c r="F369" i="3"/>
  <c r="C369" i="3"/>
  <c r="AC368" i="3"/>
  <c r="AD368" i="3" s="1"/>
  <c r="Z368" i="3"/>
  <c r="AA368" i="3" s="1"/>
  <c r="W368" i="3"/>
  <c r="T368" i="3"/>
  <c r="U368" i="3" s="1"/>
  <c r="R368" i="3"/>
  <c r="Q368" i="3"/>
  <c r="N368" i="3"/>
  <c r="O368" i="3" s="1"/>
  <c r="K368" i="3"/>
  <c r="L368" i="3" s="1"/>
  <c r="E368" i="3"/>
  <c r="H368" i="3" s="1"/>
  <c r="I368" i="3" s="1"/>
  <c r="B368" i="3"/>
  <c r="C368" i="3" s="1"/>
  <c r="AC367" i="3"/>
  <c r="AD367" i="3" s="1"/>
  <c r="AA367" i="3"/>
  <c r="W367" i="3"/>
  <c r="U367" i="3"/>
  <c r="R367" i="3"/>
  <c r="O367" i="3"/>
  <c r="N367" i="3"/>
  <c r="L367" i="3"/>
  <c r="H367" i="3"/>
  <c r="I367" i="3" s="1"/>
  <c r="F367" i="3"/>
  <c r="C367" i="3"/>
  <c r="AC366" i="3"/>
  <c r="AD366" i="3" s="1"/>
  <c r="AA366" i="3"/>
  <c r="W366" i="3"/>
  <c r="U366" i="3"/>
  <c r="R366" i="3"/>
  <c r="O366" i="3"/>
  <c r="N366" i="3"/>
  <c r="L366" i="3"/>
  <c r="H366" i="3"/>
  <c r="I366" i="3" s="1"/>
  <c r="F366" i="3"/>
  <c r="C366" i="3"/>
  <c r="AD365" i="3"/>
  <c r="AC365" i="3"/>
  <c r="AA365" i="3"/>
  <c r="W365" i="3"/>
  <c r="U365" i="3"/>
  <c r="R365" i="3"/>
  <c r="N365" i="3"/>
  <c r="O365" i="3" s="1"/>
  <c r="L365" i="3"/>
  <c r="H365" i="3"/>
  <c r="I365" i="3" s="1"/>
  <c r="F365" i="3"/>
  <c r="C365" i="3"/>
  <c r="AC364" i="3"/>
  <c r="AD364" i="3" s="1"/>
  <c r="AA364" i="3"/>
  <c r="W364" i="3"/>
  <c r="U364" i="3"/>
  <c r="R364" i="3"/>
  <c r="O364" i="3"/>
  <c r="N364" i="3"/>
  <c r="L364" i="3"/>
  <c r="I364" i="3"/>
  <c r="H364" i="3"/>
  <c r="F364" i="3"/>
  <c r="C364" i="3"/>
  <c r="AC363" i="3"/>
  <c r="AD363" i="3" s="1"/>
  <c r="AA363" i="3"/>
  <c r="W363" i="3"/>
  <c r="X363" i="3" s="1"/>
  <c r="U363" i="3"/>
  <c r="R363" i="3"/>
  <c r="O363" i="3"/>
  <c r="N363" i="3"/>
  <c r="L363" i="3"/>
  <c r="H363" i="3"/>
  <c r="I363" i="3" s="1"/>
  <c r="F363" i="3"/>
  <c r="C363" i="3"/>
  <c r="AC362" i="3"/>
  <c r="AD362" i="3" s="1"/>
  <c r="AA362" i="3"/>
  <c r="X362" i="3"/>
  <c r="W362" i="3"/>
  <c r="U362" i="3"/>
  <c r="R362" i="3"/>
  <c r="O362" i="3"/>
  <c r="N362" i="3"/>
  <c r="L362" i="3"/>
  <c r="H362" i="3"/>
  <c r="I362" i="3" s="1"/>
  <c r="F362" i="3"/>
  <c r="C362" i="3"/>
  <c r="AD361" i="3"/>
  <c r="AC361" i="3"/>
  <c r="AA361" i="3"/>
  <c r="W361" i="3"/>
  <c r="U361" i="3"/>
  <c r="R361" i="3"/>
  <c r="N361" i="3"/>
  <c r="O361" i="3" s="1"/>
  <c r="L361" i="3"/>
  <c r="H361" i="3"/>
  <c r="I361" i="3" s="1"/>
  <c r="F361" i="3"/>
  <c r="C361" i="3"/>
  <c r="AC360" i="3"/>
  <c r="AD360" i="3" s="1"/>
  <c r="AA360" i="3"/>
  <c r="W360" i="3"/>
  <c r="U360" i="3"/>
  <c r="R360" i="3"/>
  <c r="O360" i="3"/>
  <c r="N360" i="3"/>
  <c r="L360" i="3"/>
  <c r="I360" i="3"/>
  <c r="H360" i="3"/>
  <c r="F360" i="3"/>
  <c r="C360" i="3"/>
  <c r="Z358" i="3"/>
  <c r="AA358" i="3" s="1"/>
  <c r="T358" i="3"/>
  <c r="U358" i="3" s="1"/>
  <c r="Q358" i="3"/>
  <c r="R358" i="3" s="1"/>
  <c r="K358" i="3"/>
  <c r="N358" i="3" s="1"/>
  <c r="O358" i="3" s="1"/>
  <c r="H358" i="3"/>
  <c r="I358" i="3" s="1"/>
  <c r="E358" i="3"/>
  <c r="F358" i="3" s="1"/>
  <c r="B358" i="3"/>
  <c r="C358" i="3" s="1"/>
  <c r="AD357" i="3"/>
  <c r="AC357" i="3"/>
  <c r="AA357" i="3"/>
  <c r="W357" i="3"/>
  <c r="U357" i="3"/>
  <c r="R357" i="3"/>
  <c r="N357" i="3"/>
  <c r="O357" i="3" s="1"/>
  <c r="L357" i="3"/>
  <c r="H357" i="3"/>
  <c r="I357" i="3" s="1"/>
  <c r="F357" i="3"/>
  <c r="C357" i="3"/>
  <c r="AC356" i="3"/>
  <c r="AD356" i="3" s="1"/>
  <c r="AA356" i="3"/>
  <c r="W356" i="3"/>
  <c r="U356" i="3"/>
  <c r="R356" i="3"/>
  <c r="O356" i="3"/>
  <c r="N356" i="3"/>
  <c r="L356" i="3"/>
  <c r="I356" i="3"/>
  <c r="H356" i="3"/>
  <c r="F356" i="3"/>
  <c r="C356" i="3"/>
  <c r="AC355" i="3"/>
  <c r="AD355" i="3" s="1"/>
  <c r="AA355" i="3"/>
  <c r="W355" i="3"/>
  <c r="X355" i="3" s="1"/>
  <c r="U355" i="3"/>
  <c r="R355" i="3"/>
  <c r="O355" i="3"/>
  <c r="N355" i="3"/>
  <c r="L355" i="3"/>
  <c r="H355" i="3"/>
  <c r="I355" i="3" s="1"/>
  <c r="F355" i="3"/>
  <c r="C355" i="3"/>
  <c r="AC354" i="3"/>
  <c r="AD354" i="3" s="1"/>
  <c r="AA354" i="3"/>
  <c r="X354" i="3"/>
  <c r="W354" i="3"/>
  <c r="U354" i="3"/>
  <c r="R354" i="3"/>
  <c r="O354" i="3"/>
  <c r="N354" i="3"/>
  <c r="L354" i="3"/>
  <c r="H354" i="3"/>
  <c r="I354" i="3" s="1"/>
  <c r="F354" i="3"/>
  <c r="C354" i="3"/>
  <c r="AD353" i="3"/>
  <c r="AC353" i="3"/>
  <c r="AA353" i="3"/>
  <c r="W353" i="3"/>
  <c r="U353" i="3"/>
  <c r="R353" i="3"/>
  <c r="N353" i="3"/>
  <c r="O353" i="3" s="1"/>
  <c r="L353" i="3"/>
  <c r="H353" i="3"/>
  <c r="I353" i="3" s="1"/>
  <c r="F353" i="3"/>
  <c r="C353" i="3"/>
  <c r="AC352" i="3"/>
  <c r="AD352" i="3" s="1"/>
  <c r="AA352" i="3"/>
  <c r="W352" i="3"/>
  <c r="U352" i="3"/>
  <c r="R352" i="3"/>
  <c r="O352" i="3"/>
  <c r="N352" i="3"/>
  <c r="L352" i="3"/>
  <c r="I352" i="3"/>
  <c r="H352" i="3"/>
  <c r="F352" i="3"/>
  <c r="C352" i="3"/>
  <c r="AC351" i="3"/>
  <c r="AD351" i="3" s="1"/>
  <c r="AA351" i="3"/>
  <c r="W351" i="3"/>
  <c r="U351" i="3"/>
  <c r="R351" i="3"/>
  <c r="O351" i="3"/>
  <c r="N351" i="3"/>
  <c r="L351" i="3"/>
  <c r="H351" i="3"/>
  <c r="I351" i="3" s="1"/>
  <c r="F351" i="3"/>
  <c r="C351" i="3"/>
  <c r="AC350" i="3"/>
  <c r="AD350" i="3" s="1"/>
  <c r="AA350" i="3"/>
  <c r="W350" i="3"/>
  <c r="U350" i="3"/>
  <c r="R350" i="3"/>
  <c r="O350" i="3"/>
  <c r="N350" i="3"/>
  <c r="L350" i="3"/>
  <c r="H350" i="3"/>
  <c r="I350" i="3" s="1"/>
  <c r="F350" i="3"/>
  <c r="C350" i="3"/>
  <c r="AC349" i="3"/>
  <c r="AD349" i="3" s="1"/>
  <c r="AA349" i="3"/>
  <c r="X349" i="3"/>
  <c r="W349" i="3"/>
  <c r="U349" i="3"/>
  <c r="R349" i="3"/>
  <c r="N349" i="3"/>
  <c r="O349" i="3" s="1"/>
  <c r="L349" i="3"/>
  <c r="H349" i="3"/>
  <c r="I349" i="3" s="1"/>
  <c r="F349" i="3"/>
  <c r="C349" i="3"/>
  <c r="AC347" i="3"/>
  <c r="AD347" i="3" s="1"/>
  <c r="AA347" i="3"/>
  <c r="W347" i="3"/>
  <c r="U347" i="3"/>
  <c r="R347" i="3"/>
  <c r="O347" i="3"/>
  <c r="N347" i="3"/>
  <c r="L347" i="3"/>
  <c r="H347" i="3"/>
  <c r="I347" i="3" s="1"/>
  <c r="F347" i="3"/>
  <c r="C347" i="3"/>
  <c r="Z344" i="3"/>
  <c r="AA344" i="3" s="1"/>
  <c r="T344" i="3"/>
  <c r="U344" i="3" s="1"/>
  <c r="Q344" i="3"/>
  <c r="W344" i="3" s="1"/>
  <c r="X344" i="3" s="1"/>
  <c r="N344" i="3"/>
  <c r="O344" i="3" s="1"/>
  <c r="K344" i="3"/>
  <c r="L344" i="3" s="1"/>
  <c r="E344" i="3"/>
  <c r="F344" i="3" s="1"/>
  <c r="B344" i="3"/>
  <c r="Z343" i="3"/>
  <c r="AA343" i="3" s="1"/>
  <c r="T343" i="3"/>
  <c r="Q343" i="3"/>
  <c r="R343" i="3" s="1"/>
  <c r="K343" i="3"/>
  <c r="L343" i="3" s="1"/>
  <c r="H343" i="3"/>
  <c r="I343" i="3" s="1"/>
  <c r="E343" i="3"/>
  <c r="F343" i="3" s="1"/>
  <c r="B343" i="3"/>
  <c r="C343" i="3" s="1"/>
  <c r="Z342" i="3"/>
  <c r="AA342" i="3" s="1"/>
  <c r="T342" i="3"/>
  <c r="U342" i="3" s="1"/>
  <c r="Q342" i="3"/>
  <c r="W342" i="3" s="1"/>
  <c r="X342" i="3" s="1"/>
  <c r="N342" i="3"/>
  <c r="O342" i="3" s="1"/>
  <c r="K342" i="3"/>
  <c r="L342" i="3" s="1"/>
  <c r="E342" i="3"/>
  <c r="F342" i="3" s="1"/>
  <c r="B342" i="3"/>
  <c r="AC341" i="3"/>
  <c r="AD341" i="3" s="1"/>
  <c r="AA341" i="3"/>
  <c r="W341" i="3"/>
  <c r="U341" i="3"/>
  <c r="R341" i="3"/>
  <c r="O341" i="3"/>
  <c r="N341" i="3"/>
  <c r="L341" i="3"/>
  <c r="H341" i="3"/>
  <c r="I341" i="3" s="1"/>
  <c r="F341" i="3"/>
  <c r="C341" i="3"/>
  <c r="AC340" i="3"/>
  <c r="AD340" i="3" s="1"/>
  <c r="AA340" i="3"/>
  <c r="W340" i="3"/>
  <c r="U340" i="3"/>
  <c r="R340" i="3"/>
  <c r="O340" i="3"/>
  <c r="N340" i="3"/>
  <c r="L340" i="3"/>
  <c r="H340" i="3"/>
  <c r="I340" i="3" s="1"/>
  <c r="F340" i="3"/>
  <c r="C340" i="3"/>
  <c r="AC339" i="3"/>
  <c r="AD339" i="3" s="1"/>
  <c r="AA339" i="3"/>
  <c r="X339" i="3"/>
  <c r="W339" i="3"/>
  <c r="U339" i="3"/>
  <c r="R339" i="3"/>
  <c r="O339" i="3"/>
  <c r="N339" i="3"/>
  <c r="L339" i="3"/>
  <c r="H339" i="3"/>
  <c r="I339" i="3" s="1"/>
  <c r="F339" i="3"/>
  <c r="C339" i="3"/>
  <c r="AC338" i="3"/>
  <c r="AD338" i="3" s="1"/>
  <c r="AA338" i="3"/>
  <c r="W338" i="3"/>
  <c r="U338" i="3"/>
  <c r="R338" i="3"/>
  <c r="O338" i="3"/>
  <c r="N338" i="3"/>
  <c r="L338" i="3"/>
  <c r="H338" i="3"/>
  <c r="I338" i="3" s="1"/>
  <c r="F338" i="3"/>
  <c r="C338" i="3"/>
  <c r="AC337" i="3"/>
  <c r="AD337" i="3" s="1"/>
  <c r="AA337" i="3"/>
  <c r="W337" i="3"/>
  <c r="U337" i="3"/>
  <c r="R337" i="3"/>
  <c r="O337" i="3"/>
  <c r="N337" i="3"/>
  <c r="L337" i="3"/>
  <c r="H337" i="3"/>
  <c r="I337" i="3" s="1"/>
  <c r="F337" i="3"/>
  <c r="C337" i="3"/>
  <c r="AC335" i="3"/>
  <c r="AD335" i="3" s="1"/>
  <c r="AA335" i="3"/>
  <c r="W335" i="3"/>
  <c r="U335" i="3"/>
  <c r="R335" i="3"/>
  <c r="O335" i="3"/>
  <c r="N335" i="3"/>
  <c r="L335" i="3"/>
  <c r="H335" i="3"/>
  <c r="I335" i="3" s="1"/>
  <c r="F335" i="3"/>
  <c r="C335" i="3"/>
  <c r="AC334" i="3"/>
  <c r="AD334" i="3" s="1"/>
  <c r="AA334" i="3"/>
  <c r="X334" i="3"/>
  <c r="W334" i="3"/>
  <c r="U334" i="3"/>
  <c r="R334" i="3"/>
  <c r="O334" i="3"/>
  <c r="N334" i="3"/>
  <c r="L334" i="3"/>
  <c r="H334" i="3"/>
  <c r="I334" i="3" s="1"/>
  <c r="F334" i="3"/>
  <c r="C334" i="3"/>
  <c r="AC333" i="3"/>
  <c r="AD333" i="3" s="1"/>
  <c r="AA333" i="3"/>
  <c r="W333" i="3"/>
  <c r="U333" i="3"/>
  <c r="R333" i="3"/>
  <c r="O333" i="3"/>
  <c r="N333" i="3"/>
  <c r="L333" i="3"/>
  <c r="H333" i="3"/>
  <c r="I333" i="3" s="1"/>
  <c r="F333" i="3"/>
  <c r="C333" i="3"/>
  <c r="AC332" i="3"/>
  <c r="AD332" i="3" s="1"/>
  <c r="AA332" i="3"/>
  <c r="W332" i="3"/>
  <c r="U332" i="3"/>
  <c r="R332" i="3"/>
  <c r="O332" i="3"/>
  <c r="N332" i="3"/>
  <c r="L332" i="3"/>
  <c r="H332" i="3"/>
  <c r="I332" i="3" s="1"/>
  <c r="F332" i="3"/>
  <c r="C332" i="3"/>
  <c r="AC331" i="3"/>
  <c r="AD331" i="3" s="1"/>
  <c r="AA331" i="3"/>
  <c r="W331" i="3"/>
  <c r="U331" i="3"/>
  <c r="R331" i="3"/>
  <c r="O331" i="3"/>
  <c r="N331" i="3"/>
  <c r="L331" i="3"/>
  <c r="H331" i="3"/>
  <c r="I331" i="3" s="1"/>
  <c r="F331" i="3"/>
  <c r="C331" i="3"/>
  <c r="AC330" i="3"/>
  <c r="AD330" i="3" s="1"/>
  <c r="AA330" i="3"/>
  <c r="X330" i="3"/>
  <c r="W330" i="3"/>
  <c r="U330" i="3"/>
  <c r="R330" i="3"/>
  <c r="O330" i="3"/>
  <c r="N330" i="3"/>
  <c r="L330" i="3"/>
  <c r="H330" i="3"/>
  <c r="I330" i="3" s="1"/>
  <c r="F330" i="3"/>
  <c r="C330" i="3"/>
  <c r="AC329" i="3"/>
  <c r="AD329" i="3" s="1"/>
  <c r="AA329" i="3"/>
  <c r="W329" i="3"/>
  <c r="U329" i="3"/>
  <c r="R329" i="3"/>
  <c r="O329" i="3"/>
  <c r="N329" i="3"/>
  <c r="L329" i="3"/>
  <c r="H329" i="3"/>
  <c r="I329" i="3" s="1"/>
  <c r="F329" i="3"/>
  <c r="C329" i="3"/>
  <c r="AC328" i="3"/>
  <c r="AD328" i="3" s="1"/>
  <c r="AA328" i="3"/>
  <c r="W328" i="3"/>
  <c r="U328" i="3"/>
  <c r="R328" i="3"/>
  <c r="O328" i="3"/>
  <c r="N328" i="3"/>
  <c r="L328" i="3"/>
  <c r="H328" i="3"/>
  <c r="I328" i="3" s="1"/>
  <c r="F328" i="3"/>
  <c r="C328" i="3"/>
  <c r="Z325" i="3"/>
  <c r="AA325" i="3" s="1"/>
  <c r="T325" i="3"/>
  <c r="U325" i="3" s="1"/>
  <c r="Q325" i="3"/>
  <c r="K325" i="3"/>
  <c r="L325" i="3" s="1"/>
  <c r="E325" i="3"/>
  <c r="B325" i="3"/>
  <c r="C325" i="3" s="1"/>
  <c r="Z324" i="3"/>
  <c r="AA324" i="3" s="1"/>
  <c r="W324" i="3"/>
  <c r="X324" i="3" s="1"/>
  <c r="T324" i="3"/>
  <c r="U324" i="3" s="1"/>
  <c r="Q324" i="3"/>
  <c r="R324" i="3" s="1"/>
  <c r="K324" i="3"/>
  <c r="L324" i="3" s="1"/>
  <c r="E324" i="3"/>
  <c r="F324" i="3" s="1"/>
  <c r="B324" i="3"/>
  <c r="H324" i="3" s="1"/>
  <c r="I324" i="3" s="1"/>
  <c r="AC323" i="3"/>
  <c r="AD323" i="3" s="1"/>
  <c r="AA323" i="3"/>
  <c r="W323" i="3"/>
  <c r="U323" i="3"/>
  <c r="R323" i="3"/>
  <c r="O323" i="3"/>
  <c r="N323" i="3"/>
  <c r="L323" i="3"/>
  <c r="H323" i="3"/>
  <c r="I323" i="3" s="1"/>
  <c r="F323" i="3"/>
  <c r="C323" i="3"/>
  <c r="AC322" i="3"/>
  <c r="AD322" i="3" s="1"/>
  <c r="AA322" i="3"/>
  <c r="X322" i="3"/>
  <c r="W322" i="3"/>
  <c r="U322" i="3"/>
  <c r="R322" i="3"/>
  <c r="O322" i="3"/>
  <c r="N322" i="3"/>
  <c r="L322" i="3"/>
  <c r="H322" i="3"/>
  <c r="I322" i="3" s="1"/>
  <c r="F322" i="3"/>
  <c r="C322" i="3"/>
  <c r="AC321" i="3"/>
  <c r="AD321" i="3" s="1"/>
  <c r="AA321" i="3"/>
  <c r="W321" i="3"/>
  <c r="U321" i="3"/>
  <c r="R321" i="3"/>
  <c r="O321" i="3"/>
  <c r="N321" i="3"/>
  <c r="L321" i="3"/>
  <c r="H321" i="3"/>
  <c r="I321" i="3" s="1"/>
  <c r="F321" i="3"/>
  <c r="C321" i="3"/>
  <c r="AC320" i="3"/>
  <c r="AD320" i="3" s="1"/>
  <c r="AA320" i="3"/>
  <c r="W320" i="3"/>
  <c r="U320" i="3"/>
  <c r="R320" i="3"/>
  <c r="O320" i="3"/>
  <c r="N320" i="3"/>
  <c r="L320" i="3"/>
  <c r="H320" i="3"/>
  <c r="I320" i="3" s="1"/>
  <c r="F320" i="3"/>
  <c r="C320" i="3"/>
  <c r="AC319" i="3"/>
  <c r="AD319" i="3" s="1"/>
  <c r="AA319" i="3"/>
  <c r="W319" i="3"/>
  <c r="U319" i="3"/>
  <c r="R319" i="3"/>
  <c r="O319" i="3"/>
  <c r="N319" i="3"/>
  <c r="L319" i="3"/>
  <c r="H319" i="3"/>
  <c r="I319" i="3" s="1"/>
  <c r="F319" i="3"/>
  <c r="C319" i="3"/>
  <c r="AC318" i="3"/>
  <c r="AD318" i="3" s="1"/>
  <c r="AA318" i="3"/>
  <c r="X318" i="3"/>
  <c r="W318" i="3"/>
  <c r="U318" i="3"/>
  <c r="R318" i="3"/>
  <c r="O318" i="3"/>
  <c r="N318" i="3"/>
  <c r="L318" i="3"/>
  <c r="H318" i="3"/>
  <c r="I318" i="3" s="1"/>
  <c r="F318" i="3"/>
  <c r="C318" i="3"/>
  <c r="AC317" i="3"/>
  <c r="AD317" i="3" s="1"/>
  <c r="AA317" i="3"/>
  <c r="W317" i="3"/>
  <c r="U317" i="3"/>
  <c r="R317" i="3"/>
  <c r="O317" i="3"/>
  <c r="N317" i="3"/>
  <c r="L317" i="3"/>
  <c r="H317" i="3"/>
  <c r="I317" i="3" s="1"/>
  <c r="F317" i="3"/>
  <c r="C317" i="3"/>
  <c r="AC316" i="3"/>
  <c r="AD316" i="3" s="1"/>
  <c r="AA316" i="3"/>
  <c r="W316" i="3"/>
  <c r="U316" i="3"/>
  <c r="R316" i="3"/>
  <c r="O316" i="3"/>
  <c r="N316" i="3"/>
  <c r="L316" i="3"/>
  <c r="H316" i="3"/>
  <c r="I316" i="3" s="1"/>
  <c r="F316" i="3"/>
  <c r="C316" i="3"/>
  <c r="AC315" i="3"/>
  <c r="AD315" i="3" s="1"/>
  <c r="AA315" i="3"/>
  <c r="W315" i="3"/>
  <c r="U315" i="3"/>
  <c r="R315" i="3"/>
  <c r="O315" i="3"/>
  <c r="N315" i="3"/>
  <c r="L315" i="3"/>
  <c r="H315" i="3"/>
  <c r="I315" i="3" s="1"/>
  <c r="F315" i="3"/>
  <c r="C315" i="3"/>
  <c r="AC314" i="3"/>
  <c r="AD314" i="3" s="1"/>
  <c r="AA314" i="3"/>
  <c r="X314" i="3"/>
  <c r="W314" i="3"/>
  <c r="U314" i="3"/>
  <c r="R314" i="3"/>
  <c r="O314" i="3"/>
  <c r="N314" i="3"/>
  <c r="L314" i="3"/>
  <c r="H314" i="3"/>
  <c r="I314" i="3" s="1"/>
  <c r="F314" i="3"/>
  <c r="C314" i="3"/>
  <c r="AC313" i="3"/>
  <c r="AD313" i="3" s="1"/>
  <c r="AA313" i="3"/>
  <c r="W313" i="3"/>
  <c r="U313" i="3"/>
  <c r="R313" i="3"/>
  <c r="O313" i="3"/>
  <c r="N313" i="3"/>
  <c r="L313" i="3"/>
  <c r="H313" i="3"/>
  <c r="I313" i="3" s="1"/>
  <c r="F313" i="3"/>
  <c r="C313" i="3"/>
  <c r="AC312" i="3"/>
  <c r="AD312" i="3" s="1"/>
  <c r="AA312" i="3"/>
  <c r="W312" i="3"/>
  <c r="U312" i="3"/>
  <c r="R312" i="3"/>
  <c r="O312" i="3"/>
  <c r="N312" i="3"/>
  <c r="L312" i="3"/>
  <c r="H312" i="3"/>
  <c r="I312" i="3" s="1"/>
  <c r="F312" i="3"/>
  <c r="C312" i="3"/>
  <c r="AC311" i="3"/>
  <c r="AD311" i="3" s="1"/>
  <c r="AA311" i="3"/>
  <c r="W311" i="3"/>
  <c r="U311" i="3"/>
  <c r="R311" i="3"/>
  <c r="O311" i="3"/>
  <c r="N311" i="3"/>
  <c r="L311" i="3"/>
  <c r="H311" i="3"/>
  <c r="I311" i="3" s="1"/>
  <c r="F311" i="3"/>
  <c r="C311" i="3"/>
  <c r="AC310" i="3"/>
  <c r="AD310" i="3" s="1"/>
  <c r="AA310" i="3"/>
  <c r="X310" i="3"/>
  <c r="W310" i="3"/>
  <c r="U310" i="3"/>
  <c r="R310" i="3"/>
  <c r="O310" i="3"/>
  <c r="N310" i="3"/>
  <c r="L310" i="3"/>
  <c r="H310" i="3"/>
  <c r="I310" i="3" s="1"/>
  <c r="F310" i="3"/>
  <c r="C310" i="3"/>
  <c r="AC309" i="3"/>
  <c r="AD309" i="3" s="1"/>
  <c r="AA309" i="3"/>
  <c r="W309" i="3"/>
  <c r="U309" i="3"/>
  <c r="R309" i="3"/>
  <c r="O309" i="3"/>
  <c r="N309" i="3"/>
  <c r="L309" i="3"/>
  <c r="H309" i="3"/>
  <c r="I309" i="3" s="1"/>
  <c r="F309" i="3"/>
  <c r="C309" i="3"/>
  <c r="AC308" i="3"/>
  <c r="AD308" i="3" s="1"/>
  <c r="AA308" i="3"/>
  <c r="W308" i="3"/>
  <c r="U308" i="3"/>
  <c r="R308" i="3"/>
  <c r="O308" i="3"/>
  <c r="N308" i="3"/>
  <c r="L308" i="3"/>
  <c r="H308" i="3"/>
  <c r="I308" i="3" s="1"/>
  <c r="F308" i="3"/>
  <c r="C308" i="3"/>
  <c r="AC307" i="3"/>
  <c r="AD307" i="3" s="1"/>
  <c r="AA307" i="3"/>
  <c r="W307" i="3"/>
  <c r="U307" i="3"/>
  <c r="R307" i="3"/>
  <c r="O307" i="3"/>
  <c r="N307" i="3"/>
  <c r="L307" i="3"/>
  <c r="H307" i="3"/>
  <c r="I307" i="3" s="1"/>
  <c r="F307" i="3"/>
  <c r="C307" i="3"/>
  <c r="AC306" i="3"/>
  <c r="AD306" i="3" s="1"/>
  <c r="AA306" i="3"/>
  <c r="X306" i="3"/>
  <c r="W306" i="3"/>
  <c r="U306" i="3"/>
  <c r="R306" i="3"/>
  <c r="O306" i="3"/>
  <c r="N306" i="3"/>
  <c r="L306" i="3"/>
  <c r="H306" i="3"/>
  <c r="I306" i="3" s="1"/>
  <c r="F306" i="3"/>
  <c r="C306" i="3"/>
  <c r="AC305" i="3"/>
  <c r="AD305" i="3" s="1"/>
  <c r="AA305" i="3"/>
  <c r="W305" i="3"/>
  <c r="U305" i="3"/>
  <c r="R305" i="3"/>
  <c r="O305" i="3"/>
  <c r="N305" i="3"/>
  <c r="L305" i="3"/>
  <c r="H305" i="3"/>
  <c r="I305" i="3" s="1"/>
  <c r="F305" i="3"/>
  <c r="C305" i="3"/>
  <c r="AC304" i="3"/>
  <c r="AD304" i="3" s="1"/>
  <c r="AA304" i="3"/>
  <c r="W304" i="3"/>
  <c r="U304" i="3"/>
  <c r="R304" i="3"/>
  <c r="O304" i="3"/>
  <c r="N304" i="3"/>
  <c r="L304" i="3"/>
  <c r="H304" i="3"/>
  <c r="I304" i="3" s="1"/>
  <c r="F304" i="3"/>
  <c r="C304" i="3"/>
  <c r="AC303" i="3"/>
  <c r="AD303" i="3" s="1"/>
  <c r="AA303" i="3"/>
  <c r="W303" i="3"/>
  <c r="U303" i="3"/>
  <c r="R303" i="3"/>
  <c r="O303" i="3"/>
  <c r="N303" i="3"/>
  <c r="L303" i="3"/>
  <c r="H303" i="3"/>
  <c r="I303" i="3" s="1"/>
  <c r="F303" i="3"/>
  <c r="C303" i="3"/>
  <c r="AC302" i="3"/>
  <c r="AD302" i="3" s="1"/>
  <c r="AA302" i="3"/>
  <c r="X302" i="3"/>
  <c r="W302" i="3"/>
  <c r="U302" i="3"/>
  <c r="R302" i="3"/>
  <c r="O302" i="3"/>
  <c r="N302" i="3"/>
  <c r="L302" i="3"/>
  <c r="H302" i="3"/>
  <c r="I302" i="3" s="1"/>
  <c r="F302" i="3"/>
  <c r="C302" i="3"/>
  <c r="AC301" i="3"/>
  <c r="AD301" i="3" s="1"/>
  <c r="AA301" i="3"/>
  <c r="W301" i="3"/>
  <c r="U301" i="3"/>
  <c r="R301" i="3"/>
  <c r="O301" i="3"/>
  <c r="N301" i="3"/>
  <c r="L301" i="3"/>
  <c r="H301" i="3"/>
  <c r="I301" i="3" s="1"/>
  <c r="F301" i="3"/>
  <c r="C301" i="3"/>
  <c r="AC300" i="3"/>
  <c r="AD300" i="3" s="1"/>
  <c r="AA300" i="3"/>
  <c r="W300" i="3"/>
  <c r="U300" i="3"/>
  <c r="R300" i="3"/>
  <c r="O300" i="3"/>
  <c r="N300" i="3"/>
  <c r="L300" i="3"/>
  <c r="H300" i="3"/>
  <c r="I300" i="3" s="1"/>
  <c r="F300" i="3"/>
  <c r="C300" i="3"/>
  <c r="AC299" i="3"/>
  <c r="AD299" i="3" s="1"/>
  <c r="AA299" i="3"/>
  <c r="W299" i="3"/>
  <c r="U299" i="3"/>
  <c r="R299" i="3"/>
  <c r="O299" i="3"/>
  <c r="N299" i="3"/>
  <c r="L299" i="3"/>
  <c r="H299" i="3"/>
  <c r="I299" i="3" s="1"/>
  <c r="F299" i="3"/>
  <c r="C299" i="3"/>
  <c r="AC298" i="3"/>
  <c r="AD298" i="3" s="1"/>
  <c r="AA298" i="3"/>
  <c r="X298" i="3"/>
  <c r="W298" i="3"/>
  <c r="U298" i="3"/>
  <c r="R298" i="3"/>
  <c r="O298" i="3"/>
  <c r="N298" i="3"/>
  <c r="L298" i="3"/>
  <c r="H298" i="3"/>
  <c r="I298" i="3" s="1"/>
  <c r="F298" i="3"/>
  <c r="C298" i="3"/>
  <c r="AC297" i="3"/>
  <c r="AD297" i="3" s="1"/>
  <c r="AA297" i="3"/>
  <c r="W297" i="3"/>
  <c r="U297" i="3"/>
  <c r="R297" i="3"/>
  <c r="O297" i="3"/>
  <c r="N297" i="3"/>
  <c r="L297" i="3"/>
  <c r="H297" i="3"/>
  <c r="I297" i="3" s="1"/>
  <c r="F297" i="3"/>
  <c r="C297" i="3"/>
  <c r="Z295" i="3"/>
  <c r="AA295" i="3" s="1"/>
  <c r="T295" i="3"/>
  <c r="Q295" i="3"/>
  <c r="R295" i="3" s="1"/>
  <c r="K295" i="3"/>
  <c r="L295" i="3" s="1"/>
  <c r="H295" i="3"/>
  <c r="I295" i="3" s="1"/>
  <c r="E295" i="3"/>
  <c r="F295" i="3" s="1"/>
  <c r="B295" i="3"/>
  <c r="C295" i="3" s="1"/>
  <c r="AC294" i="3"/>
  <c r="AD294" i="3" s="1"/>
  <c r="AA294" i="3"/>
  <c r="X294" i="3"/>
  <c r="W294" i="3"/>
  <c r="U294" i="3"/>
  <c r="R294" i="3"/>
  <c r="O294" i="3"/>
  <c r="N294" i="3"/>
  <c r="L294" i="3"/>
  <c r="H294" i="3"/>
  <c r="I294" i="3" s="1"/>
  <c r="F294" i="3"/>
  <c r="C294" i="3"/>
  <c r="AC293" i="3"/>
  <c r="AD293" i="3" s="1"/>
  <c r="AA293" i="3"/>
  <c r="W293" i="3"/>
  <c r="U293" i="3"/>
  <c r="R293" i="3"/>
  <c r="O293" i="3"/>
  <c r="N293" i="3"/>
  <c r="L293" i="3"/>
  <c r="H293" i="3"/>
  <c r="I293" i="3" s="1"/>
  <c r="F293" i="3"/>
  <c r="C293" i="3"/>
  <c r="AC292" i="3"/>
  <c r="AD292" i="3" s="1"/>
  <c r="AA292" i="3"/>
  <c r="W292" i="3"/>
  <c r="U292" i="3"/>
  <c r="R292" i="3"/>
  <c r="O292" i="3"/>
  <c r="N292" i="3"/>
  <c r="L292" i="3"/>
  <c r="H292" i="3"/>
  <c r="I292" i="3" s="1"/>
  <c r="F292" i="3"/>
  <c r="C292" i="3"/>
  <c r="AC291" i="3"/>
  <c r="AD291" i="3" s="1"/>
  <c r="AA291" i="3"/>
  <c r="W291" i="3"/>
  <c r="U291" i="3"/>
  <c r="R291" i="3"/>
  <c r="O291" i="3"/>
  <c r="N291" i="3"/>
  <c r="L291" i="3"/>
  <c r="H291" i="3"/>
  <c r="I291" i="3" s="1"/>
  <c r="F291" i="3"/>
  <c r="C291" i="3"/>
  <c r="AC290" i="3"/>
  <c r="AD290" i="3" s="1"/>
  <c r="AA290" i="3"/>
  <c r="X290" i="3"/>
  <c r="W290" i="3"/>
  <c r="U290" i="3"/>
  <c r="R290" i="3"/>
  <c r="O290" i="3"/>
  <c r="N290" i="3"/>
  <c r="L290" i="3"/>
  <c r="H290" i="3"/>
  <c r="I290" i="3" s="1"/>
  <c r="F290" i="3"/>
  <c r="C290" i="3"/>
  <c r="AC289" i="3"/>
  <c r="AD289" i="3" s="1"/>
  <c r="AA289" i="3"/>
  <c r="W289" i="3"/>
  <c r="U289" i="3"/>
  <c r="R289" i="3"/>
  <c r="O289" i="3"/>
  <c r="N289" i="3"/>
  <c r="L289" i="3"/>
  <c r="H289" i="3"/>
  <c r="I289" i="3" s="1"/>
  <c r="F289" i="3"/>
  <c r="C289" i="3"/>
  <c r="AC288" i="3"/>
  <c r="AD288" i="3" s="1"/>
  <c r="AA288" i="3"/>
  <c r="W288" i="3"/>
  <c r="U288" i="3"/>
  <c r="R288" i="3"/>
  <c r="O288" i="3"/>
  <c r="N288" i="3"/>
  <c r="L288" i="3"/>
  <c r="H288" i="3"/>
  <c r="I288" i="3" s="1"/>
  <c r="F288" i="3"/>
  <c r="C288" i="3"/>
  <c r="AC287" i="3"/>
  <c r="AD287" i="3" s="1"/>
  <c r="AA287" i="3"/>
  <c r="W287" i="3"/>
  <c r="U287" i="3"/>
  <c r="R287" i="3"/>
  <c r="O287" i="3"/>
  <c r="N287" i="3"/>
  <c r="L287" i="3"/>
  <c r="H287" i="3"/>
  <c r="I287" i="3" s="1"/>
  <c r="F287" i="3"/>
  <c r="C287" i="3"/>
  <c r="AC286" i="3"/>
  <c r="AD286" i="3" s="1"/>
  <c r="AA286" i="3"/>
  <c r="X286" i="3"/>
  <c r="W286" i="3"/>
  <c r="U286" i="3"/>
  <c r="R286" i="3"/>
  <c r="O286" i="3"/>
  <c r="N286" i="3"/>
  <c r="L286" i="3"/>
  <c r="H286" i="3"/>
  <c r="I286" i="3" s="1"/>
  <c r="F286" i="3"/>
  <c r="C286" i="3"/>
  <c r="Z284" i="3"/>
  <c r="AA284" i="3" s="1"/>
  <c r="W284" i="3"/>
  <c r="X284" i="3" s="1"/>
  <c r="T284" i="3"/>
  <c r="U284" i="3" s="1"/>
  <c r="Q284" i="3"/>
  <c r="R284" i="3" s="1"/>
  <c r="K284" i="3"/>
  <c r="L284" i="3" s="1"/>
  <c r="E284" i="3"/>
  <c r="F284" i="3" s="1"/>
  <c r="B284" i="3"/>
  <c r="H284" i="3" s="1"/>
  <c r="I284" i="3" s="1"/>
  <c r="AC283" i="3"/>
  <c r="AD283" i="3" s="1"/>
  <c r="AA283" i="3"/>
  <c r="W283" i="3"/>
  <c r="U283" i="3"/>
  <c r="R283" i="3"/>
  <c r="O283" i="3"/>
  <c r="N283" i="3"/>
  <c r="L283" i="3"/>
  <c r="H283" i="3"/>
  <c r="I283" i="3" s="1"/>
  <c r="F283" i="3"/>
  <c r="C283" i="3"/>
  <c r="AC282" i="3"/>
  <c r="AD282" i="3" s="1"/>
  <c r="AA282" i="3"/>
  <c r="X282" i="3"/>
  <c r="W282" i="3"/>
  <c r="U282" i="3"/>
  <c r="R282" i="3"/>
  <c r="O282" i="3"/>
  <c r="N282" i="3"/>
  <c r="L282" i="3"/>
  <c r="H282" i="3"/>
  <c r="I282" i="3" s="1"/>
  <c r="F282" i="3"/>
  <c r="C282" i="3"/>
  <c r="AC281" i="3"/>
  <c r="AD281" i="3" s="1"/>
  <c r="AA281" i="3"/>
  <c r="W281" i="3"/>
  <c r="U281" i="3"/>
  <c r="R281" i="3"/>
  <c r="O281" i="3"/>
  <c r="N281" i="3"/>
  <c r="L281" i="3"/>
  <c r="H281" i="3"/>
  <c r="I281" i="3" s="1"/>
  <c r="F281" i="3"/>
  <c r="C281" i="3"/>
  <c r="AC280" i="3"/>
  <c r="AD280" i="3" s="1"/>
  <c r="AA280" i="3"/>
  <c r="W280" i="3"/>
  <c r="U280" i="3"/>
  <c r="R280" i="3"/>
  <c r="O280" i="3"/>
  <c r="N280" i="3"/>
  <c r="L280" i="3"/>
  <c r="H280" i="3"/>
  <c r="I280" i="3" s="1"/>
  <c r="F280" i="3"/>
  <c r="C280" i="3"/>
  <c r="AC279" i="3"/>
  <c r="AD279" i="3" s="1"/>
  <c r="AA279" i="3"/>
  <c r="W279" i="3"/>
  <c r="U279" i="3"/>
  <c r="R279" i="3"/>
  <c r="O279" i="3"/>
  <c r="N279" i="3"/>
  <c r="L279" i="3"/>
  <c r="H279" i="3"/>
  <c r="I279" i="3" s="1"/>
  <c r="F279" i="3"/>
  <c r="C279" i="3"/>
  <c r="AC278" i="3"/>
  <c r="AD278" i="3" s="1"/>
  <c r="AA278" i="3"/>
  <c r="X278" i="3"/>
  <c r="W278" i="3"/>
  <c r="U278" i="3"/>
  <c r="R278" i="3"/>
  <c r="O278" i="3"/>
  <c r="N278" i="3"/>
  <c r="L278" i="3"/>
  <c r="H278" i="3"/>
  <c r="I278" i="3" s="1"/>
  <c r="F278" i="3"/>
  <c r="C278" i="3"/>
  <c r="AC277" i="3"/>
  <c r="AD277" i="3" s="1"/>
  <c r="AA277" i="3"/>
  <c r="W277" i="3"/>
  <c r="U277" i="3"/>
  <c r="R277" i="3"/>
  <c r="O277" i="3"/>
  <c r="N277" i="3"/>
  <c r="L277" i="3"/>
  <c r="H277" i="3"/>
  <c r="I277" i="3" s="1"/>
  <c r="F277" i="3"/>
  <c r="C277" i="3"/>
  <c r="AC276" i="3"/>
  <c r="AD276" i="3" s="1"/>
  <c r="AA276" i="3"/>
  <c r="W276" i="3"/>
  <c r="U276" i="3"/>
  <c r="R276" i="3"/>
  <c r="O276" i="3"/>
  <c r="N276" i="3"/>
  <c r="L276" i="3"/>
  <c r="H276" i="3"/>
  <c r="I276" i="3" s="1"/>
  <c r="F276" i="3"/>
  <c r="C276" i="3"/>
  <c r="AC275" i="3"/>
  <c r="AD275" i="3" s="1"/>
  <c r="AA275" i="3"/>
  <c r="W275" i="3"/>
  <c r="U275" i="3"/>
  <c r="R275" i="3"/>
  <c r="O275" i="3"/>
  <c r="N275" i="3"/>
  <c r="L275" i="3"/>
  <c r="H275" i="3"/>
  <c r="I275" i="3" s="1"/>
  <c r="F275" i="3"/>
  <c r="C275" i="3"/>
  <c r="Z273" i="3"/>
  <c r="AA273" i="3" s="1"/>
  <c r="T273" i="3"/>
  <c r="U273" i="3" s="1"/>
  <c r="Q273" i="3"/>
  <c r="W273" i="3" s="1"/>
  <c r="X273" i="3" s="1"/>
  <c r="N273" i="3"/>
  <c r="O273" i="3" s="1"/>
  <c r="K273" i="3"/>
  <c r="L273" i="3" s="1"/>
  <c r="E273" i="3"/>
  <c r="F273" i="3" s="1"/>
  <c r="B273" i="3"/>
  <c r="AC272" i="3"/>
  <c r="AD272" i="3" s="1"/>
  <c r="AA272" i="3"/>
  <c r="W272" i="3"/>
  <c r="U272" i="3"/>
  <c r="R272" i="3"/>
  <c r="O272" i="3"/>
  <c r="N272" i="3"/>
  <c r="L272" i="3"/>
  <c r="H272" i="3"/>
  <c r="I272" i="3" s="1"/>
  <c r="F272" i="3"/>
  <c r="C272" i="3"/>
  <c r="AC271" i="3"/>
  <c r="AD271" i="3" s="1"/>
  <c r="AA271" i="3"/>
  <c r="W271" i="3"/>
  <c r="U271" i="3"/>
  <c r="R271" i="3"/>
  <c r="O271" i="3"/>
  <c r="N271" i="3"/>
  <c r="L271" i="3"/>
  <c r="H271" i="3"/>
  <c r="I271" i="3" s="1"/>
  <c r="F271" i="3"/>
  <c r="C271" i="3"/>
  <c r="AC270" i="3"/>
  <c r="AD270" i="3" s="1"/>
  <c r="AA270" i="3"/>
  <c r="X270" i="3"/>
  <c r="W270" i="3"/>
  <c r="U270" i="3"/>
  <c r="R270" i="3"/>
  <c r="O270" i="3"/>
  <c r="N270" i="3"/>
  <c r="L270" i="3"/>
  <c r="H270" i="3"/>
  <c r="I270" i="3" s="1"/>
  <c r="F270" i="3"/>
  <c r="C270" i="3"/>
  <c r="AC269" i="3"/>
  <c r="AD269" i="3" s="1"/>
  <c r="AA269" i="3"/>
  <c r="W269" i="3"/>
  <c r="U269" i="3"/>
  <c r="R269" i="3"/>
  <c r="O269" i="3"/>
  <c r="N269" i="3"/>
  <c r="L269" i="3"/>
  <c r="H269" i="3"/>
  <c r="I269" i="3" s="1"/>
  <c r="F269" i="3"/>
  <c r="C269" i="3"/>
  <c r="Z267" i="3"/>
  <c r="AA267" i="3" s="1"/>
  <c r="T267" i="3"/>
  <c r="Q267" i="3"/>
  <c r="R267" i="3" s="1"/>
  <c r="K267" i="3"/>
  <c r="L267" i="3" s="1"/>
  <c r="H267" i="3"/>
  <c r="I267" i="3" s="1"/>
  <c r="E267" i="3"/>
  <c r="F267" i="3" s="1"/>
  <c r="B267" i="3"/>
  <c r="C267" i="3" s="1"/>
  <c r="AC266" i="3"/>
  <c r="AD266" i="3" s="1"/>
  <c r="AA266" i="3"/>
  <c r="X266" i="3"/>
  <c r="W266" i="3"/>
  <c r="U266" i="3"/>
  <c r="R266" i="3"/>
  <c r="O266" i="3"/>
  <c r="N266" i="3"/>
  <c r="L266" i="3"/>
  <c r="H266" i="3"/>
  <c r="I266" i="3" s="1"/>
  <c r="F266" i="3"/>
  <c r="C266" i="3"/>
  <c r="AC265" i="3"/>
  <c r="AD265" i="3" s="1"/>
  <c r="AA265" i="3"/>
  <c r="W265" i="3"/>
  <c r="U265" i="3"/>
  <c r="R265" i="3"/>
  <c r="O265" i="3"/>
  <c r="N265" i="3"/>
  <c r="L265" i="3"/>
  <c r="H265" i="3"/>
  <c r="I265" i="3" s="1"/>
  <c r="F265" i="3"/>
  <c r="C265" i="3"/>
  <c r="Z263" i="3"/>
  <c r="AA263" i="3" s="1"/>
  <c r="T263" i="3"/>
  <c r="Q263" i="3"/>
  <c r="R263" i="3" s="1"/>
  <c r="K263" i="3"/>
  <c r="L263" i="3" s="1"/>
  <c r="H263" i="3"/>
  <c r="I263" i="3" s="1"/>
  <c r="E263" i="3"/>
  <c r="F263" i="3" s="1"/>
  <c r="B263" i="3"/>
  <c r="C263" i="3" s="1"/>
  <c r="Z262" i="3"/>
  <c r="AA262" i="3" s="1"/>
  <c r="T262" i="3"/>
  <c r="U262" i="3" s="1"/>
  <c r="Q262" i="3"/>
  <c r="W262" i="3" s="1"/>
  <c r="X262" i="3" s="1"/>
  <c r="K262" i="3"/>
  <c r="L262" i="3" s="1"/>
  <c r="E262" i="3"/>
  <c r="F262" i="3" s="1"/>
  <c r="B262" i="3"/>
  <c r="AC261" i="3"/>
  <c r="AD261" i="3" s="1"/>
  <c r="AA261" i="3"/>
  <c r="W261" i="3"/>
  <c r="U261" i="3"/>
  <c r="R261" i="3"/>
  <c r="O261" i="3"/>
  <c r="N261" i="3"/>
  <c r="L261" i="3"/>
  <c r="H261" i="3"/>
  <c r="I261" i="3" s="1"/>
  <c r="F261" i="3"/>
  <c r="C261" i="3"/>
  <c r="AC260" i="3"/>
  <c r="AD260" i="3" s="1"/>
  <c r="AA260" i="3"/>
  <c r="W260" i="3"/>
  <c r="U260" i="3"/>
  <c r="R260" i="3"/>
  <c r="O260" i="3"/>
  <c r="N260" i="3"/>
  <c r="L260" i="3"/>
  <c r="H260" i="3"/>
  <c r="I260" i="3" s="1"/>
  <c r="F260" i="3"/>
  <c r="C260" i="3"/>
  <c r="AC259" i="3"/>
  <c r="AD259" i="3" s="1"/>
  <c r="AA259" i="3"/>
  <c r="X259" i="3"/>
  <c r="W259" i="3"/>
  <c r="U259" i="3"/>
  <c r="R259" i="3"/>
  <c r="O259" i="3"/>
  <c r="N259" i="3"/>
  <c r="L259" i="3"/>
  <c r="H259" i="3"/>
  <c r="I259" i="3" s="1"/>
  <c r="F259" i="3"/>
  <c r="C259" i="3"/>
  <c r="AC258" i="3"/>
  <c r="AD258" i="3" s="1"/>
  <c r="AA258" i="3"/>
  <c r="X258" i="3"/>
  <c r="W258" i="3"/>
  <c r="U258" i="3"/>
  <c r="R258" i="3"/>
  <c r="O258" i="3"/>
  <c r="N258" i="3"/>
  <c r="L258" i="3"/>
  <c r="H258" i="3"/>
  <c r="I258" i="3" s="1"/>
  <c r="F258" i="3"/>
  <c r="C258" i="3"/>
  <c r="AC257" i="3"/>
  <c r="AD257" i="3" s="1"/>
  <c r="AA257" i="3"/>
  <c r="X257" i="3"/>
  <c r="W257" i="3"/>
  <c r="U257" i="3"/>
  <c r="R257" i="3"/>
  <c r="O257" i="3"/>
  <c r="N257" i="3"/>
  <c r="L257" i="3"/>
  <c r="H257" i="3"/>
  <c r="I257" i="3" s="1"/>
  <c r="F257" i="3"/>
  <c r="C257" i="3"/>
  <c r="AC256" i="3"/>
  <c r="AD256" i="3" s="1"/>
  <c r="AA256" i="3"/>
  <c r="W256" i="3"/>
  <c r="U256" i="3"/>
  <c r="R256" i="3"/>
  <c r="O256" i="3"/>
  <c r="N256" i="3"/>
  <c r="L256" i="3"/>
  <c r="H256" i="3"/>
  <c r="I256" i="3" s="1"/>
  <c r="F256" i="3"/>
  <c r="C256" i="3"/>
  <c r="AC255" i="3"/>
  <c r="AD255" i="3" s="1"/>
  <c r="AA255" i="3"/>
  <c r="X255" i="3"/>
  <c r="W255" i="3"/>
  <c r="U255" i="3"/>
  <c r="R255" i="3"/>
  <c r="O255" i="3"/>
  <c r="N255" i="3"/>
  <c r="L255" i="3"/>
  <c r="H255" i="3"/>
  <c r="I255" i="3" s="1"/>
  <c r="F255" i="3"/>
  <c r="C255" i="3"/>
  <c r="AC254" i="3"/>
  <c r="AD254" i="3" s="1"/>
  <c r="AA254" i="3"/>
  <c r="X254" i="3"/>
  <c r="W254" i="3"/>
  <c r="U254" i="3"/>
  <c r="R254" i="3"/>
  <c r="O254" i="3"/>
  <c r="N254" i="3"/>
  <c r="L254" i="3"/>
  <c r="H254" i="3"/>
  <c r="I254" i="3" s="1"/>
  <c r="F254" i="3"/>
  <c r="C254" i="3"/>
  <c r="AC253" i="3"/>
  <c r="AD253" i="3" s="1"/>
  <c r="AA253" i="3"/>
  <c r="X253" i="3"/>
  <c r="W253" i="3"/>
  <c r="U253" i="3"/>
  <c r="R253" i="3"/>
  <c r="O253" i="3"/>
  <c r="N253" i="3"/>
  <c r="L253" i="3"/>
  <c r="H253" i="3"/>
  <c r="I253" i="3" s="1"/>
  <c r="F253" i="3"/>
  <c r="C253" i="3"/>
  <c r="AC252" i="3"/>
  <c r="AD252" i="3" s="1"/>
  <c r="AA252" i="3"/>
  <c r="W252" i="3"/>
  <c r="U252" i="3"/>
  <c r="R252" i="3"/>
  <c r="O252" i="3"/>
  <c r="N252" i="3"/>
  <c r="L252" i="3"/>
  <c r="H252" i="3"/>
  <c r="I252" i="3" s="1"/>
  <c r="F252" i="3"/>
  <c r="C252" i="3"/>
  <c r="AC251" i="3"/>
  <c r="AD251" i="3" s="1"/>
  <c r="AA251" i="3"/>
  <c r="X251" i="3"/>
  <c r="W251" i="3"/>
  <c r="U251" i="3"/>
  <c r="R251" i="3"/>
  <c r="N251" i="3"/>
  <c r="O251" i="3" s="1"/>
  <c r="L251" i="3"/>
  <c r="H251" i="3"/>
  <c r="I251" i="3" s="1"/>
  <c r="F251" i="3"/>
  <c r="C251" i="3"/>
  <c r="AC250" i="3"/>
  <c r="AD250" i="3" s="1"/>
  <c r="AA250" i="3"/>
  <c r="X250" i="3"/>
  <c r="W250" i="3"/>
  <c r="U250" i="3"/>
  <c r="R250" i="3"/>
  <c r="O250" i="3"/>
  <c r="N250" i="3"/>
  <c r="L250" i="3"/>
  <c r="H250" i="3"/>
  <c r="I250" i="3" s="1"/>
  <c r="F250" i="3"/>
  <c r="C250" i="3"/>
  <c r="AC249" i="3"/>
  <c r="AD249" i="3" s="1"/>
  <c r="AA249" i="3"/>
  <c r="X249" i="3"/>
  <c r="W249" i="3"/>
  <c r="U249" i="3"/>
  <c r="R249" i="3"/>
  <c r="O249" i="3"/>
  <c r="N249" i="3"/>
  <c r="L249" i="3"/>
  <c r="H249" i="3"/>
  <c r="I249" i="3" s="1"/>
  <c r="F249" i="3"/>
  <c r="C249" i="3"/>
  <c r="AC248" i="3"/>
  <c r="AD248" i="3" s="1"/>
  <c r="AA248" i="3"/>
  <c r="W248" i="3"/>
  <c r="U248" i="3"/>
  <c r="R248" i="3"/>
  <c r="O248" i="3"/>
  <c r="N248" i="3"/>
  <c r="L248" i="3"/>
  <c r="H248" i="3"/>
  <c r="I248" i="3" s="1"/>
  <c r="F248" i="3"/>
  <c r="C248" i="3"/>
  <c r="AC247" i="3"/>
  <c r="AD247" i="3" s="1"/>
  <c r="AA247" i="3"/>
  <c r="X247" i="3"/>
  <c r="W247" i="3"/>
  <c r="U247" i="3"/>
  <c r="R247" i="3"/>
  <c r="N247" i="3"/>
  <c r="O247" i="3" s="1"/>
  <c r="L247" i="3"/>
  <c r="H247" i="3"/>
  <c r="I247" i="3" s="1"/>
  <c r="F247" i="3"/>
  <c r="C247" i="3"/>
  <c r="AC246" i="3"/>
  <c r="AD246" i="3" s="1"/>
  <c r="AA246" i="3"/>
  <c r="X246" i="3"/>
  <c r="W246" i="3"/>
  <c r="U246" i="3"/>
  <c r="R246" i="3"/>
  <c r="O246" i="3"/>
  <c r="N246" i="3"/>
  <c r="L246" i="3"/>
  <c r="H246" i="3"/>
  <c r="I246" i="3" s="1"/>
  <c r="F246" i="3"/>
  <c r="C246" i="3"/>
  <c r="AC245" i="3"/>
  <c r="AD245" i="3" s="1"/>
  <c r="AA245" i="3"/>
  <c r="W245" i="3"/>
  <c r="X245" i="3" s="1"/>
  <c r="U245" i="3"/>
  <c r="R245" i="3"/>
  <c r="O245" i="3"/>
  <c r="N245" i="3"/>
  <c r="L245" i="3"/>
  <c r="H245" i="3"/>
  <c r="I245" i="3" s="1"/>
  <c r="F245" i="3"/>
  <c r="C245" i="3"/>
  <c r="AC244" i="3"/>
  <c r="AD244" i="3" s="1"/>
  <c r="AA244" i="3"/>
  <c r="W244" i="3"/>
  <c r="U244" i="3"/>
  <c r="R244" i="3"/>
  <c r="O244" i="3"/>
  <c r="N244" i="3"/>
  <c r="L244" i="3"/>
  <c r="H244" i="3"/>
  <c r="I244" i="3" s="1"/>
  <c r="F244" i="3"/>
  <c r="C244" i="3"/>
  <c r="AD243" i="3"/>
  <c r="AC243" i="3"/>
  <c r="AA243" i="3"/>
  <c r="X243" i="3"/>
  <c r="W243" i="3"/>
  <c r="U243" i="3"/>
  <c r="R243" i="3"/>
  <c r="N243" i="3"/>
  <c r="O243" i="3" s="1"/>
  <c r="L243" i="3"/>
  <c r="H243" i="3"/>
  <c r="I243" i="3" s="1"/>
  <c r="F243" i="3"/>
  <c r="C243" i="3"/>
  <c r="AC242" i="3"/>
  <c r="AD242" i="3" s="1"/>
  <c r="AA242" i="3"/>
  <c r="X242" i="3"/>
  <c r="W242" i="3"/>
  <c r="U242" i="3"/>
  <c r="R242" i="3"/>
  <c r="O242" i="3"/>
  <c r="N242" i="3"/>
  <c r="L242" i="3"/>
  <c r="H242" i="3"/>
  <c r="I242" i="3" s="1"/>
  <c r="F242" i="3"/>
  <c r="C242" i="3"/>
  <c r="AC241" i="3"/>
  <c r="AD241" i="3" s="1"/>
  <c r="AA241" i="3"/>
  <c r="X241" i="3"/>
  <c r="W241" i="3"/>
  <c r="U241" i="3"/>
  <c r="R241" i="3"/>
  <c r="O241" i="3"/>
  <c r="N241" i="3"/>
  <c r="L241" i="3"/>
  <c r="H241" i="3"/>
  <c r="I241" i="3" s="1"/>
  <c r="F241" i="3"/>
  <c r="C241" i="3"/>
  <c r="AC240" i="3"/>
  <c r="AD240" i="3" s="1"/>
  <c r="AA240" i="3"/>
  <c r="W240" i="3"/>
  <c r="U240" i="3"/>
  <c r="R240" i="3"/>
  <c r="O240" i="3"/>
  <c r="N240" i="3"/>
  <c r="L240" i="3"/>
  <c r="H240" i="3"/>
  <c r="I240" i="3" s="1"/>
  <c r="F240" i="3"/>
  <c r="C240" i="3"/>
  <c r="AC238" i="3"/>
  <c r="AD238" i="3" s="1"/>
  <c r="AA238" i="3"/>
  <c r="X238" i="3"/>
  <c r="W238" i="3"/>
  <c r="U238" i="3"/>
  <c r="R238" i="3"/>
  <c r="O238" i="3"/>
  <c r="N238" i="3"/>
  <c r="L238" i="3"/>
  <c r="H238" i="3"/>
  <c r="I238" i="3" s="1"/>
  <c r="F238" i="3"/>
  <c r="C238" i="3"/>
  <c r="Z236" i="3"/>
  <c r="AC236" i="3" s="1"/>
  <c r="AD236" i="3" s="1"/>
  <c r="W236" i="3"/>
  <c r="X236" i="3" s="1"/>
  <c r="T236" i="3"/>
  <c r="U236" i="3" s="1"/>
  <c r="Q236" i="3"/>
  <c r="R236" i="3" s="1"/>
  <c r="K236" i="3"/>
  <c r="L236" i="3" s="1"/>
  <c r="E236" i="3"/>
  <c r="F236" i="3" s="1"/>
  <c r="C236" i="3"/>
  <c r="B236" i="3"/>
  <c r="AC235" i="3"/>
  <c r="AD235" i="3" s="1"/>
  <c r="AA235" i="3"/>
  <c r="W235" i="3"/>
  <c r="U235" i="3"/>
  <c r="R235" i="3"/>
  <c r="O235" i="3"/>
  <c r="N235" i="3"/>
  <c r="L235" i="3"/>
  <c r="H235" i="3"/>
  <c r="I235" i="3" s="1"/>
  <c r="F235" i="3"/>
  <c r="C235" i="3"/>
  <c r="AC234" i="3"/>
  <c r="AD234" i="3" s="1"/>
  <c r="AA234" i="3"/>
  <c r="X234" i="3"/>
  <c r="W234" i="3"/>
  <c r="U234" i="3"/>
  <c r="R234" i="3"/>
  <c r="O234" i="3"/>
  <c r="N234" i="3"/>
  <c r="L234" i="3"/>
  <c r="H234" i="3"/>
  <c r="I234" i="3" s="1"/>
  <c r="F234" i="3"/>
  <c r="C234" i="3"/>
  <c r="AC233" i="3"/>
  <c r="AD233" i="3" s="1"/>
  <c r="AA233" i="3"/>
  <c r="X233" i="3"/>
  <c r="W233" i="3"/>
  <c r="U233" i="3"/>
  <c r="R233" i="3"/>
  <c r="O233" i="3"/>
  <c r="N233" i="3"/>
  <c r="L233" i="3"/>
  <c r="H233" i="3"/>
  <c r="I233" i="3" s="1"/>
  <c r="F233" i="3"/>
  <c r="C233" i="3"/>
  <c r="AC232" i="3"/>
  <c r="AD232" i="3" s="1"/>
  <c r="AA232" i="3"/>
  <c r="W232" i="3"/>
  <c r="X232" i="3" s="1"/>
  <c r="U232" i="3"/>
  <c r="R232" i="3"/>
  <c r="O232" i="3"/>
  <c r="N232" i="3"/>
  <c r="L232" i="3"/>
  <c r="H232" i="3"/>
  <c r="I232" i="3" s="1"/>
  <c r="F232" i="3"/>
  <c r="C232" i="3"/>
  <c r="AC231" i="3"/>
  <c r="AD231" i="3" s="1"/>
  <c r="AA231" i="3"/>
  <c r="W231" i="3"/>
  <c r="U231" i="3"/>
  <c r="R231" i="3"/>
  <c r="O231" i="3"/>
  <c r="N231" i="3"/>
  <c r="L231" i="3"/>
  <c r="H231" i="3"/>
  <c r="I231" i="3" s="1"/>
  <c r="F231" i="3"/>
  <c r="C231" i="3"/>
  <c r="AC230" i="3"/>
  <c r="AD230" i="3" s="1"/>
  <c r="AA230" i="3"/>
  <c r="X230" i="3"/>
  <c r="W230" i="3"/>
  <c r="U230" i="3"/>
  <c r="R230" i="3"/>
  <c r="N230" i="3"/>
  <c r="O230" i="3" s="1"/>
  <c r="L230" i="3"/>
  <c r="H230" i="3"/>
  <c r="I230" i="3" s="1"/>
  <c r="F230" i="3"/>
  <c r="C230" i="3"/>
  <c r="AC229" i="3"/>
  <c r="AD229" i="3" s="1"/>
  <c r="AA229" i="3"/>
  <c r="X229" i="3"/>
  <c r="W229" i="3"/>
  <c r="U229" i="3"/>
  <c r="R229" i="3"/>
  <c r="O229" i="3"/>
  <c r="N229" i="3"/>
  <c r="L229" i="3"/>
  <c r="I229" i="3"/>
  <c r="H229" i="3"/>
  <c r="F229" i="3"/>
  <c r="C229" i="3"/>
  <c r="Z227" i="3"/>
  <c r="AA227" i="3" s="1"/>
  <c r="W227" i="3"/>
  <c r="X227" i="3" s="1"/>
  <c r="T227" i="3"/>
  <c r="U227" i="3" s="1"/>
  <c r="Q227" i="3"/>
  <c r="R227" i="3" s="1"/>
  <c r="K227" i="3"/>
  <c r="L227" i="3" s="1"/>
  <c r="E227" i="3"/>
  <c r="F227" i="3" s="1"/>
  <c r="B227" i="3"/>
  <c r="AC226" i="3"/>
  <c r="AD226" i="3" s="1"/>
  <c r="AA226" i="3"/>
  <c r="X226" i="3"/>
  <c r="W226" i="3"/>
  <c r="U226" i="3"/>
  <c r="R226" i="3"/>
  <c r="O226" i="3"/>
  <c r="N226" i="3"/>
  <c r="L226" i="3"/>
  <c r="H226" i="3"/>
  <c r="I226" i="3" s="1"/>
  <c r="F226" i="3"/>
  <c r="C226" i="3"/>
  <c r="AC225" i="3"/>
  <c r="AD225" i="3" s="1"/>
  <c r="AA225" i="3"/>
  <c r="X225" i="3"/>
  <c r="W225" i="3"/>
  <c r="U225" i="3"/>
  <c r="R225" i="3"/>
  <c r="O225" i="3"/>
  <c r="N225" i="3"/>
  <c r="L225" i="3"/>
  <c r="H225" i="3"/>
  <c r="I225" i="3" s="1"/>
  <c r="F225" i="3"/>
  <c r="C225" i="3"/>
  <c r="AC224" i="3"/>
  <c r="AD224" i="3" s="1"/>
  <c r="AA224" i="3"/>
  <c r="W224" i="3"/>
  <c r="X224" i="3" s="1"/>
  <c r="U224" i="3"/>
  <c r="R224" i="3"/>
  <c r="O224" i="3"/>
  <c r="N224" i="3"/>
  <c r="L224" i="3"/>
  <c r="H224" i="3"/>
  <c r="I224" i="3" s="1"/>
  <c r="F224" i="3"/>
  <c r="C224" i="3"/>
  <c r="AC223" i="3"/>
  <c r="AD223" i="3" s="1"/>
  <c r="AA223" i="3"/>
  <c r="W223" i="3"/>
  <c r="U223" i="3"/>
  <c r="R223" i="3"/>
  <c r="O223" i="3"/>
  <c r="N223" i="3"/>
  <c r="L223" i="3"/>
  <c r="H223" i="3"/>
  <c r="I223" i="3" s="1"/>
  <c r="F223" i="3"/>
  <c r="C223" i="3"/>
  <c r="AD222" i="3"/>
  <c r="AC222" i="3"/>
  <c r="AA222" i="3"/>
  <c r="X222" i="3"/>
  <c r="W222" i="3"/>
  <c r="U222" i="3"/>
  <c r="R222" i="3"/>
  <c r="N222" i="3"/>
  <c r="O222" i="3" s="1"/>
  <c r="L222" i="3"/>
  <c r="H222" i="3"/>
  <c r="I222" i="3" s="1"/>
  <c r="F222" i="3"/>
  <c r="C222" i="3"/>
  <c r="AC221" i="3"/>
  <c r="AD221" i="3" s="1"/>
  <c r="AA221" i="3"/>
  <c r="X221" i="3"/>
  <c r="W221" i="3"/>
  <c r="U221" i="3"/>
  <c r="R221" i="3"/>
  <c r="O221" i="3"/>
  <c r="N221" i="3"/>
  <c r="L221" i="3"/>
  <c r="I221" i="3"/>
  <c r="H221" i="3"/>
  <c r="F221" i="3"/>
  <c r="C221" i="3"/>
  <c r="AC220" i="3"/>
  <c r="AD220" i="3" s="1"/>
  <c r="AA220" i="3"/>
  <c r="X220" i="3"/>
  <c r="W220" i="3"/>
  <c r="U220" i="3"/>
  <c r="R220" i="3"/>
  <c r="O220" i="3"/>
  <c r="N220" i="3"/>
  <c r="L220" i="3"/>
  <c r="H220" i="3"/>
  <c r="I220" i="3" s="1"/>
  <c r="F220" i="3"/>
  <c r="C220" i="3"/>
  <c r="AC219" i="3"/>
  <c r="AD219" i="3" s="1"/>
  <c r="AA219" i="3"/>
  <c r="W219" i="3"/>
  <c r="U219" i="3"/>
  <c r="R219" i="3"/>
  <c r="O219" i="3"/>
  <c r="N219" i="3"/>
  <c r="L219" i="3"/>
  <c r="H219" i="3"/>
  <c r="I219" i="3" s="1"/>
  <c r="F219" i="3"/>
  <c r="C219" i="3"/>
  <c r="Z218" i="3"/>
  <c r="AA218" i="3" s="1"/>
  <c r="T218" i="3"/>
  <c r="U218" i="3" s="1"/>
  <c r="Q218" i="3"/>
  <c r="K218" i="3"/>
  <c r="L218" i="3" s="1"/>
  <c r="E218" i="3"/>
  <c r="F218" i="3" s="1"/>
  <c r="B218" i="3"/>
  <c r="C218" i="3" s="1"/>
  <c r="AC217" i="3"/>
  <c r="AD217" i="3" s="1"/>
  <c r="AA217" i="3"/>
  <c r="W217" i="3"/>
  <c r="X217" i="3" s="1"/>
  <c r="U217" i="3"/>
  <c r="R217" i="3"/>
  <c r="O217" i="3"/>
  <c r="N217" i="3"/>
  <c r="L217" i="3"/>
  <c r="H217" i="3"/>
  <c r="I217" i="3" s="1"/>
  <c r="F217" i="3"/>
  <c r="C217" i="3"/>
  <c r="AC216" i="3"/>
  <c r="AD216" i="3" s="1"/>
  <c r="AA216" i="3"/>
  <c r="W216" i="3"/>
  <c r="U216" i="3"/>
  <c r="R216" i="3"/>
  <c r="O216" i="3"/>
  <c r="N216" i="3"/>
  <c r="L216" i="3"/>
  <c r="H216" i="3"/>
  <c r="I216" i="3" s="1"/>
  <c r="F216" i="3"/>
  <c r="C216" i="3"/>
  <c r="AD215" i="3"/>
  <c r="AC215" i="3"/>
  <c r="AA215" i="3"/>
  <c r="X215" i="3"/>
  <c r="W215" i="3"/>
  <c r="U215" i="3"/>
  <c r="R215" i="3"/>
  <c r="N215" i="3"/>
  <c r="O215" i="3" s="1"/>
  <c r="L215" i="3"/>
  <c r="H215" i="3"/>
  <c r="I215" i="3" s="1"/>
  <c r="F215" i="3"/>
  <c r="C215" i="3"/>
  <c r="AC214" i="3"/>
  <c r="AD214" i="3" s="1"/>
  <c r="AA214" i="3"/>
  <c r="X214" i="3"/>
  <c r="W214" i="3"/>
  <c r="U214" i="3"/>
  <c r="R214" i="3"/>
  <c r="O214" i="3"/>
  <c r="N214" i="3"/>
  <c r="L214" i="3"/>
  <c r="H214" i="3"/>
  <c r="I214" i="3" s="1"/>
  <c r="F214" i="3"/>
  <c r="C214" i="3"/>
  <c r="AC213" i="3"/>
  <c r="AD213" i="3" s="1"/>
  <c r="AA213" i="3"/>
  <c r="W213" i="3"/>
  <c r="X213" i="3" s="1"/>
  <c r="U213" i="3"/>
  <c r="R213" i="3"/>
  <c r="O213" i="3"/>
  <c r="N213" i="3"/>
  <c r="L213" i="3"/>
  <c r="H213" i="3"/>
  <c r="I213" i="3" s="1"/>
  <c r="F213" i="3"/>
  <c r="C213" i="3"/>
  <c r="AC211" i="3"/>
  <c r="AD211" i="3" s="1"/>
  <c r="AA211" i="3"/>
  <c r="W211" i="3"/>
  <c r="U211" i="3"/>
  <c r="R211" i="3"/>
  <c r="O211" i="3"/>
  <c r="N211" i="3"/>
  <c r="L211" i="3"/>
  <c r="H211" i="3"/>
  <c r="I211" i="3" s="1"/>
  <c r="F211" i="3"/>
  <c r="C211" i="3"/>
  <c r="AC209" i="3"/>
  <c r="AD209" i="3" s="1"/>
  <c r="Z209" i="3"/>
  <c r="AA209" i="3" s="1"/>
  <c r="T209" i="3"/>
  <c r="U209" i="3" s="1"/>
  <c r="Q209" i="3"/>
  <c r="W209" i="3" s="1"/>
  <c r="X209" i="3" s="1"/>
  <c r="N209" i="3"/>
  <c r="O209" i="3" s="1"/>
  <c r="K209" i="3"/>
  <c r="L209" i="3" s="1"/>
  <c r="F209" i="3"/>
  <c r="E209" i="3"/>
  <c r="B209" i="3"/>
  <c r="C209" i="3" s="1"/>
  <c r="AC208" i="3"/>
  <c r="AD208" i="3" s="1"/>
  <c r="AA208" i="3"/>
  <c r="W208" i="3"/>
  <c r="X208" i="3" s="1"/>
  <c r="U208" i="3"/>
  <c r="R208" i="3"/>
  <c r="O208" i="3"/>
  <c r="N208" i="3"/>
  <c r="L208" i="3"/>
  <c r="H208" i="3"/>
  <c r="I208" i="3" s="1"/>
  <c r="F208" i="3"/>
  <c r="C208" i="3"/>
  <c r="AC207" i="3"/>
  <c r="AD207" i="3" s="1"/>
  <c r="AA207" i="3"/>
  <c r="W207" i="3"/>
  <c r="U207" i="3"/>
  <c r="R207" i="3"/>
  <c r="O207" i="3"/>
  <c r="N207" i="3"/>
  <c r="L207" i="3"/>
  <c r="H207" i="3"/>
  <c r="I207" i="3" s="1"/>
  <c r="F207" i="3"/>
  <c r="C207" i="3"/>
  <c r="AC206" i="3"/>
  <c r="AD206" i="3" s="1"/>
  <c r="AA206" i="3"/>
  <c r="X206" i="3"/>
  <c r="W206" i="3"/>
  <c r="U206" i="3"/>
  <c r="R206" i="3"/>
  <c r="N206" i="3"/>
  <c r="O206" i="3" s="1"/>
  <c r="L206" i="3"/>
  <c r="H206" i="3"/>
  <c r="I206" i="3" s="1"/>
  <c r="F206" i="3"/>
  <c r="C206" i="3"/>
  <c r="AC205" i="3"/>
  <c r="AD205" i="3" s="1"/>
  <c r="AA205" i="3"/>
  <c r="X205" i="3"/>
  <c r="W205" i="3"/>
  <c r="U205" i="3"/>
  <c r="R205" i="3"/>
  <c r="O205" i="3"/>
  <c r="N205" i="3"/>
  <c r="L205" i="3"/>
  <c r="I205" i="3"/>
  <c r="H205" i="3"/>
  <c r="F205" i="3"/>
  <c r="C205" i="3"/>
  <c r="AC204" i="3"/>
  <c r="AD204" i="3" s="1"/>
  <c r="AA204" i="3"/>
  <c r="X204" i="3"/>
  <c r="W204" i="3"/>
  <c r="U204" i="3"/>
  <c r="R204" i="3"/>
  <c r="O204" i="3"/>
  <c r="N204" i="3"/>
  <c r="L204" i="3"/>
  <c r="H204" i="3"/>
  <c r="I204" i="3" s="1"/>
  <c r="F204" i="3"/>
  <c r="C204" i="3"/>
  <c r="AC203" i="3"/>
  <c r="AD203" i="3" s="1"/>
  <c r="AA203" i="3"/>
  <c r="W203" i="3"/>
  <c r="U203" i="3"/>
  <c r="R203" i="3"/>
  <c r="O203" i="3"/>
  <c r="N203" i="3"/>
  <c r="L203" i="3"/>
  <c r="H203" i="3"/>
  <c r="I203" i="3" s="1"/>
  <c r="F203" i="3"/>
  <c r="C203" i="3"/>
  <c r="AC202" i="3"/>
  <c r="AD202" i="3" s="1"/>
  <c r="AA202" i="3"/>
  <c r="X202" i="3"/>
  <c r="W202" i="3"/>
  <c r="U202" i="3"/>
  <c r="R202" i="3"/>
  <c r="N202" i="3"/>
  <c r="O202" i="3" s="1"/>
  <c r="L202" i="3"/>
  <c r="H202" i="3"/>
  <c r="I202" i="3" s="1"/>
  <c r="F202" i="3"/>
  <c r="C202" i="3"/>
  <c r="AC201" i="3"/>
  <c r="AD201" i="3" s="1"/>
  <c r="AA201" i="3"/>
  <c r="X201" i="3"/>
  <c r="W201" i="3"/>
  <c r="U201" i="3"/>
  <c r="R201" i="3"/>
  <c r="O201" i="3"/>
  <c r="N201" i="3"/>
  <c r="L201" i="3"/>
  <c r="H201" i="3"/>
  <c r="I201" i="3" s="1"/>
  <c r="F201" i="3"/>
  <c r="C201" i="3"/>
  <c r="Z197" i="3"/>
  <c r="AA197" i="3" s="1"/>
  <c r="T197" i="3"/>
  <c r="U197" i="3" s="1"/>
  <c r="Q197" i="3"/>
  <c r="W197" i="3" s="1"/>
  <c r="X197" i="3" s="1"/>
  <c r="N197" i="3"/>
  <c r="O197" i="3" s="1"/>
  <c r="K197" i="3"/>
  <c r="L197" i="3" s="1"/>
  <c r="E197" i="3"/>
  <c r="B197" i="3"/>
  <c r="C197" i="3" s="1"/>
  <c r="Z196" i="3"/>
  <c r="AA196" i="3" s="1"/>
  <c r="T196" i="3"/>
  <c r="U196" i="3" s="1"/>
  <c r="Q196" i="3"/>
  <c r="R196" i="3" s="1"/>
  <c r="L196" i="3"/>
  <c r="K196" i="3"/>
  <c r="E196" i="3"/>
  <c r="F196" i="3" s="1"/>
  <c r="B196" i="3"/>
  <c r="C196" i="3" s="1"/>
  <c r="AD195" i="3"/>
  <c r="AC195" i="3"/>
  <c r="AA195" i="3"/>
  <c r="X195" i="3"/>
  <c r="W195" i="3"/>
  <c r="U195" i="3"/>
  <c r="R195" i="3"/>
  <c r="N195" i="3"/>
  <c r="O195" i="3" s="1"/>
  <c r="L195" i="3"/>
  <c r="H195" i="3"/>
  <c r="I195" i="3" s="1"/>
  <c r="F195" i="3"/>
  <c r="C195" i="3"/>
  <c r="AC194" i="3"/>
  <c r="AD194" i="3" s="1"/>
  <c r="AA194" i="3"/>
  <c r="X194" i="3"/>
  <c r="W194" i="3"/>
  <c r="U194" i="3"/>
  <c r="R194" i="3"/>
  <c r="O194" i="3"/>
  <c r="N194" i="3"/>
  <c r="L194" i="3"/>
  <c r="H194" i="3"/>
  <c r="I194" i="3" s="1"/>
  <c r="F194" i="3"/>
  <c r="C194" i="3"/>
  <c r="Z193" i="3"/>
  <c r="AA193" i="3" s="1"/>
  <c r="T193" i="3"/>
  <c r="U193" i="3" s="1"/>
  <c r="Q193" i="3"/>
  <c r="R193" i="3" s="1"/>
  <c r="N193" i="3"/>
  <c r="O193" i="3" s="1"/>
  <c r="K193" i="3"/>
  <c r="L193" i="3" s="1"/>
  <c r="H193" i="3"/>
  <c r="I193" i="3" s="1"/>
  <c r="E193" i="3"/>
  <c r="F193" i="3" s="1"/>
  <c r="B193" i="3"/>
  <c r="C193" i="3" s="1"/>
  <c r="AD192" i="3"/>
  <c r="AC192" i="3"/>
  <c r="AA192" i="3"/>
  <c r="X192" i="3"/>
  <c r="W192" i="3"/>
  <c r="U192" i="3"/>
  <c r="R192" i="3"/>
  <c r="N192" i="3"/>
  <c r="O192" i="3" s="1"/>
  <c r="L192" i="3"/>
  <c r="H192" i="3"/>
  <c r="I192" i="3" s="1"/>
  <c r="F192" i="3"/>
  <c r="C192" i="3"/>
  <c r="AC191" i="3"/>
  <c r="AD191" i="3" s="1"/>
  <c r="AA191" i="3"/>
  <c r="X191" i="3"/>
  <c r="W191" i="3"/>
  <c r="U191" i="3"/>
  <c r="R191" i="3"/>
  <c r="O191" i="3"/>
  <c r="N191" i="3"/>
  <c r="L191" i="3"/>
  <c r="I191" i="3"/>
  <c r="H191" i="3"/>
  <c r="F191" i="3"/>
  <c r="C191" i="3"/>
  <c r="AC190" i="3"/>
  <c r="AD190" i="3" s="1"/>
  <c r="AA190" i="3"/>
  <c r="X190" i="3"/>
  <c r="W190" i="3"/>
  <c r="U190" i="3"/>
  <c r="R190" i="3"/>
  <c r="O190" i="3"/>
  <c r="N190" i="3"/>
  <c r="L190" i="3"/>
  <c r="H190" i="3"/>
  <c r="I190" i="3" s="1"/>
  <c r="F190" i="3"/>
  <c r="C190" i="3"/>
  <c r="AC189" i="3"/>
  <c r="AD189" i="3" s="1"/>
  <c r="AA189" i="3"/>
  <c r="W189" i="3"/>
  <c r="U189" i="3"/>
  <c r="R189" i="3"/>
  <c r="O189" i="3"/>
  <c r="N189" i="3"/>
  <c r="L189" i="3"/>
  <c r="H189" i="3"/>
  <c r="I189" i="3" s="1"/>
  <c r="F189" i="3"/>
  <c r="C189" i="3"/>
  <c r="AC188" i="3"/>
  <c r="AD188" i="3" s="1"/>
  <c r="AA188" i="3"/>
  <c r="X188" i="3"/>
  <c r="W188" i="3"/>
  <c r="U188" i="3"/>
  <c r="R188" i="3"/>
  <c r="O188" i="3"/>
  <c r="N188" i="3"/>
  <c r="L188" i="3"/>
  <c r="H188" i="3"/>
  <c r="I188" i="3" s="1"/>
  <c r="F188" i="3"/>
  <c r="C188" i="3"/>
  <c r="AC187" i="3"/>
  <c r="AD187" i="3" s="1"/>
  <c r="AA187" i="3"/>
  <c r="X187" i="3"/>
  <c r="W187" i="3"/>
  <c r="U187" i="3"/>
  <c r="R187" i="3"/>
  <c r="O187" i="3"/>
  <c r="N187" i="3"/>
  <c r="L187" i="3"/>
  <c r="H187" i="3"/>
  <c r="I187" i="3" s="1"/>
  <c r="F187" i="3"/>
  <c r="C187" i="3"/>
  <c r="AC186" i="3"/>
  <c r="AD186" i="3" s="1"/>
  <c r="AA186" i="3"/>
  <c r="W186" i="3"/>
  <c r="X186" i="3" s="1"/>
  <c r="U186" i="3"/>
  <c r="R186" i="3"/>
  <c r="O186" i="3"/>
  <c r="N186" i="3"/>
  <c r="L186" i="3"/>
  <c r="H186" i="3"/>
  <c r="I186" i="3" s="1"/>
  <c r="F186" i="3"/>
  <c r="C186" i="3"/>
  <c r="AC184" i="3"/>
  <c r="AD184" i="3" s="1"/>
  <c r="AA184" i="3"/>
  <c r="W184" i="3"/>
  <c r="U184" i="3"/>
  <c r="R184" i="3"/>
  <c r="O184" i="3"/>
  <c r="N184" i="3"/>
  <c r="L184" i="3"/>
  <c r="H184" i="3"/>
  <c r="I184" i="3" s="1"/>
  <c r="F184" i="3"/>
  <c r="C184" i="3"/>
  <c r="AD183" i="3"/>
  <c r="AC183" i="3"/>
  <c r="AA183" i="3"/>
  <c r="X183" i="3"/>
  <c r="W183" i="3"/>
  <c r="U183" i="3"/>
  <c r="R183" i="3"/>
  <c r="N183" i="3"/>
  <c r="O183" i="3" s="1"/>
  <c r="L183" i="3"/>
  <c r="H183" i="3"/>
  <c r="I183" i="3" s="1"/>
  <c r="F183" i="3"/>
  <c r="C183" i="3"/>
  <c r="AA182" i="3"/>
  <c r="Z182" i="3"/>
  <c r="W182" i="3"/>
  <c r="X182" i="3" s="1"/>
  <c r="T182" i="3"/>
  <c r="U182" i="3" s="1"/>
  <c r="Q182" i="3"/>
  <c r="R182" i="3" s="1"/>
  <c r="N182" i="3"/>
  <c r="O182" i="3" s="1"/>
  <c r="K182" i="3"/>
  <c r="L182" i="3" s="1"/>
  <c r="E182" i="3"/>
  <c r="F182" i="3" s="1"/>
  <c r="B182" i="3"/>
  <c r="H182" i="3" s="1"/>
  <c r="I182" i="3" s="1"/>
  <c r="AC181" i="3"/>
  <c r="AD181" i="3" s="1"/>
  <c r="AA181" i="3"/>
  <c r="W181" i="3"/>
  <c r="U181" i="3"/>
  <c r="R181" i="3"/>
  <c r="O181" i="3"/>
  <c r="N181" i="3"/>
  <c r="L181" i="3"/>
  <c r="H181" i="3"/>
  <c r="I181" i="3" s="1"/>
  <c r="F181" i="3"/>
  <c r="C181" i="3"/>
  <c r="AD180" i="3"/>
  <c r="AC180" i="3"/>
  <c r="AA180" i="3"/>
  <c r="X180" i="3"/>
  <c r="W180" i="3"/>
  <c r="U180" i="3"/>
  <c r="R180" i="3"/>
  <c r="N180" i="3"/>
  <c r="O180" i="3" s="1"/>
  <c r="L180" i="3"/>
  <c r="H180" i="3"/>
  <c r="I180" i="3" s="1"/>
  <c r="F180" i="3"/>
  <c r="C180" i="3"/>
  <c r="AC179" i="3"/>
  <c r="AD179" i="3" s="1"/>
  <c r="AA179" i="3"/>
  <c r="X179" i="3"/>
  <c r="W179" i="3"/>
  <c r="U179" i="3"/>
  <c r="R179" i="3"/>
  <c r="O179" i="3"/>
  <c r="N179" i="3"/>
  <c r="L179" i="3"/>
  <c r="I179" i="3"/>
  <c r="H179" i="3"/>
  <c r="F179" i="3"/>
  <c r="C179" i="3"/>
  <c r="AC178" i="3"/>
  <c r="AD178" i="3" s="1"/>
  <c r="AA178" i="3"/>
  <c r="X178" i="3"/>
  <c r="W178" i="3"/>
  <c r="U178" i="3"/>
  <c r="R178" i="3"/>
  <c r="O178" i="3"/>
  <c r="N178" i="3"/>
  <c r="L178" i="3"/>
  <c r="H178" i="3"/>
  <c r="I178" i="3" s="1"/>
  <c r="F178" i="3"/>
  <c r="C178" i="3"/>
  <c r="AC177" i="3"/>
  <c r="AD177" i="3" s="1"/>
  <c r="AA177" i="3"/>
  <c r="W177" i="3"/>
  <c r="U177" i="3"/>
  <c r="R177" i="3"/>
  <c r="O177" i="3"/>
  <c r="N177" i="3"/>
  <c r="L177" i="3"/>
  <c r="H177" i="3"/>
  <c r="I177" i="3" s="1"/>
  <c r="F177" i="3"/>
  <c r="C177" i="3"/>
  <c r="AC175" i="3"/>
  <c r="AD175" i="3" s="1"/>
  <c r="AA175" i="3"/>
  <c r="X175" i="3"/>
  <c r="W175" i="3"/>
  <c r="U175" i="3"/>
  <c r="R175" i="3"/>
  <c r="O175" i="3"/>
  <c r="N175" i="3"/>
  <c r="L175" i="3"/>
  <c r="H175" i="3"/>
  <c r="I175" i="3" s="1"/>
  <c r="F175" i="3"/>
  <c r="C175" i="3"/>
  <c r="Z172" i="3"/>
  <c r="K172" i="3"/>
  <c r="L172" i="3" s="1"/>
  <c r="E172" i="3"/>
  <c r="B172" i="3"/>
  <c r="Z171" i="3"/>
  <c r="AA171" i="3" s="1"/>
  <c r="T171" i="3"/>
  <c r="U171" i="3" s="1"/>
  <c r="Q171" i="3"/>
  <c r="R171" i="3" s="1"/>
  <c r="K171" i="3"/>
  <c r="L171" i="3" s="1"/>
  <c r="E171" i="3"/>
  <c r="F171" i="3" s="1"/>
  <c r="B171" i="3"/>
  <c r="C171" i="3" s="1"/>
  <c r="Z170" i="3"/>
  <c r="AC170" i="3" s="1"/>
  <c r="AD170" i="3" s="1"/>
  <c r="T170" i="3"/>
  <c r="U170" i="3" s="1"/>
  <c r="Q170" i="3"/>
  <c r="R170" i="3" s="1"/>
  <c r="K170" i="3"/>
  <c r="L170" i="3" s="1"/>
  <c r="E170" i="3"/>
  <c r="F170" i="3" s="1"/>
  <c r="C170" i="3"/>
  <c r="B170" i="3"/>
  <c r="AC169" i="3"/>
  <c r="AD169" i="3" s="1"/>
  <c r="AA169" i="3"/>
  <c r="W169" i="3"/>
  <c r="U169" i="3"/>
  <c r="R169" i="3"/>
  <c r="O169" i="3"/>
  <c r="N169" i="3"/>
  <c r="L169" i="3"/>
  <c r="H169" i="3"/>
  <c r="I169" i="3" s="1"/>
  <c r="F169" i="3"/>
  <c r="C169" i="3"/>
  <c r="AC168" i="3"/>
  <c r="AD168" i="3" s="1"/>
  <c r="AA168" i="3"/>
  <c r="X168" i="3"/>
  <c r="W168" i="3"/>
  <c r="U168" i="3"/>
  <c r="R168" i="3"/>
  <c r="O168" i="3"/>
  <c r="N168" i="3"/>
  <c r="L168" i="3"/>
  <c r="H168" i="3"/>
  <c r="I168" i="3" s="1"/>
  <c r="F168" i="3"/>
  <c r="C168" i="3"/>
  <c r="AC167" i="3"/>
  <c r="AD167" i="3" s="1"/>
  <c r="AA167" i="3"/>
  <c r="X167" i="3"/>
  <c r="W167" i="3"/>
  <c r="U167" i="3"/>
  <c r="R167" i="3"/>
  <c r="O167" i="3"/>
  <c r="N167" i="3"/>
  <c r="L167" i="3"/>
  <c r="H167" i="3"/>
  <c r="I167" i="3" s="1"/>
  <c r="F167" i="3"/>
  <c r="C167" i="3"/>
  <c r="Z166" i="3"/>
  <c r="AA166" i="3" s="1"/>
  <c r="T166" i="3"/>
  <c r="Q166" i="3"/>
  <c r="R166" i="3" s="1"/>
  <c r="K166" i="3"/>
  <c r="N166" i="3" s="1"/>
  <c r="O166" i="3" s="1"/>
  <c r="H166" i="3"/>
  <c r="I166" i="3" s="1"/>
  <c r="E166" i="3"/>
  <c r="F166" i="3" s="1"/>
  <c r="B166" i="3"/>
  <c r="C166" i="3" s="1"/>
  <c r="AD165" i="3"/>
  <c r="AC165" i="3"/>
  <c r="AA165" i="3"/>
  <c r="X165" i="3"/>
  <c r="W165" i="3"/>
  <c r="U165" i="3"/>
  <c r="R165" i="3"/>
  <c r="N165" i="3"/>
  <c r="O165" i="3" s="1"/>
  <c r="L165" i="3"/>
  <c r="H165" i="3"/>
  <c r="I165" i="3" s="1"/>
  <c r="F165" i="3"/>
  <c r="C165" i="3"/>
  <c r="AC164" i="3"/>
  <c r="AD164" i="3" s="1"/>
  <c r="AA164" i="3"/>
  <c r="X164" i="3"/>
  <c r="W164" i="3"/>
  <c r="U164" i="3"/>
  <c r="R164" i="3"/>
  <c r="O164" i="3"/>
  <c r="N164" i="3"/>
  <c r="L164" i="3"/>
  <c r="I164" i="3"/>
  <c r="H164" i="3"/>
  <c r="F164" i="3"/>
  <c r="C164" i="3"/>
  <c r="AC163" i="3"/>
  <c r="AD163" i="3" s="1"/>
  <c r="AA163" i="3"/>
  <c r="W163" i="3"/>
  <c r="X163" i="3" s="1"/>
  <c r="U163" i="3"/>
  <c r="R163" i="3"/>
  <c r="O163" i="3"/>
  <c r="N163" i="3"/>
  <c r="L163" i="3"/>
  <c r="H163" i="3"/>
  <c r="I163" i="3" s="1"/>
  <c r="F163" i="3"/>
  <c r="C163" i="3"/>
  <c r="AC162" i="3"/>
  <c r="AD162" i="3" s="1"/>
  <c r="AA162" i="3"/>
  <c r="W162" i="3"/>
  <c r="U162" i="3"/>
  <c r="R162" i="3"/>
  <c r="O162" i="3"/>
  <c r="N162" i="3"/>
  <c r="L162" i="3"/>
  <c r="H162" i="3"/>
  <c r="I162" i="3" s="1"/>
  <c r="F162" i="3"/>
  <c r="C162" i="3"/>
  <c r="AC161" i="3"/>
  <c r="AD161" i="3" s="1"/>
  <c r="AA161" i="3"/>
  <c r="X161" i="3"/>
  <c r="W161" i="3"/>
  <c r="U161" i="3"/>
  <c r="R161" i="3"/>
  <c r="O161" i="3"/>
  <c r="N161" i="3"/>
  <c r="L161" i="3"/>
  <c r="H161" i="3"/>
  <c r="I161" i="3" s="1"/>
  <c r="F161" i="3"/>
  <c r="C161" i="3"/>
  <c r="AC160" i="3"/>
  <c r="AD160" i="3" s="1"/>
  <c r="AA160" i="3"/>
  <c r="X160" i="3"/>
  <c r="W160" i="3"/>
  <c r="U160" i="3"/>
  <c r="R160" i="3"/>
  <c r="O160" i="3"/>
  <c r="N160" i="3"/>
  <c r="L160" i="3"/>
  <c r="H160" i="3"/>
  <c r="I160" i="3" s="1"/>
  <c r="F160" i="3"/>
  <c r="C160" i="3"/>
  <c r="Z158" i="3"/>
  <c r="AA158" i="3" s="1"/>
  <c r="T158" i="3"/>
  <c r="U158" i="3" s="1"/>
  <c r="Q158" i="3"/>
  <c r="R158" i="3" s="1"/>
  <c r="N158" i="3"/>
  <c r="O158" i="3" s="1"/>
  <c r="K158" i="3"/>
  <c r="L158" i="3" s="1"/>
  <c r="E158" i="3"/>
  <c r="F158" i="3" s="1"/>
  <c r="B158" i="3"/>
  <c r="C158" i="3" s="1"/>
  <c r="AD157" i="3"/>
  <c r="AC157" i="3"/>
  <c r="AA157" i="3"/>
  <c r="X157" i="3"/>
  <c r="W157" i="3"/>
  <c r="U157" i="3"/>
  <c r="R157" i="3"/>
  <c r="N157" i="3"/>
  <c r="O157" i="3" s="1"/>
  <c r="L157" i="3"/>
  <c r="H157" i="3"/>
  <c r="I157" i="3" s="1"/>
  <c r="F157" i="3"/>
  <c r="C157" i="3"/>
  <c r="AC156" i="3"/>
  <c r="AD156" i="3" s="1"/>
  <c r="AA156" i="3"/>
  <c r="X156" i="3"/>
  <c r="W156" i="3"/>
  <c r="U156" i="3"/>
  <c r="R156" i="3"/>
  <c r="O156" i="3"/>
  <c r="N156" i="3"/>
  <c r="L156" i="3"/>
  <c r="H156" i="3"/>
  <c r="I156" i="3" s="1"/>
  <c r="F156" i="3"/>
  <c r="C156" i="3"/>
  <c r="AC155" i="3"/>
  <c r="AD155" i="3" s="1"/>
  <c r="AA155" i="3"/>
  <c r="X155" i="3"/>
  <c r="W155" i="3"/>
  <c r="U155" i="3"/>
  <c r="R155" i="3"/>
  <c r="O155" i="3"/>
  <c r="N155" i="3"/>
  <c r="L155" i="3"/>
  <c r="H155" i="3"/>
  <c r="I155" i="3" s="1"/>
  <c r="F155" i="3"/>
  <c r="C155" i="3"/>
  <c r="AC154" i="3"/>
  <c r="AD154" i="3" s="1"/>
  <c r="AA154" i="3"/>
  <c r="W154" i="3"/>
  <c r="U154" i="3"/>
  <c r="R154" i="3"/>
  <c r="O154" i="3"/>
  <c r="N154" i="3"/>
  <c r="L154" i="3"/>
  <c r="H154" i="3"/>
  <c r="I154" i="3" s="1"/>
  <c r="F154" i="3"/>
  <c r="C154" i="3"/>
  <c r="AC153" i="3"/>
  <c r="AD153" i="3" s="1"/>
  <c r="AA153" i="3"/>
  <c r="X153" i="3"/>
  <c r="W153" i="3"/>
  <c r="U153" i="3"/>
  <c r="R153" i="3"/>
  <c r="O153" i="3"/>
  <c r="N153" i="3"/>
  <c r="L153" i="3"/>
  <c r="H153" i="3"/>
  <c r="I153" i="3" s="1"/>
  <c r="F153" i="3"/>
  <c r="C153" i="3"/>
  <c r="AC151" i="3"/>
  <c r="AD151" i="3" s="1"/>
  <c r="AA151" i="3"/>
  <c r="X151" i="3"/>
  <c r="W151" i="3"/>
  <c r="U151" i="3"/>
  <c r="R151" i="3"/>
  <c r="O151" i="3"/>
  <c r="N151" i="3"/>
  <c r="L151" i="3"/>
  <c r="H151" i="3"/>
  <c r="I151" i="3" s="1"/>
  <c r="F151" i="3"/>
  <c r="C151" i="3"/>
  <c r="Z149" i="3"/>
  <c r="AA149" i="3" s="1"/>
  <c r="T149" i="3"/>
  <c r="U149" i="3" s="1"/>
  <c r="Q149" i="3"/>
  <c r="R149" i="3" s="1"/>
  <c r="K149" i="3"/>
  <c r="E149" i="3"/>
  <c r="F149" i="3" s="1"/>
  <c r="B149" i="3"/>
  <c r="C149" i="3" s="1"/>
  <c r="Z148" i="3"/>
  <c r="AA148" i="3" s="1"/>
  <c r="T148" i="3"/>
  <c r="U148" i="3" s="1"/>
  <c r="R148" i="3"/>
  <c r="Q148" i="3"/>
  <c r="W148" i="3" s="1"/>
  <c r="X148" i="3" s="1"/>
  <c r="N148" i="3"/>
  <c r="O148" i="3" s="1"/>
  <c r="K148" i="3"/>
  <c r="L148" i="3" s="1"/>
  <c r="E148" i="3"/>
  <c r="H148" i="3" s="1"/>
  <c r="I148" i="3" s="1"/>
  <c r="B148" i="3"/>
  <c r="C148" i="3" s="1"/>
  <c r="AC147" i="3"/>
  <c r="AD147" i="3" s="1"/>
  <c r="AA147" i="3"/>
  <c r="X147" i="3"/>
  <c r="W147" i="3"/>
  <c r="U147" i="3"/>
  <c r="R147" i="3"/>
  <c r="O147" i="3"/>
  <c r="N147" i="3"/>
  <c r="L147" i="3"/>
  <c r="H147" i="3"/>
  <c r="I147" i="3" s="1"/>
  <c r="F147" i="3"/>
  <c r="C147" i="3"/>
  <c r="AC146" i="3"/>
  <c r="AD146" i="3" s="1"/>
  <c r="AA146" i="3"/>
  <c r="W146" i="3"/>
  <c r="U146" i="3"/>
  <c r="R146" i="3"/>
  <c r="O146" i="3"/>
  <c r="N146" i="3"/>
  <c r="L146" i="3"/>
  <c r="H146" i="3"/>
  <c r="I146" i="3" s="1"/>
  <c r="F146" i="3"/>
  <c r="C146" i="3"/>
  <c r="AC145" i="3"/>
  <c r="AD145" i="3" s="1"/>
  <c r="AA145" i="3"/>
  <c r="X145" i="3"/>
  <c r="W145" i="3"/>
  <c r="U145" i="3"/>
  <c r="R145" i="3"/>
  <c r="O145" i="3"/>
  <c r="N145" i="3"/>
  <c r="L145" i="3"/>
  <c r="H145" i="3"/>
  <c r="I145" i="3" s="1"/>
  <c r="F145" i="3"/>
  <c r="C145" i="3"/>
  <c r="AC144" i="3"/>
  <c r="AD144" i="3" s="1"/>
  <c r="AA144" i="3"/>
  <c r="X144" i="3"/>
  <c r="W144" i="3"/>
  <c r="U144" i="3"/>
  <c r="R144" i="3"/>
  <c r="O144" i="3"/>
  <c r="N144" i="3"/>
  <c r="L144" i="3"/>
  <c r="H144" i="3"/>
  <c r="I144" i="3" s="1"/>
  <c r="F144" i="3"/>
  <c r="C144" i="3"/>
  <c r="AC143" i="3"/>
  <c r="AD143" i="3" s="1"/>
  <c r="AA143" i="3"/>
  <c r="W143" i="3"/>
  <c r="X143" i="3" s="1"/>
  <c r="U143" i="3"/>
  <c r="R143" i="3"/>
  <c r="O143" i="3"/>
  <c r="N143" i="3"/>
  <c r="L143" i="3"/>
  <c r="H143" i="3"/>
  <c r="I143" i="3" s="1"/>
  <c r="F143" i="3"/>
  <c r="C143" i="3"/>
  <c r="AC141" i="3"/>
  <c r="AD141" i="3" s="1"/>
  <c r="Z141" i="3"/>
  <c r="AA141" i="3" s="1"/>
  <c r="U141" i="3"/>
  <c r="T141" i="3"/>
  <c r="Q141" i="3"/>
  <c r="R141" i="3" s="1"/>
  <c r="K141" i="3"/>
  <c r="L141" i="3" s="1"/>
  <c r="E141" i="3"/>
  <c r="F141" i="3" s="1"/>
  <c r="B141" i="3"/>
  <c r="C141" i="3" s="1"/>
  <c r="AC140" i="3"/>
  <c r="AD140" i="3" s="1"/>
  <c r="AA140" i="3"/>
  <c r="X140" i="3"/>
  <c r="W140" i="3"/>
  <c r="U140" i="3"/>
  <c r="R140" i="3"/>
  <c r="O140" i="3"/>
  <c r="N140" i="3"/>
  <c r="L140" i="3"/>
  <c r="H140" i="3"/>
  <c r="I140" i="3" s="1"/>
  <c r="F140" i="3"/>
  <c r="C140" i="3"/>
  <c r="AC139" i="3"/>
  <c r="AD139" i="3" s="1"/>
  <c r="AA139" i="3"/>
  <c r="W139" i="3"/>
  <c r="X139" i="3" s="1"/>
  <c r="U139" i="3"/>
  <c r="R139" i="3"/>
  <c r="O139" i="3"/>
  <c r="N139" i="3"/>
  <c r="L139" i="3"/>
  <c r="H139" i="3"/>
  <c r="I139" i="3" s="1"/>
  <c r="F139" i="3"/>
  <c r="C139" i="3"/>
  <c r="AC138" i="3"/>
  <c r="AD138" i="3" s="1"/>
  <c r="AA138" i="3"/>
  <c r="W138" i="3"/>
  <c r="U138" i="3"/>
  <c r="R138" i="3"/>
  <c r="O138" i="3"/>
  <c r="N138" i="3"/>
  <c r="L138" i="3"/>
  <c r="H138" i="3"/>
  <c r="I138" i="3" s="1"/>
  <c r="F138" i="3"/>
  <c r="C138" i="3"/>
  <c r="AD137" i="3"/>
  <c r="AC137" i="3"/>
  <c r="AA137" i="3"/>
  <c r="X137" i="3"/>
  <c r="W137" i="3"/>
  <c r="U137" i="3"/>
  <c r="R137" i="3"/>
  <c r="N137" i="3"/>
  <c r="O137" i="3" s="1"/>
  <c r="L137" i="3"/>
  <c r="H137" i="3"/>
  <c r="I137" i="3" s="1"/>
  <c r="F137" i="3"/>
  <c r="C137" i="3"/>
  <c r="AC136" i="3"/>
  <c r="AD136" i="3" s="1"/>
  <c r="AA136" i="3"/>
  <c r="X136" i="3"/>
  <c r="W136" i="3"/>
  <c r="U136" i="3"/>
  <c r="R136" i="3"/>
  <c r="O136" i="3"/>
  <c r="N136" i="3"/>
  <c r="L136" i="3"/>
  <c r="I136" i="3"/>
  <c r="H136" i="3"/>
  <c r="F136" i="3"/>
  <c r="C136" i="3"/>
  <c r="AC135" i="3"/>
  <c r="AD135" i="3" s="1"/>
  <c r="AA135" i="3"/>
  <c r="X135" i="3"/>
  <c r="W135" i="3"/>
  <c r="U135" i="3"/>
  <c r="R135" i="3"/>
  <c r="O135" i="3"/>
  <c r="N135" i="3"/>
  <c r="L135" i="3"/>
  <c r="H135" i="3"/>
  <c r="I135" i="3" s="1"/>
  <c r="F135" i="3"/>
  <c r="C135" i="3"/>
  <c r="AC134" i="3"/>
  <c r="AD134" i="3" s="1"/>
  <c r="AA134" i="3"/>
  <c r="W134" i="3"/>
  <c r="U134" i="3"/>
  <c r="R134" i="3"/>
  <c r="O134" i="3"/>
  <c r="N134" i="3"/>
  <c r="L134" i="3"/>
  <c r="H134" i="3"/>
  <c r="I134" i="3" s="1"/>
  <c r="F134" i="3"/>
  <c r="C134" i="3"/>
  <c r="AC133" i="3"/>
  <c r="AD133" i="3" s="1"/>
  <c r="AA133" i="3"/>
  <c r="X133" i="3"/>
  <c r="W133" i="3"/>
  <c r="U133" i="3"/>
  <c r="R133" i="3"/>
  <c r="O133" i="3"/>
  <c r="N133" i="3"/>
  <c r="L133" i="3"/>
  <c r="H133" i="3"/>
  <c r="I133" i="3" s="1"/>
  <c r="F133" i="3"/>
  <c r="C133" i="3"/>
  <c r="AC132" i="3"/>
  <c r="AD132" i="3" s="1"/>
  <c r="AA132" i="3"/>
  <c r="X132" i="3"/>
  <c r="W132" i="3"/>
  <c r="U132" i="3"/>
  <c r="R132" i="3"/>
  <c r="O132" i="3"/>
  <c r="N132" i="3"/>
  <c r="L132" i="3"/>
  <c r="H132" i="3"/>
  <c r="I132" i="3" s="1"/>
  <c r="F132" i="3"/>
  <c r="C132" i="3"/>
  <c r="AC131" i="3"/>
  <c r="AD131" i="3" s="1"/>
  <c r="AA131" i="3"/>
  <c r="W131" i="3"/>
  <c r="X131" i="3" s="1"/>
  <c r="U131" i="3"/>
  <c r="R131" i="3"/>
  <c r="O131" i="3"/>
  <c r="N131" i="3"/>
  <c r="L131" i="3"/>
  <c r="H131" i="3"/>
  <c r="I131" i="3" s="1"/>
  <c r="F131" i="3"/>
  <c r="C131" i="3"/>
  <c r="AC130" i="3"/>
  <c r="AD130" i="3" s="1"/>
  <c r="AA130" i="3"/>
  <c r="W130" i="3"/>
  <c r="U130" i="3"/>
  <c r="R130" i="3"/>
  <c r="O130" i="3"/>
  <c r="N130" i="3"/>
  <c r="L130" i="3"/>
  <c r="H130" i="3"/>
  <c r="I130" i="3" s="1"/>
  <c r="F130" i="3"/>
  <c r="C130" i="3"/>
  <c r="AD129" i="3"/>
  <c r="AC129" i="3"/>
  <c r="AA129" i="3"/>
  <c r="X129" i="3"/>
  <c r="W129" i="3"/>
  <c r="U129" i="3"/>
  <c r="R129" i="3"/>
  <c r="N129" i="3"/>
  <c r="O129" i="3" s="1"/>
  <c r="L129" i="3"/>
  <c r="H129" i="3"/>
  <c r="I129" i="3" s="1"/>
  <c r="F129" i="3"/>
  <c r="C129" i="3"/>
  <c r="AC127" i="3"/>
  <c r="AD127" i="3" s="1"/>
  <c r="AA127" i="3"/>
  <c r="X127" i="3"/>
  <c r="W127" i="3"/>
  <c r="U127" i="3"/>
  <c r="R127" i="3"/>
  <c r="O127" i="3"/>
  <c r="N127" i="3"/>
  <c r="L127" i="3"/>
  <c r="H127" i="3"/>
  <c r="I127" i="3" s="1"/>
  <c r="F127" i="3"/>
  <c r="C127" i="3"/>
  <c r="Z124" i="3"/>
  <c r="AA124" i="3" s="1"/>
  <c r="W124" i="3"/>
  <c r="X124" i="3" s="1"/>
  <c r="T124" i="3"/>
  <c r="Q124" i="3"/>
  <c r="R124" i="3" s="1"/>
  <c r="N124" i="3"/>
  <c r="O124" i="3" s="1"/>
  <c r="L124" i="3"/>
  <c r="K124" i="3"/>
  <c r="H124" i="3"/>
  <c r="I124" i="3" s="1"/>
  <c r="E124" i="3"/>
  <c r="F124" i="3" s="1"/>
  <c r="B124" i="3"/>
  <c r="C124" i="3" s="1"/>
  <c r="AC123" i="3"/>
  <c r="AD123" i="3" s="1"/>
  <c r="AA123" i="3"/>
  <c r="X123" i="3"/>
  <c r="W123" i="3"/>
  <c r="U123" i="3"/>
  <c r="R123" i="3"/>
  <c r="O123" i="3"/>
  <c r="N123" i="3"/>
  <c r="L123" i="3"/>
  <c r="H123" i="3"/>
  <c r="I123" i="3" s="1"/>
  <c r="F123" i="3"/>
  <c r="C123" i="3"/>
  <c r="AC122" i="3"/>
  <c r="AD122" i="3" s="1"/>
  <c r="Z122" i="3"/>
  <c r="AA122" i="3" s="1"/>
  <c r="T122" i="3"/>
  <c r="U122" i="3" s="1"/>
  <c r="Q122" i="3"/>
  <c r="R122" i="3" s="1"/>
  <c r="K122" i="3"/>
  <c r="L122" i="3" s="1"/>
  <c r="E122" i="3"/>
  <c r="F122" i="3" s="1"/>
  <c r="C122" i="3"/>
  <c r="B122" i="3"/>
  <c r="N122" i="3" s="1"/>
  <c r="O122" i="3" s="1"/>
  <c r="AC121" i="3"/>
  <c r="AD121" i="3" s="1"/>
  <c r="AA121" i="3"/>
  <c r="W121" i="3"/>
  <c r="U121" i="3"/>
  <c r="R121" i="3"/>
  <c r="O121" i="3"/>
  <c r="N121" i="3"/>
  <c r="L121" i="3"/>
  <c r="H121" i="3"/>
  <c r="I121" i="3" s="1"/>
  <c r="F121" i="3"/>
  <c r="C121" i="3"/>
  <c r="AC120" i="3"/>
  <c r="AD120" i="3" s="1"/>
  <c r="AA120" i="3"/>
  <c r="X120" i="3"/>
  <c r="W120" i="3"/>
  <c r="U120" i="3"/>
  <c r="R120" i="3"/>
  <c r="O120" i="3"/>
  <c r="N120" i="3"/>
  <c r="L120" i="3"/>
  <c r="H120" i="3"/>
  <c r="I120" i="3" s="1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I119" i="3"/>
  <c r="H119" i="3"/>
  <c r="F119" i="3"/>
  <c r="C119" i="3"/>
  <c r="Z118" i="3"/>
  <c r="AA118" i="3" s="1"/>
  <c r="T118" i="3"/>
  <c r="U118" i="3" s="1"/>
  <c r="Q118" i="3"/>
  <c r="R118" i="3" s="1"/>
  <c r="K118" i="3"/>
  <c r="H118" i="3"/>
  <c r="I118" i="3" s="1"/>
  <c r="E118" i="3"/>
  <c r="F118" i="3" s="1"/>
  <c r="B118" i="3"/>
  <c r="C118" i="3" s="1"/>
  <c r="AC117" i="3"/>
  <c r="AD117" i="3" s="1"/>
  <c r="AA117" i="3"/>
  <c r="X117" i="3"/>
  <c r="W117" i="3"/>
  <c r="U117" i="3"/>
  <c r="R117" i="3"/>
  <c r="N117" i="3"/>
  <c r="O117" i="3" s="1"/>
  <c r="L117" i="3"/>
  <c r="H117" i="3"/>
  <c r="I117" i="3" s="1"/>
  <c r="F117" i="3"/>
  <c r="C117" i="3"/>
  <c r="AC116" i="3"/>
  <c r="AD116" i="3" s="1"/>
  <c r="AA116" i="3"/>
  <c r="X116" i="3"/>
  <c r="W116" i="3"/>
  <c r="U116" i="3"/>
  <c r="R116" i="3"/>
  <c r="O116" i="3"/>
  <c r="N116" i="3"/>
  <c r="L116" i="3"/>
  <c r="I116" i="3"/>
  <c r="H116" i="3"/>
  <c r="F116" i="3"/>
  <c r="C116" i="3"/>
  <c r="AC115" i="3"/>
  <c r="AD115" i="3" s="1"/>
  <c r="AA115" i="3"/>
  <c r="X115" i="3"/>
  <c r="W115" i="3"/>
  <c r="U115" i="3"/>
  <c r="R115" i="3"/>
  <c r="O115" i="3"/>
  <c r="N115" i="3"/>
  <c r="L115" i="3"/>
  <c r="H115" i="3"/>
  <c r="I115" i="3" s="1"/>
  <c r="F115" i="3"/>
  <c r="C115" i="3"/>
  <c r="AC114" i="3"/>
  <c r="AD114" i="3" s="1"/>
  <c r="AA114" i="3"/>
  <c r="W114" i="3"/>
  <c r="U114" i="3"/>
  <c r="R114" i="3"/>
  <c r="O114" i="3"/>
  <c r="N114" i="3"/>
  <c r="L114" i="3"/>
  <c r="H114" i="3"/>
  <c r="I114" i="3" s="1"/>
  <c r="F114" i="3"/>
  <c r="C114" i="3"/>
  <c r="AD113" i="3"/>
  <c r="AC113" i="3"/>
  <c r="AA113" i="3"/>
  <c r="X113" i="3"/>
  <c r="W113" i="3"/>
  <c r="U113" i="3"/>
  <c r="R113" i="3"/>
  <c r="N113" i="3"/>
  <c r="O113" i="3" s="1"/>
  <c r="L113" i="3"/>
  <c r="H113" i="3"/>
  <c r="I113" i="3" s="1"/>
  <c r="F113" i="3"/>
  <c r="C113" i="3"/>
  <c r="AC112" i="3"/>
  <c r="AD112" i="3" s="1"/>
  <c r="AA112" i="3"/>
  <c r="X112" i="3"/>
  <c r="W112" i="3"/>
  <c r="U112" i="3"/>
  <c r="R112" i="3"/>
  <c r="O112" i="3"/>
  <c r="N112" i="3"/>
  <c r="L112" i="3"/>
  <c r="H112" i="3"/>
  <c r="I112" i="3" s="1"/>
  <c r="F112" i="3"/>
  <c r="C112" i="3"/>
  <c r="AC111" i="3"/>
  <c r="AD111" i="3" s="1"/>
  <c r="AA111" i="3"/>
  <c r="W111" i="3"/>
  <c r="X111" i="3" s="1"/>
  <c r="U111" i="3"/>
  <c r="R111" i="3"/>
  <c r="O111" i="3"/>
  <c r="N111" i="3"/>
  <c r="L111" i="3"/>
  <c r="H111" i="3"/>
  <c r="I111" i="3" s="1"/>
  <c r="F111" i="3"/>
  <c r="C111" i="3"/>
  <c r="AC110" i="3"/>
  <c r="AD110" i="3" s="1"/>
  <c r="AA110" i="3"/>
  <c r="W110" i="3"/>
  <c r="U110" i="3"/>
  <c r="R110" i="3"/>
  <c r="O110" i="3"/>
  <c r="N110" i="3"/>
  <c r="L110" i="3"/>
  <c r="H110" i="3"/>
  <c r="I110" i="3" s="1"/>
  <c r="F110" i="3"/>
  <c r="C110" i="3"/>
  <c r="AD109" i="3"/>
  <c r="AC109" i="3"/>
  <c r="AA109" i="3"/>
  <c r="X109" i="3"/>
  <c r="W109" i="3"/>
  <c r="U109" i="3"/>
  <c r="R109" i="3"/>
  <c r="O109" i="3"/>
  <c r="N109" i="3"/>
  <c r="L109" i="3"/>
  <c r="H109" i="3"/>
  <c r="I109" i="3" s="1"/>
  <c r="F109" i="3"/>
  <c r="C109" i="3"/>
  <c r="AC108" i="3"/>
  <c r="AD108" i="3" s="1"/>
  <c r="AA108" i="3"/>
  <c r="X108" i="3"/>
  <c r="W108" i="3"/>
  <c r="U108" i="3"/>
  <c r="R108" i="3"/>
  <c r="O108" i="3"/>
  <c r="N108" i="3"/>
  <c r="L108" i="3"/>
  <c r="H108" i="3"/>
  <c r="I108" i="3" s="1"/>
  <c r="F108" i="3"/>
  <c r="C108" i="3"/>
  <c r="AC107" i="3"/>
  <c r="AD107" i="3" s="1"/>
  <c r="AA107" i="3"/>
  <c r="X107" i="3"/>
  <c r="W107" i="3"/>
  <c r="U107" i="3"/>
  <c r="R107" i="3"/>
  <c r="O107" i="3"/>
  <c r="N107" i="3"/>
  <c r="L107" i="3"/>
  <c r="H107" i="3"/>
  <c r="I107" i="3" s="1"/>
  <c r="F107" i="3"/>
  <c r="C107" i="3"/>
  <c r="AC106" i="3"/>
  <c r="AD106" i="3" s="1"/>
  <c r="AA106" i="3"/>
  <c r="W106" i="3"/>
  <c r="U106" i="3"/>
  <c r="R106" i="3"/>
  <c r="O106" i="3"/>
  <c r="N106" i="3"/>
  <c r="L106" i="3"/>
  <c r="H106" i="3"/>
  <c r="I106" i="3" s="1"/>
  <c r="F106" i="3"/>
  <c r="C106" i="3"/>
  <c r="AC105" i="3"/>
  <c r="AD105" i="3" s="1"/>
  <c r="AA105" i="3"/>
  <c r="X105" i="3"/>
  <c r="W105" i="3"/>
  <c r="U105" i="3"/>
  <c r="R105" i="3"/>
  <c r="O105" i="3"/>
  <c r="N105" i="3"/>
  <c r="L105" i="3"/>
  <c r="H105" i="3"/>
  <c r="I105" i="3" s="1"/>
  <c r="F105" i="3"/>
  <c r="C105" i="3"/>
  <c r="AC104" i="3"/>
  <c r="AD104" i="3" s="1"/>
  <c r="AA104" i="3"/>
  <c r="X104" i="3"/>
  <c r="W104" i="3"/>
  <c r="U104" i="3"/>
  <c r="R104" i="3"/>
  <c r="O104" i="3"/>
  <c r="N104" i="3"/>
  <c r="L104" i="3"/>
  <c r="I104" i="3"/>
  <c r="H104" i="3"/>
  <c r="F104" i="3"/>
  <c r="C104" i="3"/>
  <c r="AC103" i="3"/>
  <c r="AD103" i="3" s="1"/>
  <c r="AA103" i="3"/>
  <c r="W103" i="3"/>
  <c r="X103" i="3" s="1"/>
  <c r="U103" i="3"/>
  <c r="R103" i="3"/>
  <c r="O103" i="3"/>
  <c r="N103" i="3"/>
  <c r="L103" i="3"/>
  <c r="H103" i="3"/>
  <c r="I103" i="3" s="1"/>
  <c r="F103" i="3"/>
  <c r="C103" i="3"/>
  <c r="AC102" i="3"/>
  <c r="AD102" i="3" s="1"/>
  <c r="AA102" i="3"/>
  <c r="W102" i="3"/>
  <c r="U102" i="3"/>
  <c r="R102" i="3"/>
  <c r="O102" i="3"/>
  <c r="N102" i="3"/>
  <c r="L102" i="3"/>
  <c r="H102" i="3"/>
  <c r="I102" i="3" s="1"/>
  <c r="F102" i="3"/>
  <c r="C102" i="3"/>
  <c r="AD101" i="3"/>
  <c r="AC101" i="3"/>
  <c r="AA101" i="3"/>
  <c r="X101" i="3"/>
  <c r="W101" i="3"/>
  <c r="U101" i="3"/>
  <c r="R101" i="3"/>
  <c r="N101" i="3"/>
  <c r="O101" i="3" s="1"/>
  <c r="L101" i="3"/>
  <c r="H101" i="3"/>
  <c r="I101" i="3" s="1"/>
  <c r="F101" i="3"/>
  <c r="C101" i="3"/>
  <c r="AC100" i="3"/>
  <c r="AD100" i="3" s="1"/>
  <c r="AA100" i="3"/>
  <c r="X100" i="3"/>
  <c r="W100" i="3"/>
  <c r="U100" i="3"/>
  <c r="R100" i="3"/>
  <c r="O100" i="3"/>
  <c r="N100" i="3"/>
  <c r="L100" i="3"/>
  <c r="I100" i="3"/>
  <c r="H100" i="3"/>
  <c r="F100" i="3"/>
  <c r="C100" i="3"/>
  <c r="AC99" i="3"/>
  <c r="AD99" i="3" s="1"/>
  <c r="AA99" i="3"/>
  <c r="W99" i="3"/>
  <c r="X99" i="3" s="1"/>
  <c r="U99" i="3"/>
  <c r="R99" i="3"/>
  <c r="O99" i="3"/>
  <c r="N99" i="3"/>
  <c r="L99" i="3"/>
  <c r="H99" i="3"/>
  <c r="I99" i="3" s="1"/>
  <c r="F99" i="3"/>
  <c r="C99" i="3"/>
  <c r="AC98" i="3"/>
  <c r="AD98" i="3" s="1"/>
  <c r="AA98" i="3"/>
  <c r="W98" i="3"/>
  <c r="U98" i="3"/>
  <c r="R98" i="3"/>
  <c r="O98" i="3"/>
  <c r="N98" i="3"/>
  <c r="L98" i="3"/>
  <c r="H98" i="3"/>
  <c r="I98" i="3" s="1"/>
  <c r="F98" i="3"/>
  <c r="C98" i="3"/>
  <c r="AC97" i="3"/>
  <c r="AD97" i="3" s="1"/>
  <c r="AA97" i="3"/>
  <c r="X97" i="3"/>
  <c r="W97" i="3"/>
  <c r="U97" i="3"/>
  <c r="R97" i="3"/>
  <c r="O97" i="3"/>
  <c r="N97" i="3"/>
  <c r="L97" i="3"/>
  <c r="H97" i="3"/>
  <c r="I97" i="3" s="1"/>
  <c r="F97" i="3"/>
  <c r="C97" i="3"/>
  <c r="AC96" i="3"/>
  <c r="AD96" i="3" s="1"/>
  <c r="AA96" i="3"/>
  <c r="X96" i="3"/>
  <c r="W96" i="3"/>
  <c r="U96" i="3"/>
  <c r="R96" i="3"/>
  <c r="O96" i="3"/>
  <c r="N96" i="3"/>
  <c r="L96" i="3"/>
  <c r="H96" i="3"/>
  <c r="I96" i="3" s="1"/>
  <c r="F96" i="3"/>
  <c r="C96" i="3"/>
  <c r="AC95" i="3"/>
  <c r="AD95" i="3" s="1"/>
  <c r="AA95" i="3"/>
  <c r="W95" i="3"/>
  <c r="X95" i="3" s="1"/>
  <c r="U95" i="3"/>
  <c r="R95" i="3"/>
  <c r="O95" i="3"/>
  <c r="N95" i="3"/>
  <c r="L95" i="3"/>
  <c r="H95" i="3"/>
  <c r="I95" i="3" s="1"/>
  <c r="F95" i="3"/>
  <c r="C95" i="3"/>
  <c r="AC94" i="3"/>
  <c r="AD94" i="3" s="1"/>
  <c r="AA94" i="3"/>
  <c r="W94" i="3"/>
  <c r="U94" i="3"/>
  <c r="R94" i="3"/>
  <c r="O94" i="3"/>
  <c r="N94" i="3"/>
  <c r="L94" i="3"/>
  <c r="H94" i="3"/>
  <c r="I94" i="3" s="1"/>
  <c r="F94" i="3"/>
  <c r="C94" i="3"/>
  <c r="AD92" i="3"/>
  <c r="AC92" i="3"/>
  <c r="AA92" i="3"/>
  <c r="X92" i="3"/>
  <c r="W92" i="3"/>
  <c r="U92" i="3"/>
  <c r="R92" i="3"/>
  <c r="N92" i="3"/>
  <c r="O92" i="3" s="1"/>
  <c r="L92" i="3"/>
  <c r="H92" i="3"/>
  <c r="I92" i="3" s="1"/>
  <c r="F92" i="3"/>
  <c r="C92" i="3"/>
  <c r="AC91" i="3"/>
  <c r="AD91" i="3" s="1"/>
  <c r="AA91" i="3"/>
  <c r="X91" i="3"/>
  <c r="W91" i="3"/>
  <c r="U91" i="3"/>
  <c r="R91" i="3"/>
  <c r="O91" i="3"/>
  <c r="N91" i="3"/>
  <c r="L91" i="3"/>
  <c r="I91" i="3"/>
  <c r="H91" i="3"/>
  <c r="F91" i="3"/>
  <c r="C91" i="3"/>
  <c r="AC90" i="3"/>
  <c r="AD90" i="3" s="1"/>
  <c r="AA90" i="3"/>
  <c r="X90" i="3"/>
  <c r="W90" i="3"/>
  <c r="U90" i="3"/>
  <c r="R90" i="3"/>
  <c r="O90" i="3"/>
  <c r="N90" i="3"/>
  <c r="L90" i="3"/>
  <c r="H90" i="3"/>
  <c r="I90" i="3" s="1"/>
  <c r="F90" i="3"/>
  <c r="C90" i="3"/>
  <c r="AC89" i="3"/>
  <c r="AD89" i="3" s="1"/>
  <c r="AA89" i="3"/>
  <c r="W89" i="3"/>
  <c r="U89" i="3"/>
  <c r="R89" i="3"/>
  <c r="O89" i="3"/>
  <c r="N89" i="3"/>
  <c r="L89" i="3"/>
  <c r="H89" i="3"/>
  <c r="I89" i="3" s="1"/>
  <c r="F89" i="3"/>
  <c r="C89" i="3"/>
  <c r="Z88" i="3"/>
  <c r="AA88" i="3" s="1"/>
  <c r="T88" i="3"/>
  <c r="U88" i="3" s="1"/>
  <c r="Q88" i="3"/>
  <c r="K88" i="3"/>
  <c r="L88" i="3" s="1"/>
  <c r="E88" i="3"/>
  <c r="F88" i="3" s="1"/>
  <c r="B88" i="3"/>
  <c r="C88" i="3" s="1"/>
  <c r="AC87" i="3"/>
  <c r="AD87" i="3" s="1"/>
  <c r="AA87" i="3"/>
  <c r="W87" i="3"/>
  <c r="X87" i="3" s="1"/>
  <c r="U87" i="3"/>
  <c r="R87" i="3"/>
  <c r="O87" i="3"/>
  <c r="N87" i="3"/>
  <c r="L87" i="3"/>
  <c r="H87" i="3"/>
  <c r="I87" i="3" s="1"/>
  <c r="F87" i="3"/>
  <c r="C87" i="3"/>
  <c r="AC86" i="3"/>
  <c r="AD86" i="3" s="1"/>
  <c r="AA86" i="3"/>
  <c r="W86" i="3"/>
  <c r="U86" i="3"/>
  <c r="R86" i="3"/>
  <c r="O86" i="3"/>
  <c r="N86" i="3"/>
  <c r="L86" i="3"/>
  <c r="H86" i="3"/>
  <c r="I86" i="3" s="1"/>
  <c r="F86" i="3"/>
  <c r="C86" i="3"/>
  <c r="AD85" i="3"/>
  <c r="AC85" i="3"/>
  <c r="AA85" i="3"/>
  <c r="X85" i="3"/>
  <c r="W85" i="3"/>
  <c r="U85" i="3"/>
  <c r="R85" i="3"/>
  <c r="N85" i="3"/>
  <c r="O85" i="3" s="1"/>
  <c r="L85" i="3"/>
  <c r="H85" i="3"/>
  <c r="I85" i="3" s="1"/>
  <c r="F85" i="3"/>
  <c r="C85" i="3"/>
  <c r="AC84" i="3"/>
  <c r="AD84" i="3" s="1"/>
  <c r="AA84" i="3"/>
  <c r="X84" i="3"/>
  <c r="W84" i="3"/>
  <c r="U84" i="3"/>
  <c r="R84" i="3"/>
  <c r="O84" i="3"/>
  <c r="N84" i="3"/>
  <c r="L84" i="3"/>
  <c r="H84" i="3"/>
  <c r="I84" i="3" s="1"/>
  <c r="F84" i="3"/>
  <c r="C84" i="3"/>
  <c r="AC83" i="3"/>
  <c r="AD83" i="3" s="1"/>
  <c r="AA83" i="3"/>
  <c r="X83" i="3"/>
  <c r="W83" i="3"/>
  <c r="U83" i="3"/>
  <c r="R83" i="3"/>
  <c r="O83" i="3"/>
  <c r="N83" i="3"/>
  <c r="L83" i="3"/>
  <c r="H83" i="3"/>
  <c r="I83" i="3" s="1"/>
  <c r="F83" i="3"/>
  <c r="C83" i="3"/>
  <c r="AC82" i="3"/>
  <c r="AD82" i="3" s="1"/>
  <c r="AA82" i="3"/>
  <c r="W82" i="3"/>
  <c r="U82" i="3"/>
  <c r="R82" i="3"/>
  <c r="O82" i="3"/>
  <c r="N82" i="3"/>
  <c r="L82" i="3"/>
  <c r="H82" i="3"/>
  <c r="I82" i="3" s="1"/>
  <c r="F82" i="3"/>
  <c r="C82" i="3"/>
  <c r="AC81" i="3"/>
  <c r="AD81" i="3" s="1"/>
  <c r="AA81" i="3"/>
  <c r="X81" i="3"/>
  <c r="W81" i="3"/>
  <c r="U81" i="3"/>
  <c r="R81" i="3"/>
  <c r="O81" i="3"/>
  <c r="N81" i="3"/>
  <c r="L81" i="3"/>
  <c r="H81" i="3"/>
  <c r="I81" i="3" s="1"/>
  <c r="F81" i="3"/>
  <c r="C81" i="3"/>
  <c r="AC80" i="3"/>
  <c r="AD80" i="3" s="1"/>
  <c r="AA80" i="3"/>
  <c r="X80" i="3"/>
  <c r="W80" i="3"/>
  <c r="U80" i="3"/>
  <c r="R80" i="3"/>
  <c r="O80" i="3"/>
  <c r="N80" i="3"/>
  <c r="L80" i="3"/>
  <c r="H80" i="3"/>
  <c r="I80" i="3" s="1"/>
  <c r="F80" i="3"/>
  <c r="C80" i="3"/>
  <c r="AC79" i="3"/>
  <c r="AD79" i="3" s="1"/>
  <c r="AA79" i="3"/>
  <c r="W79" i="3"/>
  <c r="X79" i="3" s="1"/>
  <c r="U79" i="3"/>
  <c r="R79" i="3"/>
  <c r="O79" i="3"/>
  <c r="N79" i="3"/>
  <c r="L79" i="3"/>
  <c r="H79" i="3"/>
  <c r="I79" i="3" s="1"/>
  <c r="F79" i="3"/>
  <c r="C79" i="3"/>
  <c r="AC78" i="3"/>
  <c r="AD78" i="3" s="1"/>
  <c r="AA78" i="3"/>
  <c r="W78" i="3"/>
  <c r="U78" i="3"/>
  <c r="R78" i="3"/>
  <c r="O78" i="3"/>
  <c r="N78" i="3"/>
  <c r="L78" i="3"/>
  <c r="H78" i="3"/>
  <c r="I78" i="3" s="1"/>
  <c r="F78" i="3"/>
  <c r="C78" i="3"/>
  <c r="AD77" i="3"/>
  <c r="AC77" i="3"/>
  <c r="AA77" i="3"/>
  <c r="X77" i="3"/>
  <c r="W77" i="3"/>
  <c r="U77" i="3"/>
  <c r="R77" i="3"/>
  <c r="N77" i="3"/>
  <c r="O77" i="3" s="1"/>
  <c r="L77" i="3"/>
  <c r="H77" i="3"/>
  <c r="I77" i="3" s="1"/>
  <c r="F77" i="3"/>
  <c r="C77" i="3"/>
  <c r="AC76" i="3"/>
  <c r="AD76" i="3" s="1"/>
  <c r="AA76" i="3"/>
  <c r="X76" i="3"/>
  <c r="W76" i="3"/>
  <c r="U76" i="3"/>
  <c r="R76" i="3"/>
  <c r="O76" i="3"/>
  <c r="N76" i="3"/>
  <c r="L76" i="3"/>
  <c r="I76" i="3"/>
  <c r="H76" i="3"/>
  <c r="F76" i="3"/>
  <c r="C76" i="3"/>
  <c r="AC75" i="3"/>
  <c r="AD75" i="3" s="1"/>
  <c r="AA75" i="3"/>
  <c r="W75" i="3"/>
  <c r="X75" i="3" s="1"/>
  <c r="U75" i="3"/>
  <c r="R75" i="3"/>
  <c r="O75" i="3"/>
  <c r="N75" i="3"/>
  <c r="L75" i="3"/>
  <c r="H75" i="3"/>
  <c r="I75" i="3" s="1"/>
  <c r="F75" i="3"/>
  <c r="C75" i="3"/>
  <c r="AC73" i="3"/>
  <c r="AD73" i="3" s="1"/>
  <c r="Z73" i="3"/>
  <c r="AA73" i="3" s="1"/>
  <c r="W73" i="3"/>
  <c r="X73" i="3" s="1"/>
  <c r="T73" i="3"/>
  <c r="U73" i="3" s="1"/>
  <c r="Q73" i="3"/>
  <c r="R73" i="3" s="1"/>
  <c r="K73" i="3"/>
  <c r="L73" i="3" s="1"/>
  <c r="H73" i="3"/>
  <c r="I73" i="3" s="1"/>
  <c r="E73" i="3"/>
  <c r="F73" i="3" s="1"/>
  <c r="B73" i="3"/>
  <c r="C73" i="3" s="1"/>
  <c r="AC72" i="3"/>
  <c r="AD72" i="3" s="1"/>
  <c r="AA72" i="3"/>
  <c r="X72" i="3"/>
  <c r="W72" i="3"/>
  <c r="U72" i="3"/>
  <c r="R72" i="3"/>
  <c r="O72" i="3"/>
  <c r="N72" i="3"/>
  <c r="L72" i="3"/>
  <c r="I72" i="3"/>
  <c r="H72" i="3"/>
  <c r="F72" i="3"/>
  <c r="C72" i="3"/>
  <c r="AC71" i="3"/>
  <c r="AD71" i="3" s="1"/>
  <c r="AA71" i="3"/>
  <c r="X71" i="3"/>
  <c r="W71" i="3"/>
  <c r="U71" i="3"/>
  <c r="R71" i="3"/>
  <c r="O71" i="3"/>
  <c r="N71" i="3"/>
  <c r="L71" i="3"/>
  <c r="H71" i="3"/>
  <c r="I71" i="3" s="1"/>
  <c r="F71" i="3"/>
  <c r="C71" i="3"/>
  <c r="AC70" i="3"/>
  <c r="AD70" i="3" s="1"/>
  <c r="AA70" i="3"/>
  <c r="W70" i="3"/>
  <c r="U70" i="3"/>
  <c r="R70" i="3"/>
  <c r="O70" i="3"/>
  <c r="N70" i="3"/>
  <c r="L70" i="3"/>
  <c r="H70" i="3"/>
  <c r="I70" i="3" s="1"/>
  <c r="F70" i="3"/>
  <c r="C70" i="3"/>
  <c r="AC69" i="3"/>
  <c r="AD69" i="3" s="1"/>
  <c r="AA69" i="3"/>
  <c r="X69" i="3"/>
  <c r="W69" i="3"/>
  <c r="U69" i="3"/>
  <c r="R69" i="3"/>
  <c r="N69" i="3"/>
  <c r="O69" i="3" s="1"/>
  <c r="L69" i="3"/>
  <c r="H69" i="3"/>
  <c r="I69" i="3" s="1"/>
  <c r="F69" i="3"/>
  <c r="C69" i="3"/>
  <c r="AC68" i="3"/>
  <c r="AD68" i="3" s="1"/>
  <c r="AA68" i="3"/>
  <c r="X68" i="3"/>
  <c r="W68" i="3"/>
  <c r="U68" i="3"/>
  <c r="R68" i="3"/>
  <c r="O68" i="3"/>
  <c r="N68" i="3"/>
  <c r="L68" i="3"/>
  <c r="H68" i="3"/>
  <c r="I68" i="3" s="1"/>
  <c r="F68" i="3"/>
  <c r="C68" i="3"/>
  <c r="AC67" i="3"/>
  <c r="AD67" i="3" s="1"/>
  <c r="AA67" i="3"/>
  <c r="W67" i="3"/>
  <c r="X67" i="3" s="1"/>
  <c r="U67" i="3"/>
  <c r="R67" i="3"/>
  <c r="O67" i="3"/>
  <c r="N67" i="3"/>
  <c r="L67" i="3"/>
  <c r="H67" i="3"/>
  <c r="I67" i="3" s="1"/>
  <c r="F67" i="3"/>
  <c r="C67" i="3"/>
  <c r="AC66" i="3"/>
  <c r="AD66" i="3" s="1"/>
  <c r="AA66" i="3"/>
  <c r="W66" i="3"/>
  <c r="U66" i="3"/>
  <c r="R66" i="3"/>
  <c r="O66" i="3"/>
  <c r="N66" i="3"/>
  <c r="L66" i="3"/>
  <c r="H66" i="3"/>
  <c r="I66" i="3" s="1"/>
  <c r="F66" i="3"/>
  <c r="C66" i="3"/>
  <c r="AD65" i="3"/>
  <c r="AC65" i="3"/>
  <c r="AA65" i="3"/>
  <c r="X65" i="3"/>
  <c r="W65" i="3"/>
  <c r="U65" i="3"/>
  <c r="R65" i="3"/>
  <c r="N65" i="3"/>
  <c r="O65" i="3" s="1"/>
  <c r="L65" i="3"/>
  <c r="H65" i="3"/>
  <c r="I65" i="3" s="1"/>
  <c r="F65" i="3"/>
  <c r="C65" i="3"/>
  <c r="AC64" i="3"/>
  <c r="AD64" i="3" s="1"/>
  <c r="AA64" i="3"/>
  <c r="X64" i="3"/>
  <c r="W64" i="3"/>
  <c r="U64" i="3"/>
  <c r="R64" i="3"/>
  <c r="O64" i="3"/>
  <c r="N64" i="3"/>
  <c r="L64" i="3"/>
  <c r="H64" i="3"/>
  <c r="I64" i="3" s="1"/>
  <c r="F64" i="3"/>
  <c r="C64" i="3"/>
  <c r="Z62" i="3"/>
  <c r="AA62" i="3" s="1"/>
  <c r="W62" i="3"/>
  <c r="X62" i="3" s="1"/>
  <c r="T62" i="3"/>
  <c r="U62" i="3" s="1"/>
  <c r="Q62" i="3"/>
  <c r="R62" i="3" s="1"/>
  <c r="N62" i="3"/>
  <c r="O62" i="3" s="1"/>
  <c r="L62" i="3"/>
  <c r="K62" i="3"/>
  <c r="H62" i="3"/>
  <c r="I62" i="3" s="1"/>
  <c r="E62" i="3"/>
  <c r="F62" i="3" s="1"/>
  <c r="B62" i="3"/>
  <c r="C62" i="3" s="1"/>
  <c r="Z61" i="3"/>
  <c r="AA61" i="3" s="1"/>
  <c r="T61" i="3"/>
  <c r="U61" i="3" s="1"/>
  <c r="Q61" i="3"/>
  <c r="K61" i="3"/>
  <c r="L61" i="3" s="1"/>
  <c r="E61" i="3"/>
  <c r="F61" i="3" s="1"/>
  <c r="B61" i="3"/>
  <c r="C61" i="3" s="1"/>
  <c r="AC60" i="3"/>
  <c r="AD60" i="3" s="1"/>
  <c r="AA60" i="3"/>
  <c r="W60" i="3"/>
  <c r="X60" i="3" s="1"/>
  <c r="U60" i="3"/>
  <c r="R60" i="3"/>
  <c r="O60" i="3"/>
  <c r="N60" i="3"/>
  <c r="L60" i="3"/>
  <c r="H60" i="3"/>
  <c r="I60" i="3" s="1"/>
  <c r="F60" i="3"/>
  <c r="C60" i="3"/>
  <c r="AC59" i="3"/>
  <c r="AD59" i="3" s="1"/>
  <c r="AA59" i="3"/>
  <c r="W59" i="3"/>
  <c r="U59" i="3"/>
  <c r="R59" i="3"/>
  <c r="O59" i="3"/>
  <c r="N59" i="3"/>
  <c r="L59" i="3"/>
  <c r="H59" i="3"/>
  <c r="I59" i="3" s="1"/>
  <c r="F59" i="3"/>
  <c r="C59" i="3"/>
  <c r="AD58" i="3"/>
  <c r="AC58" i="3"/>
  <c r="AA58" i="3"/>
  <c r="X58" i="3"/>
  <c r="W58" i="3"/>
  <c r="U58" i="3"/>
  <c r="R58" i="3"/>
  <c r="N58" i="3"/>
  <c r="O58" i="3" s="1"/>
  <c r="L58" i="3"/>
  <c r="H58" i="3"/>
  <c r="I58" i="3" s="1"/>
  <c r="F58" i="3"/>
  <c r="C58" i="3"/>
  <c r="AC57" i="3"/>
  <c r="AD57" i="3" s="1"/>
  <c r="AA57" i="3"/>
  <c r="X57" i="3"/>
  <c r="W57" i="3"/>
  <c r="U57" i="3"/>
  <c r="R57" i="3"/>
  <c r="O57" i="3"/>
  <c r="N57" i="3"/>
  <c r="L57" i="3"/>
  <c r="H57" i="3"/>
  <c r="I57" i="3" s="1"/>
  <c r="F57" i="3"/>
  <c r="C57" i="3"/>
  <c r="AC56" i="3"/>
  <c r="AD56" i="3" s="1"/>
  <c r="AA56" i="3"/>
  <c r="X56" i="3"/>
  <c r="W56" i="3"/>
  <c r="U56" i="3"/>
  <c r="R56" i="3"/>
  <c r="O56" i="3"/>
  <c r="N56" i="3"/>
  <c r="L56" i="3"/>
  <c r="H56" i="3"/>
  <c r="I56" i="3" s="1"/>
  <c r="F56" i="3"/>
  <c r="C56" i="3"/>
  <c r="AC55" i="3"/>
  <c r="AD55" i="3" s="1"/>
  <c r="AA55" i="3"/>
  <c r="W55" i="3"/>
  <c r="U55" i="3"/>
  <c r="R55" i="3"/>
  <c r="O55" i="3"/>
  <c r="N55" i="3"/>
  <c r="L55" i="3"/>
  <c r="H55" i="3"/>
  <c r="I55" i="3" s="1"/>
  <c r="F55" i="3"/>
  <c r="C55" i="3"/>
  <c r="AC54" i="3"/>
  <c r="AD54" i="3" s="1"/>
  <c r="AA54" i="3"/>
  <c r="X54" i="3"/>
  <c r="W54" i="3"/>
  <c r="U54" i="3"/>
  <c r="R54" i="3"/>
  <c r="O54" i="3"/>
  <c r="N54" i="3"/>
  <c r="L54" i="3"/>
  <c r="H54" i="3"/>
  <c r="I54" i="3" s="1"/>
  <c r="F54" i="3"/>
  <c r="C54" i="3"/>
  <c r="AC53" i="3"/>
  <c r="AD53" i="3" s="1"/>
  <c r="AA53" i="3"/>
  <c r="X53" i="3"/>
  <c r="W53" i="3"/>
  <c r="U53" i="3"/>
  <c r="R53" i="3"/>
  <c r="O53" i="3"/>
  <c r="N53" i="3"/>
  <c r="L53" i="3"/>
  <c r="H53" i="3"/>
  <c r="I53" i="3" s="1"/>
  <c r="F53" i="3"/>
  <c r="C53" i="3"/>
  <c r="AC52" i="3"/>
  <c r="AD52" i="3" s="1"/>
  <c r="AA52" i="3"/>
  <c r="W52" i="3"/>
  <c r="X52" i="3" s="1"/>
  <c r="U52" i="3"/>
  <c r="R52" i="3"/>
  <c r="O52" i="3"/>
  <c r="N52" i="3"/>
  <c r="L52" i="3"/>
  <c r="H52" i="3"/>
  <c r="I52" i="3" s="1"/>
  <c r="F52" i="3"/>
  <c r="C52" i="3"/>
  <c r="AC51" i="3"/>
  <c r="AD51" i="3" s="1"/>
  <c r="AA51" i="3"/>
  <c r="W51" i="3"/>
  <c r="U51" i="3"/>
  <c r="R51" i="3"/>
  <c r="O51" i="3"/>
  <c r="N51" i="3"/>
  <c r="L51" i="3"/>
  <c r="H51" i="3"/>
  <c r="I51" i="3" s="1"/>
  <c r="F51" i="3"/>
  <c r="C51" i="3"/>
  <c r="AD50" i="3"/>
  <c r="AC50" i="3"/>
  <c r="AA50" i="3"/>
  <c r="X50" i="3"/>
  <c r="W50" i="3"/>
  <c r="U50" i="3"/>
  <c r="R50" i="3"/>
  <c r="N50" i="3"/>
  <c r="O50" i="3" s="1"/>
  <c r="L50" i="3"/>
  <c r="H50" i="3"/>
  <c r="I50" i="3" s="1"/>
  <c r="F50" i="3"/>
  <c r="C50" i="3"/>
  <c r="AC49" i="3"/>
  <c r="AD49" i="3" s="1"/>
  <c r="AA49" i="3"/>
  <c r="X49" i="3"/>
  <c r="W49" i="3"/>
  <c r="U49" i="3"/>
  <c r="R49" i="3"/>
  <c r="O49" i="3"/>
  <c r="N49" i="3"/>
  <c r="L49" i="3"/>
  <c r="I49" i="3"/>
  <c r="H49" i="3"/>
  <c r="F49" i="3"/>
  <c r="C49" i="3"/>
  <c r="AC48" i="3"/>
  <c r="AD48" i="3" s="1"/>
  <c r="AA48" i="3"/>
  <c r="W48" i="3"/>
  <c r="X48" i="3" s="1"/>
  <c r="U48" i="3"/>
  <c r="R48" i="3"/>
  <c r="O48" i="3"/>
  <c r="N48" i="3"/>
  <c r="L48" i="3"/>
  <c r="H48" i="3"/>
  <c r="I48" i="3" s="1"/>
  <c r="F48" i="3"/>
  <c r="C48" i="3"/>
  <c r="AC47" i="3"/>
  <c r="AD47" i="3" s="1"/>
  <c r="AA47" i="3"/>
  <c r="W47" i="3"/>
  <c r="U47" i="3"/>
  <c r="R47" i="3"/>
  <c r="O47" i="3"/>
  <c r="N47" i="3"/>
  <c r="L47" i="3"/>
  <c r="H47" i="3"/>
  <c r="I47" i="3" s="1"/>
  <c r="F47" i="3"/>
  <c r="C47" i="3"/>
  <c r="AC46" i="3"/>
  <c r="AD46" i="3" s="1"/>
  <c r="AA46" i="3"/>
  <c r="X46" i="3"/>
  <c r="W46" i="3"/>
  <c r="U46" i="3"/>
  <c r="R46" i="3"/>
  <c r="O46" i="3"/>
  <c r="N46" i="3"/>
  <c r="L46" i="3"/>
  <c r="H46" i="3"/>
  <c r="I46" i="3" s="1"/>
  <c r="F46" i="3"/>
  <c r="C46" i="3"/>
  <c r="AC44" i="3"/>
  <c r="AD44" i="3" s="1"/>
  <c r="AA44" i="3"/>
  <c r="X44" i="3"/>
  <c r="W44" i="3"/>
  <c r="U44" i="3"/>
  <c r="R44" i="3"/>
  <c r="O44" i="3"/>
  <c r="N44" i="3"/>
  <c r="L44" i="3"/>
  <c r="H44" i="3"/>
  <c r="I44" i="3" s="1"/>
  <c r="F44" i="3"/>
  <c r="C44" i="3"/>
  <c r="AC43" i="3"/>
  <c r="AD43" i="3" s="1"/>
  <c r="AA43" i="3"/>
  <c r="W43" i="3"/>
  <c r="X43" i="3" s="1"/>
  <c r="U43" i="3"/>
  <c r="R43" i="3"/>
  <c r="O43" i="3"/>
  <c r="N43" i="3"/>
  <c r="L43" i="3"/>
  <c r="H43" i="3"/>
  <c r="I43" i="3" s="1"/>
  <c r="F43" i="3"/>
  <c r="C43" i="3"/>
  <c r="AC42" i="3"/>
  <c r="AD42" i="3" s="1"/>
  <c r="AA42" i="3"/>
  <c r="W42" i="3"/>
  <c r="U42" i="3"/>
  <c r="R42" i="3"/>
  <c r="O42" i="3"/>
  <c r="N42" i="3"/>
  <c r="L42" i="3"/>
  <c r="H42" i="3"/>
  <c r="I42" i="3" s="1"/>
  <c r="F42" i="3"/>
  <c r="C42" i="3"/>
  <c r="Z40" i="3"/>
  <c r="AA40" i="3" s="1"/>
  <c r="T40" i="3"/>
  <c r="U40" i="3" s="1"/>
  <c r="R40" i="3"/>
  <c r="Q40" i="3"/>
  <c r="N40" i="3"/>
  <c r="O40" i="3" s="1"/>
  <c r="K40" i="3"/>
  <c r="L40" i="3" s="1"/>
  <c r="E40" i="3"/>
  <c r="F40" i="3" s="1"/>
  <c r="B40" i="3"/>
  <c r="C40" i="3" s="1"/>
  <c r="AC39" i="3"/>
  <c r="AD39" i="3" s="1"/>
  <c r="AA39" i="3"/>
  <c r="X39" i="3"/>
  <c r="W39" i="3"/>
  <c r="U39" i="3"/>
  <c r="R39" i="3"/>
  <c r="O39" i="3"/>
  <c r="N39" i="3"/>
  <c r="L39" i="3"/>
  <c r="H39" i="3"/>
  <c r="I39" i="3" s="1"/>
  <c r="F39" i="3"/>
  <c r="C39" i="3"/>
  <c r="AC38" i="3"/>
  <c r="AD38" i="3" s="1"/>
  <c r="AA38" i="3"/>
  <c r="W38" i="3"/>
  <c r="U38" i="3"/>
  <c r="R38" i="3"/>
  <c r="O38" i="3"/>
  <c r="N38" i="3"/>
  <c r="L38" i="3"/>
  <c r="H38" i="3"/>
  <c r="I38" i="3" s="1"/>
  <c r="F38" i="3"/>
  <c r="C38" i="3"/>
  <c r="AD37" i="3"/>
  <c r="AC37" i="3"/>
  <c r="AA37" i="3"/>
  <c r="X37" i="3"/>
  <c r="W37" i="3"/>
  <c r="U37" i="3"/>
  <c r="R37" i="3"/>
  <c r="N37" i="3"/>
  <c r="O37" i="3" s="1"/>
  <c r="L37" i="3"/>
  <c r="H37" i="3"/>
  <c r="I37" i="3" s="1"/>
  <c r="F37" i="3"/>
  <c r="C37" i="3"/>
  <c r="AC36" i="3"/>
  <c r="AD36" i="3" s="1"/>
  <c r="AA36" i="3"/>
  <c r="X36" i="3"/>
  <c r="W36" i="3"/>
  <c r="U36" i="3"/>
  <c r="R36" i="3"/>
  <c r="O36" i="3"/>
  <c r="N36" i="3"/>
  <c r="L36" i="3"/>
  <c r="H36" i="3"/>
  <c r="I36" i="3" s="1"/>
  <c r="F36" i="3"/>
  <c r="C36" i="3"/>
  <c r="AC35" i="3"/>
  <c r="AD35" i="3" s="1"/>
  <c r="AA35" i="3"/>
  <c r="W35" i="3"/>
  <c r="X35" i="3" s="1"/>
  <c r="U35" i="3"/>
  <c r="R35" i="3"/>
  <c r="O35" i="3"/>
  <c r="N35" i="3"/>
  <c r="L35" i="3"/>
  <c r="H35" i="3"/>
  <c r="I35" i="3" s="1"/>
  <c r="F35" i="3"/>
  <c r="C35" i="3"/>
  <c r="AC34" i="3"/>
  <c r="AD34" i="3" s="1"/>
  <c r="AA34" i="3"/>
  <c r="W34" i="3"/>
  <c r="U34" i="3"/>
  <c r="R34" i="3"/>
  <c r="O34" i="3"/>
  <c r="N34" i="3"/>
  <c r="L34" i="3"/>
  <c r="H34" i="3"/>
  <c r="I34" i="3" s="1"/>
  <c r="F34" i="3"/>
  <c r="C34" i="3"/>
  <c r="AD33" i="3"/>
  <c r="AC33" i="3"/>
  <c r="AA33" i="3"/>
  <c r="X33" i="3"/>
  <c r="W33" i="3"/>
  <c r="U33" i="3"/>
  <c r="R33" i="3"/>
  <c r="N33" i="3"/>
  <c r="O33" i="3" s="1"/>
  <c r="L33" i="3"/>
  <c r="H33" i="3"/>
  <c r="I33" i="3" s="1"/>
  <c r="F33" i="3"/>
  <c r="C33" i="3"/>
  <c r="AC32" i="3"/>
  <c r="AD32" i="3" s="1"/>
  <c r="AA32" i="3"/>
  <c r="X32" i="3"/>
  <c r="W32" i="3"/>
  <c r="U32" i="3"/>
  <c r="R32" i="3"/>
  <c r="O32" i="3"/>
  <c r="N32" i="3"/>
  <c r="L32" i="3"/>
  <c r="H32" i="3"/>
  <c r="I32" i="3" s="1"/>
  <c r="F32" i="3"/>
  <c r="C32" i="3"/>
  <c r="AC31" i="3"/>
  <c r="AD31" i="3" s="1"/>
  <c r="AA31" i="3"/>
  <c r="X31" i="3"/>
  <c r="W31" i="3"/>
  <c r="U31" i="3"/>
  <c r="R31" i="3"/>
  <c r="O31" i="3"/>
  <c r="N31" i="3"/>
  <c r="L31" i="3"/>
  <c r="H31" i="3"/>
  <c r="I31" i="3" s="1"/>
  <c r="F31" i="3"/>
  <c r="C31" i="3"/>
  <c r="AC29" i="3"/>
  <c r="AD29" i="3" s="1"/>
  <c r="Z29" i="3"/>
  <c r="AA29" i="3" s="1"/>
  <c r="T29" i="3"/>
  <c r="Q29" i="3"/>
  <c r="R29" i="3" s="1"/>
  <c r="K29" i="3"/>
  <c r="L29" i="3" s="1"/>
  <c r="E29" i="3"/>
  <c r="F29" i="3" s="1"/>
  <c r="B29" i="3"/>
  <c r="C29" i="3" s="1"/>
  <c r="AC28" i="3"/>
  <c r="AD28" i="3" s="1"/>
  <c r="AA28" i="3"/>
  <c r="X28" i="3"/>
  <c r="W28" i="3"/>
  <c r="U28" i="3"/>
  <c r="R28" i="3"/>
  <c r="O28" i="3"/>
  <c r="N28" i="3"/>
  <c r="L28" i="3"/>
  <c r="I28" i="3"/>
  <c r="H28" i="3"/>
  <c r="F28" i="3"/>
  <c r="C28" i="3"/>
  <c r="AC27" i="3"/>
  <c r="AD27" i="3" s="1"/>
  <c r="AA27" i="3"/>
  <c r="X27" i="3"/>
  <c r="W27" i="3"/>
  <c r="U27" i="3"/>
  <c r="R27" i="3"/>
  <c r="O27" i="3"/>
  <c r="N27" i="3"/>
  <c r="L27" i="3"/>
  <c r="H27" i="3"/>
  <c r="I27" i="3" s="1"/>
  <c r="F27" i="3"/>
  <c r="C27" i="3"/>
  <c r="AC26" i="3"/>
  <c r="AD26" i="3" s="1"/>
  <c r="AA26" i="3"/>
  <c r="W26" i="3"/>
  <c r="U26" i="3"/>
  <c r="R26" i="3"/>
  <c r="O26" i="3"/>
  <c r="N26" i="3"/>
  <c r="L26" i="3"/>
  <c r="H26" i="3"/>
  <c r="I26" i="3" s="1"/>
  <c r="F26" i="3"/>
  <c r="C26" i="3"/>
  <c r="AC25" i="3"/>
  <c r="AD25" i="3" s="1"/>
  <c r="AA25" i="3"/>
  <c r="X25" i="3"/>
  <c r="W25" i="3"/>
  <c r="U25" i="3"/>
  <c r="R25" i="3"/>
  <c r="O25" i="3"/>
  <c r="N25" i="3"/>
  <c r="L25" i="3"/>
  <c r="H25" i="3"/>
  <c r="I25" i="3" s="1"/>
  <c r="F25" i="3"/>
  <c r="C25" i="3"/>
  <c r="AC24" i="3"/>
  <c r="AD24" i="3" s="1"/>
  <c r="AA24" i="3"/>
  <c r="X24" i="3"/>
  <c r="W24" i="3"/>
  <c r="U24" i="3"/>
  <c r="R24" i="3"/>
  <c r="O24" i="3"/>
  <c r="N24" i="3"/>
  <c r="L24" i="3"/>
  <c r="H24" i="3"/>
  <c r="I24" i="3" s="1"/>
  <c r="F24" i="3"/>
  <c r="C24" i="3"/>
  <c r="AC23" i="3"/>
  <c r="AD23" i="3" s="1"/>
  <c r="AA23" i="3"/>
  <c r="W23" i="3"/>
  <c r="X23" i="3" s="1"/>
  <c r="U23" i="3"/>
  <c r="R23" i="3"/>
  <c r="O23" i="3"/>
  <c r="N23" i="3"/>
  <c r="L23" i="3"/>
  <c r="H23" i="3"/>
  <c r="I23" i="3" s="1"/>
  <c r="F23" i="3"/>
  <c r="C23" i="3"/>
  <c r="AC22" i="3"/>
  <c r="AD22" i="3" s="1"/>
  <c r="AA22" i="3"/>
  <c r="W22" i="3"/>
  <c r="U22" i="3"/>
  <c r="R22" i="3"/>
  <c r="O22" i="3"/>
  <c r="N22" i="3"/>
  <c r="L22" i="3"/>
  <c r="H22" i="3"/>
  <c r="I22" i="3" s="1"/>
  <c r="F22" i="3"/>
  <c r="C22" i="3"/>
  <c r="AC21" i="3"/>
  <c r="AD21" i="3" s="1"/>
  <c r="AA21" i="3"/>
  <c r="X21" i="3"/>
  <c r="W21" i="3"/>
  <c r="U21" i="3"/>
  <c r="R21" i="3"/>
  <c r="N21" i="3"/>
  <c r="O21" i="3" s="1"/>
  <c r="L21" i="3"/>
  <c r="H21" i="3"/>
  <c r="I21" i="3" s="1"/>
  <c r="F21" i="3"/>
  <c r="C21" i="3"/>
  <c r="AC19" i="3"/>
  <c r="AD19" i="3" s="1"/>
  <c r="AA19" i="3"/>
  <c r="X19" i="3"/>
  <c r="W19" i="3"/>
  <c r="U19" i="3"/>
  <c r="R19" i="3"/>
  <c r="O19" i="3"/>
  <c r="N19" i="3"/>
  <c r="L19" i="3"/>
  <c r="I19" i="3"/>
  <c r="H19" i="3"/>
  <c r="F19" i="3"/>
  <c r="C19" i="3"/>
  <c r="Z18" i="3"/>
  <c r="AA18" i="3" s="1"/>
  <c r="W18" i="3"/>
  <c r="X18" i="3" s="1"/>
  <c r="T18" i="3"/>
  <c r="U18" i="3" s="1"/>
  <c r="Q18" i="3"/>
  <c r="R18" i="3" s="1"/>
  <c r="K18" i="3"/>
  <c r="L18" i="3" s="1"/>
  <c r="E18" i="3"/>
  <c r="F18" i="3" s="1"/>
  <c r="B18" i="3"/>
  <c r="AC17" i="3"/>
  <c r="AD17" i="3" s="1"/>
  <c r="AA17" i="3"/>
  <c r="X17" i="3"/>
  <c r="W17" i="3"/>
  <c r="U17" i="3"/>
  <c r="R17" i="3"/>
  <c r="O17" i="3"/>
  <c r="N17" i="3"/>
  <c r="L17" i="3"/>
  <c r="H17" i="3"/>
  <c r="I17" i="3" s="1"/>
  <c r="F17" i="3"/>
  <c r="C17" i="3"/>
  <c r="AC16" i="3"/>
  <c r="AD16" i="3" s="1"/>
  <c r="AA16" i="3"/>
  <c r="X16" i="3"/>
  <c r="W16" i="3"/>
  <c r="U16" i="3"/>
  <c r="R16" i="3"/>
  <c r="O16" i="3"/>
  <c r="N16" i="3"/>
  <c r="L16" i="3"/>
  <c r="H16" i="3"/>
  <c r="I16" i="3" s="1"/>
  <c r="F16" i="3"/>
  <c r="C16" i="3"/>
  <c r="AC15" i="3"/>
  <c r="AD15" i="3" s="1"/>
  <c r="AA15" i="3"/>
  <c r="W15" i="3"/>
  <c r="X15" i="3" s="1"/>
  <c r="U15" i="3"/>
  <c r="R15" i="3"/>
  <c r="O15" i="3"/>
  <c r="N15" i="3"/>
  <c r="L15" i="3"/>
  <c r="H15" i="3"/>
  <c r="I15" i="3" s="1"/>
  <c r="F15" i="3"/>
  <c r="C15" i="3"/>
  <c r="AC14" i="3"/>
  <c r="AD14" i="3" s="1"/>
  <c r="AA14" i="3"/>
  <c r="W14" i="3"/>
  <c r="U14" i="3"/>
  <c r="R14" i="3"/>
  <c r="O14" i="3"/>
  <c r="N14" i="3"/>
  <c r="L14" i="3"/>
  <c r="H14" i="3"/>
  <c r="I14" i="3" s="1"/>
  <c r="F14" i="3"/>
  <c r="C14" i="3"/>
  <c r="AD13" i="3"/>
  <c r="AC13" i="3"/>
  <c r="AA13" i="3"/>
  <c r="X13" i="3"/>
  <c r="W13" i="3"/>
  <c r="U13" i="3"/>
  <c r="R13" i="3"/>
  <c r="N13" i="3"/>
  <c r="O13" i="3" s="1"/>
  <c r="L13" i="3"/>
  <c r="H13" i="3"/>
  <c r="I13" i="3" s="1"/>
  <c r="F13" i="3"/>
  <c r="C13" i="3"/>
  <c r="AC12" i="3"/>
  <c r="AD12" i="3" s="1"/>
  <c r="AA12" i="3"/>
  <c r="X12" i="3"/>
  <c r="W12" i="3"/>
  <c r="U12" i="3"/>
  <c r="R12" i="3"/>
  <c r="O12" i="3"/>
  <c r="N12" i="3"/>
  <c r="L12" i="3"/>
  <c r="I12" i="3"/>
  <c r="H12" i="3"/>
  <c r="F12" i="3"/>
  <c r="C12" i="3"/>
  <c r="AC11" i="3"/>
  <c r="AD11" i="3" s="1"/>
  <c r="AA11" i="3"/>
  <c r="X11" i="3"/>
  <c r="W11" i="3"/>
  <c r="U11" i="3"/>
  <c r="R11" i="3"/>
  <c r="O11" i="3"/>
  <c r="N11" i="3"/>
  <c r="L11" i="3"/>
  <c r="H11" i="3"/>
  <c r="I11" i="3" s="1"/>
  <c r="F11" i="3"/>
  <c r="C11" i="3"/>
  <c r="AC10" i="3"/>
  <c r="AD10" i="3" s="1"/>
  <c r="AA10" i="3"/>
  <c r="W10" i="3"/>
  <c r="U10" i="3"/>
  <c r="R10" i="3"/>
  <c r="O10" i="3"/>
  <c r="N10" i="3"/>
  <c r="L10" i="3"/>
  <c r="H10" i="3"/>
  <c r="I10" i="3" s="1"/>
  <c r="F10" i="3"/>
  <c r="C10" i="3"/>
  <c r="AC8" i="3"/>
  <c r="AD8" i="3" s="1"/>
  <c r="AA8" i="3"/>
  <c r="X8" i="3"/>
  <c r="W8" i="3"/>
  <c r="U8" i="3"/>
  <c r="R8" i="3"/>
  <c r="O8" i="3"/>
  <c r="N8" i="3"/>
  <c r="L8" i="3"/>
  <c r="H8" i="3"/>
  <c r="I8" i="3" s="1"/>
  <c r="F8" i="3"/>
  <c r="C8" i="3"/>
  <c r="AC444" i="2"/>
  <c r="W444" i="2"/>
  <c r="X438" i="2" s="1"/>
  <c r="N444" i="2"/>
  <c r="O440" i="2" s="1"/>
  <c r="H444" i="2"/>
  <c r="AC442" i="2"/>
  <c r="AD442" i="2" s="1"/>
  <c r="AA442" i="2"/>
  <c r="Z442" i="2"/>
  <c r="W442" i="2"/>
  <c r="X442" i="2" s="1"/>
  <c r="T442" i="2"/>
  <c r="U442" i="2" s="1"/>
  <c r="Q442" i="2"/>
  <c r="R442" i="2" s="1"/>
  <c r="K442" i="2"/>
  <c r="L442" i="2" s="1"/>
  <c r="E442" i="2"/>
  <c r="F442" i="2" s="1"/>
  <c r="B442" i="2"/>
  <c r="Z441" i="2"/>
  <c r="AA441" i="2" s="1"/>
  <c r="T441" i="2"/>
  <c r="U441" i="2" s="1"/>
  <c r="Q441" i="2"/>
  <c r="R441" i="2" s="1"/>
  <c r="K441" i="2"/>
  <c r="L441" i="2" s="1"/>
  <c r="E441" i="2"/>
  <c r="F441" i="2" s="1"/>
  <c r="B441" i="2"/>
  <c r="C441" i="2" s="1"/>
  <c r="AC440" i="2"/>
  <c r="AD440" i="2" s="1"/>
  <c r="AA440" i="2"/>
  <c r="X440" i="2"/>
  <c r="W440" i="2"/>
  <c r="U440" i="2"/>
  <c r="R440" i="2"/>
  <c r="N440" i="2"/>
  <c r="L440" i="2"/>
  <c r="H440" i="2"/>
  <c r="I440" i="2" s="1"/>
  <c r="F440" i="2"/>
  <c r="C440" i="2"/>
  <c r="AC439" i="2"/>
  <c r="AD439" i="2" s="1"/>
  <c r="AA439" i="2"/>
  <c r="X439" i="2"/>
  <c r="W439" i="2"/>
  <c r="U439" i="2"/>
  <c r="R439" i="2"/>
  <c r="O439" i="2"/>
  <c r="N439" i="2"/>
  <c r="L439" i="2"/>
  <c r="H439" i="2"/>
  <c r="F439" i="2"/>
  <c r="C439" i="2"/>
  <c r="AC438" i="2"/>
  <c r="AD438" i="2" s="1"/>
  <c r="AA438" i="2"/>
  <c r="W438" i="2"/>
  <c r="U438" i="2"/>
  <c r="R438" i="2"/>
  <c r="N438" i="2"/>
  <c r="L438" i="2"/>
  <c r="H438" i="2"/>
  <c r="I438" i="2" s="1"/>
  <c r="F438" i="2"/>
  <c r="C438" i="2"/>
  <c r="AC437" i="2"/>
  <c r="AD437" i="2" s="1"/>
  <c r="AA437" i="2"/>
  <c r="X437" i="2"/>
  <c r="W437" i="2"/>
  <c r="U437" i="2"/>
  <c r="R437" i="2"/>
  <c r="O437" i="2"/>
  <c r="N437" i="2"/>
  <c r="L437" i="2"/>
  <c r="H437" i="2"/>
  <c r="I437" i="2" s="1"/>
  <c r="F437" i="2"/>
  <c r="C437" i="2"/>
  <c r="AC436" i="2"/>
  <c r="AD436" i="2" s="1"/>
  <c r="AA436" i="2"/>
  <c r="X436" i="2"/>
  <c r="W436" i="2"/>
  <c r="U436" i="2"/>
  <c r="R436" i="2"/>
  <c r="O436" i="2"/>
  <c r="N436" i="2"/>
  <c r="L436" i="2"/>
  <c r="H436" i="2"/>
  <c r="I436" i="2" s="1"/>
  <c r="F436" i="2"/>
  <c r="C436" i="2"/>
  <c r="AC435" i="2"/>
  <c r="AD435" i="2" s="1"/>
  <c r="AA435" i="2"/>
  <c r="W435" i="2"/>
  <c r="X435" i="2" s="1"/>
  <c r="U435" i="2"/>
  <c r="R435" i="2"/>
  <c r="N435" i="2"/>
  <c r="L435" i="2"/>
  <c r="H435" i="2"/>
  <c r="I435" i="2" s="1"/>
  <c r="F435" i="2"/>
  <c r="C435" i="2"/>
  <c r="AC434" i="2"/>
  <c r="AD434" i="2" s="1"/>
  <c r="AA434" i="2"/>
  <c r="W434" i="2"/>
  <c r="U434" i="2"/>
  <c r="R434" i="2"/>
  <c r="N434" i="2"/>
  <c r="L434" i="2"/>
  <c r="H434" i="2"/>
  <c r="I434" i="2" s="1"/>
  <c r="F434" i="2"/>
  <c r="C434" i="2"/>
  <c r="AC433" i="2"/>
  <c r="AD433" i="2" s="1"/>
  <c r="AA433" i="2"/>
  <c r="X433" i="2"/>
  <c r="W433" i="2"/>
  <c r="U433" i="2"/>
  <c r="R433" i="2"/>
  <c r="O433" i="2"/>
  <c r="N433" i="2"/>
  <c r="L433" i="2"/>
  <c r="H433" i="2"/>
  <c r="I433" i="2" s="1"/>
  <c r="F433" i="2"/>
  <c r="C433" i="2"/>
  <c r="AC432" i="2"/>
  <c r="AD432" i="2" s="1"/>
  <c r="AA432" i="2"/>
  <c r="X432" i="2"/>
  <c r="W432" i="2"/>
  <c r="U432" i="2"/>
  <c r="R432" i="2"/>
  <c r="O432" i="2"/>
  <c r="N432" i="2"/>
  <c r="L432" i="2"/>
  <c r="H432" i="2"/>
  <c r="I432" i="2" s="1"/>
  <c r="F432" i="2"/>
  <c r="C432" i="2"/>
  <c r="Z429" i="2"/>
  <c r="AA429" i="2" s="1"/>
  <c r="T429" i="2"/>
  <c r="U429" i="2" s="1"/>
  <c r="Q429" i="2"/>
  <c r="L429" i="2"/>
  <c r="K429" i="2"/>
  <c r="E429" i="2"/>
  <c r="F429" i="2" s="1"/>
  <c r="B429" i="2"/>
  <c r="C429" i="2" s="1"/>
  <c r="AC428" i="2"/>
  <c r="AD428" i="2" s="1"/>
  <c r="Z428" i="2"/>
  <c r="AA428" i="2" s="1"/>
  <c r="T428" i="2"/>
  <c r="U428" i="2" s="1"/>
  <c r="Q428" i="2"/>
  <c r="W428" i="2" s="1"/>
  <c r="X428" i="2" s="1"/>
  <c r="N428" i="2"/>
  <c r="O428" i="2" s="1"/>
  <c r="K428" i="2"/>
  <c r="L428" i="2" s="1"/>
  <c r="H428" i="2"/>
  <c r="I428" i="2" s="1"/>
  <c r="E428" i="2"/>
  <c r="F428" i="2" s="1"/>
  <c r="B428" i="2"/>
  <c r="C428" i="2" s="1"/>
  <c r="AC427" i="2"/>
  <c r="AD427" i="2" s="1"/>
  <c r="AA427" i="2"/>
  <c r="X427" i="2"/>
  <c r="W427" i="2"/>
  <c r="U427" i="2"/>
  <c r="R427" i="2"/>
  <c r="O427" i="2"/>
  <c r="N427" i="2"/>
  <c r="L427" i="2"/>
  <c r="H427" i="2"/>
  <c r="I427" i="2" s="1"/>
  <c r="F427" i="2"/>
  <c r="C427" i="2"/>
  <c r="AC426" i="2"/>
  <c r="AD426" i="2" s="1"/>
  <c r="AA426" i="2"/>
  <c r="X426" i="2"/>
  <c r="W426" i="2"/>
  <c r="U426" i="2"/>
  <c r="R426" i="2"/>
  <c r="O426" i="2"/>
  <c r="N426" i="2"/>
  <c r="L426" i="2"/>
  <c r="H426" i="2"/>
  <c r="I426" i="2" s="1"/>
  <c r="F426" i="2"/>
  <c r="C426" i="2"/>
  <c r="AC425" i="2"/>
  <c r="AD425" i="2" s="1"/>
  <c r="AA425" i="2"/>
  <c r="X425" i="2"/>
  <c r="W425" i="2"/>
  <c r="U425" i="2"/>
  <c r="R425" i="2"/>
  <c r="N425" i="2"/>
  <c r="O425" i="2" s="1"/>
  <c r="L425" i="2"/>
  <c r="H425" i="2"/>
  <c r="I425" i="2" s="1"/>
  <c r="F425" i="2"/>
  <c r="C425" i="2"/>
  <c r="AC424" i="2"/>
  <c r="AD424" i="2" s="1"/>
  <c r="AA424" i="2"/>
  <c r="X424" i="2"/>
  <c r="W424" i="2"/>
  <c r="U424" i="2"/>
  <c r="R424" i="2"/>
  <c r="N424" i="2"/>
  <c r="L424" i="2"/>
  <c r="I424" i="2"/>
  <c r="H424" i="2"/>
  <c r="F424" i="2"/>
  <c r="C424" i="2"/>
  <c r="AC423" i="2"/>
  <c r="AD423" i="2" s="1"/>
  <c r="AA423" i="2"/>
  <c r="X423" i="2"/>
  <c r="W423" i="2"/>
  <c r="U423" i="2"/>
  <c r="R423" i="2"/>
  <c r="O423" i="2"/>
  <c r="N423" i="2"/>
  <c r="L423" i="2"/>
  <c r="H423" i="2"/>
  <c r="F423" i="2"/>
  <c r="C423" i="2"/>
  <c r="AC422" i="2"/>
  <c r="AD422" i="2" s="1"/>
  <c r="AA422" i="2"/>
  <c r="X422" i="2"/>
  <c r="W422" i="2"/>
  <c r="U422" i="2"/>
  <c r="R422" i="2"/>
  <c r="O422" i="2"/>
  <c r="N422" i="2"/>
  <c r="L422" i="2"/>
  <c r="H422" i="2"/>
  <c r="I422" i="2" s="1"/>
  <c r="F422" i="2"/>
  <c r="C422" i="2"/>
  <c r="AD421" i="2"/>
  <c r="AC421" i="2"/>
  <c r="AA421" i="2"/>
  <c r="X421" i="2"/>
  <c r="W421" i="2"/>
  <c r="U421" i="2"/>
  <c r="R421" i="2"/>
  <c r="O421" i="2"/>
  <c r="N421" i="2"/>
  <c r="L421" i="2"/>
  <c r="H421" i="2"/>
  <c r="I421" i="2" s="1"/>
  <c r="F421" i="2"/>
  <c r="C421" i="2"/>
  <c r="AC420" i="2"/>
  <c r="AD420" i="2" s="1"/>
  <c r="AA420" i="2"/>
  <c r="X420" i="2"/>
  <c r="W420" i="2"/>
  <c r="U420" i="2"/>
  <c r="R420" i="2"/>
  <c r="O420" i="2"/>
  <c r="N420" i="2"/>
  <c r="L420" i="2"/>
  <c r="H420" i="2"/>
  <c r="I420" i="2" s="1"/>
  <c r="F420" i="2"/>
  <c r="C420" i="2"/>
  <c r="AC419" i="2"/>
  <c r="AD419" i="2" s="1"/>
  <c r="AA419" i="2"/>
  <c r="X419" i="2"/>
  <c r="W419" i="2"/>
  <c r="U419" i="2"/>
  <c r="R419" i="2"/>
  <c r="O419" i="2"/>
  <c r="N419" i="2"/>
  <c r="L419" i="2"/>
  <c r="H419" i="2"/>
  <c r="I419" i="2" s="1"/>
  <c r="F419" i="2"/>
  <c r="C419" i="2"/>
  <c r="AC418" i="2"/>
  <c r="AD418" i="2" s="1"/>
  <c r="AA418" i="2"/>
  <c r="X418" i="2"/>
  <c r="W418" i="2"/>
  <c r="U418" i="2"/>
  <c r="R418" i="2"/>
  <c r="O418" i="2"/>
  <c r="N418" i="2"/>
  <c r="L418" i="2"/>
  <c r="H418" i="2"/>
  <c r="I418" i="2" s="1"/>
  <c r="F418" i="2"/>
  <c r="C418" i="2"/>
  <c r="AD417" i="2"/>
  <c r="AC417" i="2"/>
  <c r="AA417" i="2"/>
  <c r="X417" i="2"/>
  <c r="W417" i="2"/>
  <c r="U417" i="2"/>
  <c r="R417" i="2"/>
  <c r="N417" i="2"/>
  <c r="O417" i="2" s="1"/>
  <c r="L417" i="2"/>
  <c r="H417" i="2"/>
  <c r="I417" i="2" s="1"/>
  <c r="F417" i="2"/>
  <c r="C417" i="2"/>
  <c r="AC416" i="2"/>
  <c r="AD416" i="2" s="1"/>
  <c r="AA416" i="2"/>
  <c r="X416" i="2"/>
  <c r="W416" i="2"/>
  <c r="U416" i="2"/>
  <c r="R416" i="2"/>
  <c r="O416" i="2"/>
  <c r="N416" i="2"/>
  <c r="L416" i="2"/>
  <c r="I416" i="2"/>
  <c r="H416" i="2"/>
  <c r="F416" i="2"/>
  <c r="C416" i="2"/>
  <c r="AC415" i="2"/>
  <c r="AD415" i="2" s="1"/>
  <c r="AA415" i="2"/>
  <c r="W415" i="2"/>
  <c r="X415" i="2" s="1"/>
  <c r="U415" i="2"/>
  <c r="R415" i="2"/>
  <c r="O415" i="2"/>
  <c r="N415" i="2"/>
  <c r="L415" i="2"/>
  <c r="H415" i="2"/>
  <c r="I415" i="2" s="1"/>
  <c r="F415" i="2"/>
  <c r="C415" i="2"/>
  <c r="AC414" i="2"/>
  <c r="AD414" i="2" s="1"/>
  <c r="AA414" i="2"/>
  <c r="X414" i="2"/>
  <c r="W414" i="2"/>
  <c r="U414" i="2"/>
  <c r="R414" i="2"/>
  <c r="O414" i="2"/>
  <c r="N414" i="2"/>
  <c r="L414" i="2"/>
  <c r="H414" i="2"/>
  <c r="I414" i="2" s="1"/>
  <c r="F414" i="2"/>
  <c r="C414" i="2"/>
  <c r="AD413" i="2"/>
  <c r="AC413" i="2"/>
  <c r="AA413" i="2"/>
  <c r="X413" i="2"/>
  <c r="W413" i="2"/>
  <c r="U413" i="2"/>
  <c r="R413" i="2"/>
  <c r="N413" i="2"/>
  <c r="O413" i="2" s="1"/>
  <c r="L413" i="2"/>
  <c r="H413" i="2"/>
  <c r="I413" i="2" s="1"/>
  <c r="F413" i="2"/>
  <c r="C413" i="2"/>
  <c r="AC412" i="2"/>
  <c r="AD412" i="2" s="1"/>
  <c r="AA412" i="2"/>
  <c r="X412" i="2"/>
  <c r="W412" i="2"/>
  <c r="U412" i="2"/>
  <c r="R412" i="2"/>
  <c r="O412" i="2"/>
  <c r="N412" i="2"/>
  <c r="L412" i="2"/>
  <c r="I412" i="2"/>
  <c r="H412" i="2"/>
  <c r="F412" i="2"/>
  <c r="C412" i="2"/>
  <c r="AC411" i="2"/>
  <c r="AD411" i="2" s="1"/>
  <c r="AA411" i="2"/>
  <c r="X411" i="2"/>
  <c r="W411" i="2"/>
  <c r="U411" i="2"/>
  <c r="R411" i="2"/>
  <c r="O411" i="2"/>
  <c r="N411" i="2"/>
  <c r="L411" i="2"/>
  <c r="H411" i="2"/>
  <c r="I411" i="2" s="1"/>
  <c r="F411" i="2"/>
  <c r="C411" i="2"/>
  <c r="AC410" i="2"/>
  <c r="AD410" i="2" s="1"/>
  <c r="AA410" i="2"/>
  <c r="X410" i="2"/>
  <c r="W410" i="2"/>
  <c r="U410" i="2"/>
  <c r="R410" i="2"/>
  <c r="O410" i="2"/>
  <c r="N410" i="2"/>
  <c r="L410" i="2"/>
  <c r="H410" i="2"/>
  <c r="I410" i="2" s="1"/>
  <c r="F410" i="2"/>
  <c r="C410" i="2"/>
  <c r="AC409" i="2"/>
  <c r="AD409" i="2" s="1"/>
  <c r="AA409" i="2"/>
  <c r="X409" i="2"/>
  <c r="W409" i="2"/>
  <c r="U409" i="2"/>
  <c r="R409" i="2"/>
  <c r="N409" i="2"/>
  <c r="O409" i="2" s="1"/>
  <c r="L409" i="2"/>
  <c r="H409" i="2"/>
  <c r="I409" i="2" s="1"/>
  <c r="F409" i="2"/>
  <c r="C409" i="2"/>
  <c r="AC408" i="2"/>
  <c r="AD408" i="2" s="1"/>
  <c r="AA408" i="2"/>
  <c r="X408" i="2"/>
  <c r="W408" i="2"/>
  <c r="U408" i="2"/>
  <c r="R408" i="2"/>
  <c r="O408" i="2"/>
  <c r="N408" i="2"/>
  <c r="L408" i="2"/>
  <c r="I408" i="2"/>
  <c r="H408" i="2"/>
  <c r="F408" i="2"/>
  <c r="C408" i="2"/>
  <c r="AC407" i="2"/>
  <c r="AD407" i="2" s="1"/>
  <c r="AA407" i="2"/>
  <c r="X407" i="2"/>
  <c r="W407" i="2"/>
  <c r="U407" i="2"/>
  <c r="R407" i="2"/>
  <c r="O407" i="2"/>
  <c r="N407" i="2"/>
  <c r="L407" i="2"/>
  <c r="H407" i="2"/>
  <c r="I407" i="2" s="1"/>
  <c r="F407" i="2"/>
  <c r="C407" i="2"/>
  <c r="Z403" i="2"/>
  <c r="T403" i="2"/>
  <c r="U403" i="2" s="1"/>
  <c r="Q403" i="2"/>
  <c r="R403" i="2" s="1"/>
  <c r="K403" i="2"/>
  <c r="L403" i="2" s="1"/>
  <c r="E403" i="2"/>
  <c r="F403" i="2" s="1"/>
  <c r="B403" i="2"/>
  <c r="C403" i="2" s="1"/>
  <c r="AC402" i="2"/>
  <c r="AD402" i="2" s="1"/>
  <c r="AA402" i="2"/>
  <c r="X402" i="2"/>
  <c r="W402" i="2"/>
  <c r="U402" i="2"/>
  <c r="R402" i="2"/>
  <c r="O402" i="2"/>
  <c r="N402" i="2"/>
  <c r="L402" i="2"/>
  <c r="H402" i="2"/>
  <c r="I402" i="2" s="1"/>
  <c r="F402" i="2"/>
  <c r="C402" i="2"/>
  <c r="AC401" i="2"/>
  <c r="AD401" i="2" s="1"/>
  <c r="AA401" i="2"/>
  <c r="X401" i="2"/>
  <c r="W401" i="2"/>
  <c r="U401" i="2"/>
  <c r="R401" i="2"/>
  <c r="O401" i="2"/>
  <c r="N401" i="2"/>
  <c r="L401" i="2"/>
  <c r="H401" i="2"/>
  <c r="I401" i="2" s="1"/>
  <c r="F401" i="2"/>
  <c r="C401" i="2"/>
  <c r="AC400" i="2"/>
  <c r="AD400" i="2" s="1"/>
  <c r="AA400" i="2"/>
  <c r="X400" i="2"/>
  <c r="W400" i="2"/>
  <c r="U400" i="2"/>
  <c r="R400" i="2"/>
  <c r="O400" i="2"/>
  <c r="N400" i="2"/>
  <c r="L400" i="2"/>
  <c r="H400" i="2"/>
  <c r="I400" i="2" s="1"/>
  <c r="F400" i="2"/>
  <c r="C400" i="2"/>
  <c r="AC399" i="2"/>
  <c r="AD399" i="2" s="1"/>
  <c r="AA399" i="2"/>
  <c r="W399" i="2"/>
  <c r="X399" i="2" s="1"/>
  <c r="U399" i="2"/>
  <c r="R399" i="2"/>
  <c r="O399" i="2"/>
  <c r="N399" i="2"/>
  <c r="L399" i="2"/>
  <c r="H399" i="2"/>
  <c r="I399" i="2" s="1"/>
  <c r="F399" i="2"/>
  <c r="C399" i="2"/>
  <c r="AC398" i="2"/>
  <c r="AD398" i="2" s="1"/>
  <c r="AA398" i="2"/>
  <c r="X398" i="2"/>
  <c r="W398" i="2"/>
  <c r="U398" i="2"/>
  <c r="R398" i="2"/>
  <c r="O398" i="2"/>
  <c r="N398" i="2"/>
  <c r="L398" i="2"/>
  <c r="H398" i="2"/>
  <c r="I398" i="2" s="1"/>
  <c r="F398" i="2"/>
  <c r="C398" i="2"/>
  <c r="AC397" i="2"/>
  <c r="AD397" i="2" s="1"/>
  <c r="AA397" i="2"/>
  <c r="X397" i="2"/>
  <c r="W397" i="2"/>
  <c r="U397" i="2"/>
  <c r="R397" i="2"/>
  <c r="O397" i="2"/>
  <c r="N397" i="2"/>
  <c r="L397" i="2"/>
  <c r="H397" i="2"/>
  <c r="I397" i="2" s="1"/>
  <c r="F397" i="2"/>
  <c r="C397" i="2"/>
  <c r="Z396" i="2"/>
  <c r="T396" i="2"/>
  <c r="U396" i="2" s="1"/>
  <c r="Q396" i="2"/>
  <c r="R396" i="2" s="1"/>
  <c r="K396" i="2"/>
  <c r="L396" i="2" s="1"/>
  <c r="E396" i="2"/>
  <c r="F396" i="2" s="1"/>
  <c r="B396" i="2"/>
  <c r="C396" i="2" s="1"/>
  <c r="AC395" i="2"/>
  <c r="AD395" i="2" s="1"/>
  <c r="AA395" i="2"/>
  <c r="X395" i="2"/>
  <c r="W395" i="2"/>
  <c r="U395" i="2"/>
  <c r="R395" i="2"/>
  <c r="O395" i="2"/>
  <c r="N395" i="2"/>
  <c r="L395" i="2"/>
  <c r="H395" i="2"/>
  <c r="I395" i="2" s="1"/>
  <c r="F395" i="2"/>
  <c r="C395" i="2"/>
  <c r="AC394" i="2"/>
  <c r="AD394" i="2" s="1"/>
  <c r="AA394" i="2"/>
  <c r="X394" i="2"/>
  <c r="W394" i="2"/>
  <c r="U394" i="2"/>
  <c r="R394" i="2"/>
  <c r="O394" i="2"/>
  <c r="N394" i="2"/>
  <c r="L394" i="2"/>
  <c r="H394" i="2"/>
  <c r="I394" i="2" s="1"/>
  <c r="F394" i="2"/>
  <c r="C394" i="2"/>
  <c r="Z393" i="2"/>
  <c r="AC393" i="2" s="1"/>
  <c r="AD393" i="2" s="1"/>
  <c r="T393" i="2"/>
  <c r="U393" i="2" s="1"/>
  <c r="Q393" i="2"/>
  <c r="R393" i="2" s="1"/>
  <c r="K393" i="2"/>
  <c r="L393" i="2" s="1"/>
  <c r="E393" i="2"/>
  <c r="F393" i="2" s="1"/>
  <c r="B393" i="2"/>
  <c r="AC392" i="2"/>
  <c r="AD392" i="2" s="1"/>
  <c r="AA392" i="2"/>
  <c r="X392" i="2"/>
  <c r="W392" i="2"/>
  <c r="U392" i="2"/>
  <c r="R392" i="2"/>
  <c r="O392" i="2"/>
  <c r="N392" i="2"/>
  <c r="L392" i="2"/>
  <c r="H392" i="2"/>
  <c r="I392" i="2" s="1"/>
  <c r="F392" i="2"/>
  <c r="C392" i="2"/>
  <c r="AC391" i="2"/>
  <c r="AD391" i="2" s="1"/>
  <c r="AA391" i="2"/>
  <c r="X391" i="2"/>
  <c r="W391" i="2"/>
  <c r="U391" i="2"/>
  <c r="R391" i="2"/>
  <c r="O391" i="2"/>
  <c r="N391" i="2"/>
  <c r="L391" i="2"/>
  <c r="H391" i="2"/>
  <c r="I391" i="2" s="1"/>
  <c r="F391" i="2"/>
  <c r="C391" i="2"/>
  <c r="AC390" i="2"/>
  <c r="AD390" i="2" s="1"/>
  <c r="AA390" i="2"/>
  <c r="X390" i="2"/>
  <c r="W390" i="2"/>
  <c r="U390" i="2"/>
  <c r="R390" i="2"/>
  <c r="O390" i="2"/>
  <c r="N390" i="2"/>
  <c r="L390" i="2"/>
  <c r="H390" i="2"/>
  <c r="I390" i="2" s="1"/>
  <c r="F390" i="2"/>
  <c r="C390" i="2"/>
  <c r="AC389" i="2"/>
  <c r="AD389" i="2" s="1"/>
  <c r="AA389" i="2"/>
  <c r="W389" i="2"/>
  <c r="X389" i="2" s="1"/>
  <c r="U389" i="2"/>
  <c r="R389" i="2"/>
  <c r="O389" i="2"/>
  <c r="N389" i="2"/>
  <c r="L389" i="2"/>
  <c r="H389" i="2"/>
  <c r="I389" i="2" s="1"/>
  <c r="F389" i="2"/>
  <c r="C389" i="2"/>
  <c r="AC388" i="2"/>
  <c r="AD388" i="2" s="1"/>
  <c r="AA388" i="2"/>
  <c r="X388" i="2"/>
  <c r="W388" i="2"/>
  <c r="U388" i="2"/>
  <c r="R388" i="2"/>
  <c r="O388" i="2"/>
  <c r="N388" i="2"/>
  <c r="L388" i="2"/>
  <c r="H388" i="2"/>
  <c r="I388" i="2" s="1"/>
  <c r="F388" i="2"/>
  <c r="C388" i="2"/>
  <c r="AC386" i="2"/>
  <c r="AD386" i="2" s="1"/>
  <c r="AA386" i="2"/>
  <c r="X386" i="2"/>
  <c r="W386" i="2"/>
  <c r="U386" i="2"/>
  <c r="R386" i="2"/>
  <c r="O386" i="2"/>
  <c r="N386" i="2"/>
  <c r="L386" i="2"/>
  <c r="H386" i="2"/>
  <c r="I386" i="2" s="1"/>
  <c r="F386" i="2"/>
  <c r="C386" i="2"/>
  <c r="AC385" i="2"/>
  <c r="AD385" i="2" s="1"/>
  <c r="AA385" i="2"/>
  <c r="X385" i="2"/>
  <c r="W385" i="2"/>
  <c r="U385" i="2"/>
  <c r="R385" i="2"/>
  <c r="O385" i="2"/>
  <c r="N385" i="2"/>
  <c r="L385" i="2"/>
  <c r="H385" i="2"/>
  <c r="I385" i="2" s="1"/>
  <c r="F385" i="2"/>
  <c r="C385" i="2"/>
  <c r="AC383" i="2"/>
  <c r="AD383" i="2" s="1"/>
  <c r="AA383" i="2"/>
  <c r="W383" i="2"/>
  <c r="X383" i="2" s="1"/>
  <c r="U383" i="2"/>
  <c r="R383" i="2"/>
  <c r="O383" i="2"/>
  <c r="N383" i="2"/>
  <c r="L383" i="2"/>
  <c r="H383" i="2"/>
  <c r="I383" i="2" s="1"/>
  <c r="F383" i="2"/>
  <c r="C383" i="2"/>
  <c r="AC382" i="2"/>
  <c r="AD382" i="2" s="1"/>
  <c r="AA382" i="2"/>
  <c r="X382" i="2"/>
  <c r="W382" i="2"/>
  <c r="U382" i="2"/>
  <c r="R382" i="2"/>
  <c r="O382" i="2"/>
  <c r="N382" i="2"/>
  <c r="L382" i="2"/>
  <c r="H382" i="2"/>
  <c r="I382" i="2" s="1"/>
  <c r="F382" i="2"/>
  <c r="C382" i="2"/>
  <c r="AC381" i="2"/>
  <c r="AD381" i="2" s="1"/>
  <c r="AA381" i="2"/>
  <c r="X381" i="2"/>
  <c r="W381" i="2"/>
  <c r="U381" i="2"/>
  <c r="R381" i="2"/>
  <c r="O381" i="2"/>
  <c r="N381" i="2"/>
  <c r="L381" i="2"/>
  <c r="H381" i="2"/>
  <c r="I381" i="2" s="1"/>
  <c r="F381" i="2"/>
  <c r="C381" i="2"/>
  <c r="AC380" i="2"/>
  <c r="AD380" i="2" s="1"/>
  <c r="AA380" i="2"/>
  <c r="X380" i="2"/>
  <c r="W380" i="2"/>
  <c r="U380" i="2"/>
  <c r="R380" i="2"/>
  <c r="O380" i="2"/>
  <c r="N380" i="2"/>
  <c r="L380" i="2"/>
  <c r="H380" i="2"/>
  <c r="I380" i="2" s="1"/>
  <c r="F380" i="2"/>
  <c r="C380" i="2"/>
  <c r="AC379" i="2"/>
  <c r="AD379" i="2" s="1"/>
  <c r="AA379" i="2"/>
  <c r="X379" i="2"/>
  <c r="W379" i="2"/>
  <c r="U379" i="2"/>
  <c r="R379" i="2"/>
  <c r="O379" i="2"/>
  <c r="N379" i="2"/>
  <c r="L379" i="2"/>
  <c r="H379" i="2"/>
  <c r="I379" i="2" s="1"/>
  <c r="F379" i="2"/>
  <c r="C379" i="2"/>
  <c r="AC378" i="2"/>
  <c r="AD378" i="2" s="1"/>
  <c r="AA378" i="2"/>
  <c r="X378" i="2"/>
  <c r="W378" i="2"/>
  <c r="U378" i="2"/>
  <c r="R378" i="2"/>
  <c r="O378" i="2"/>
  <c r="N378" i="2"/>
  <c r="L378" i="2"/>
  <c r="H378" i="2"/>
  <c r="I378" i="2" s="1"/>
  <c r="F378" i="2"/>
  <c r="C378" i="2"/>
  <c r="AC377" i="2"/>
  <c r="AD377" i="2" s="1"/>
  <c r="AA377" i="2"/>
  <c r="X377" i="2"/>
  <c r="W377" i="2"/>
  <c r="U377" i="2"/>
  <c r="R377" i="2"/>
  <c r="O377" i="2"/>
  <c r="N377" i="2"/>
  <c r="L377" i="2"/>
  <c r="H377" i="2"/>
  <c r="I377" i="2" s="1"/>
  <c r="F377" i="2"/>
  <c r="C377" i="2"/>
  <c r="AC376" i="2"/>
  <c r="AD376" i="2" s="1"/>
  <c r="AA376" i="2"/>
  <c r="X376" i="2"/>
  <c r="W376" i="2"/>
  <c r="U376" i="2"/>
  <c r="R376" i="2"/>
  <c r="O376" i="2"/>
  <c r="N376" i="2"/>
  <c r="L376" i="2"/>
  <c r="H376" i="2"/>
  <c r="I376" i="2" s="1"/>
  <c r="F376" i="2"/>
  <c r="C376" i="2"/>
  <c r="AC375" i="2"/>
  <c r="AD375" i="2" s="1"/>
  <c r="AA375" i="2"/>
  <c r="W375" i="2"/>
  <c r="X375" i="2" s="1"/>
  <c r="U375" i="2"/>
  <c r="R375" i="2"/>
  <c r="O375" i="2"/>
  <c r="N375" i="2"/>
  <c r="L375" i="2"/>
  <c r="H375" i="2"/>
  <c r="I375" i="2" s="1"/>
  <c r="F375" i="2"/>
  <c r="C375" i="2"/>
  <c r="AC374" i="2"/>
  <c r="AD374" i="2" s="1"/>
  <c r="AA374" i="2"/>
  <c r="X374" i="2"/>
  <c r="W374" i="2"/>
  <c r="U374" i="2"/>
  <c r="R374" i="2"/>
  <c r="O374" i="2"/>
  <c r="N374" i="2"/>
  <c r="L374" i="2"/>
  <c r="H374" i="2"/>
  <c r="I374" i="2" s="1"/>
  <c r="F374" i="2"/>
  <c r="C374" i="2"/>
  <c r="AD373" i="2"/>
  <c r="AC373" i="2"/>
  <c r="AA373" i="2"/>
  <c r="X373" i="2"/>
  <c r="W373" i="2"/>
  <c r="U373" i="2"/>
  <c r="R373" i="2"/>
  <c r="N373" i="2"/>
  <c r="O373" i="2" s="1"/>
  <c r="L373" i="2"/>
  <c r="H373" i="2"/>
  <c r="I373" i="2" s="1"/>
  <c r="F373" i="2"/>
  <c r="C373" i="2"/>
  <c r="AC372" i="2"/>
  <c r="AD372" i="2" s="1"/>
  <c r="AA372" i="2"/>
  <c r="X372" i="2"/>
  <c r="W372" i="2"/>
  <c r="U372" i="2"/>
  <c r="R372" i="2"/>
  <c r="O372" i="2"/>
  <c r="N372" i="2"/>
  <c r="L372" i="2"/>
  <c r="H372" i="2"/>
  <c r="I372" i="2" s="1"/>
  <c r="F372" i="2"/>
  <c r="C372" i="2"/>
  <c r="AC371" i="2"/>
  <c r="AD371" i="2" s="1"/>
  <c r="AA371" i="2"/>
  <c r="W371" i="2"/>
  <c r="X371" i="2" s="1"/>
  <c r="U371" i="2"/>
  <c r="R371" i="2"/>
  <c r="O371" i="2"/>
  <c r="N371" i="2"/>
  <c r="L371" i="2"/>
  <c r="H371" i="2"/>
  <c r="I371" i="2" s="1"/>
  <c r="F371" i="2"/>
  <c r="C371" i="2"/>
  <c r="AC370" i="2"/>
  <c r="AD370" i="2" s="1"/>
  <c r="AA370" i="2"/>
  <c r="X370" i="2"/>
  <c r="W370" i="2"/>
  <c r="U370" i="2"/>
  <c r="R370" i="2"/>
  <c r="O370" i="2"/>
  <c r="N370" i="2"/>
  <c r="L370" i="2"/>
  <c r="H370" i="2"/>
  <c r="I370" i="2" s="1"/>
  <c r="F370" i="2"/>
  <c r="C370" i="2"/>
  <c r="AC369" i="2"/>
  <c r="AD369" i="2" s="1"/>
  <c r="AA369" i="2"/>
  <c r="X369" i="2"/>
  <c r="W369" i="2"/>
  <c r="U369" i="2"/>
  <c r="R369" i="2"/>
  <c r="O369" i="2"/>
  <c r="N369" i="2"/>
  <c r="L369" i="2"/>
  <c r="H369" i="2"/>
  <c r="I369" i="2" s="1"/>
  <c r="F369" i="2"/>
  <c r="C369" i="2"/>
  <c r="AA368" i="2"/>
  <c r="Z368" i="2"/>
  <c r="T368" i="2"/>
  <c r="U368" i="2" s="1"/>
  <c r="Q368" i="2"/>
  <c r="W368" i="2" s="1"/>
  <c r="X368" i="2" s="1"/>
  <c r="K368" i="2"/>
  <c r="L368" i="2" s="1"/>
  <c r="E368" i="2"/>
  <c r="F368" i="2" s="1"/>
  <c r="B368" i="2"/>
  <c r="H368" i="2" s="1"/>
  <c r="I368" i="2" s="1"/>
  <c r="AC367" i="2"/>
  <c r="AD367" i="2" s="1"/>
  <c r="AA367" i="2"/>
  <c r="X367" i="2"/>
  <c r="W367" i="2"/>
  <c r="U367" i="2"/>
  <c r="R367" i="2"/>
  <c r="O367" i="2"/>
  <c r="N367" i="2"/>
  <c r="L367" i="2"/>
  <c r="H367" i="2"/>
  <c r="I367" i="2" s="1"/>
  <c r="F367" i="2"/>
  <c r="C367" i="2"/>
  <c r="AC366" i="2"/>
  <c r="AD366" i="2" s="1"/>
  <c r="AA366" i="2"/>
  <c r="X366" i="2"/>
  <c r="W366" i="2"/>
  <c r="U366" i="2"/>
  <c r="R366" i="2"/>
  <c r="O366" i="2"/>
  <c r="N366" i="2"/>
  <c r="L366" i="2"/>
  <c r="H366" i="2"/>
  <c r="I366" i="2" s="1"/>
  <c r="F366" i="2"/>
  <c r="C366" i="2"/>
  <c r="AC365" i="2"/>
  <c r="AD365" i="2" s="1"/>
  <c r="AA365" i="2"/>
  <c r="X365" i="2"/>
  <c r="W365" i="2"/>
  <c r="U365" i="2"/>
  <c r="R365" i="2"/>
  <c r="O365" i="2"/>
  <c r="N365" i="2"/>
  <c r="L365" i="2"/>
  <c r="H365" i="2"/>
  <c r="I365" i="2" s="1"/>
  <c r="F365" i="2"/>
  <c r="C365" i="2"/>
  <c r="AC364" i="2"/>
  <c r="AD364" i="2" s="1"/>
  <c r="AA364" i="2"/>
  <c r="X364" i="2"/>
  <c r="W364" i="2"/>
  <c r="U364" i="2"/>
  <c r="R364" i="2"/>
  <c r="O364" i="2"/>
  <c r="N364" i="2"/>
  <c r="L364" i="2"/>
  <c r="H364" i="2"/>
  <c r="I364" i="2" s="1"/>
  <c r="F364" i="2"/>
  <c r="C364" i="2"/>
  <c r="AC363" i="2"/>
  <c r="AD363" i="2" s="1"/>
  <c r="AA363" i="2"/>
  <c r="X363" i="2"/>
  <c r="W363" i="2"/>
  <c r="U363" i="2"/>
  <c r="R363" i="2"/>
  <c r="O363" i="2"/>
  <c r="N363" i="2"/>
  <c r="L363" i="2"/>
  <c r="H363" i="2"/>
  <c r="I363" i="2" s="1"/>
  <c r="F363" i="2"/>
  <c r="C363" i="2"/>
  <c r="AC362" i="2"/>
  <c r="AD362" i="2" s="1"/>
  <c r="AA362" i="2"/>
  <c r="X362" i="2"/>
  <c r="W362" i="2"/>
  <c r="U362" i="2"/>
  <c r="R362" i="2"/>
  <c r="O362" i="2"/>
  <c r="N362" i="2"/>
  <c r="L362" i="2"/>
  <c r="H362" i="2"/>
  <c r="I362" i="2" s="1"/>
  <c r="F362" i="2"/>
  <c r="C362" i="2"/>
  <c r="AC361" i="2"/>
  <c r="AD361" i="2" s="1"/>
  <c r="AA361" i="2"/>
  <c r="X361" i="2"/>
  <c r="W361" i="2"/>
  <c r="U361" i="2"/>
  <c r="R361" i="2"/>
  <c r="O361" i="2"/>
  <c r="N361" i="2"/>
  <c r="L361" i="2"/>
  <c r="H361" i="2"/>
  <c r="I361" i="2" s="1"/>
  <c r="F361" i="2"/>
  <c r="C361" i="2"/>
  <c r="AC360" i="2"/>
  <c r="AD360" i="2" s="1"/>
  <c r="AA360" i="2"/>
  <c r="X360" i="2"/>
  <c r="W360" i="2"/>
  <c r="U360" i="2"/>
  <c r="R360" i="2"/>
  <c r="O360" i="2"/>
  <c r="N360" i="2"/>
  <c r="L360" i="2"/>
  <c r="H360" i="2"/>
  <c r="I360" i="2" s="1"/>
  <c r="F360" i="2"/>
  <c r="C360" i="2"/>
  <c r="AC358" i="2"/>
  <c r="AD358" i="2" s="1"/>
  <c r="Z358" i="2"/>
  <c r="AA358" i="2" s="1"/>
  <c r="T358" i="2"/>
  <c r="U358" i="2" s="1"/>
  <c r="Q358" i="2"/>
  <c r="K358" i="2"/>
  <c r="L358" i="2" s="1"/>
  <c r="E358" i="2"/>
  <c r="B358" i="2"/>
  <c r="C358" i="2" s="1"/>
  <c r="AC357" i="2"/>
  <c r="AD357" i="2" s="1"/>
  <c r="AA357" i="2"/>
  <c r="X357" i="2"/>
  <c r="W357" i="2"/>
  <c r="U357" i="2"/>
  <c r="R357" i="2"/>
  <c r="O357" i="2"/>
  <c r="N357" i="2"/>
  <c r="L357" i="2"/>
  <c r="H357" i="2"/>
  <c r="I357" i="2" s="1"/>
  <c r="F357" i="2"/>
  <c r="C357" i="2"/>
  <c r="AC356" i="2"/>
  <c r="AD356" i="2" s="1"/>
  <c r="AA356" i="2"/>
  <c r="X356" i="2"/>
  <c r="W356" i="2"/>
  <c r="U356" i="2"/>
  <c r="R356" i="2"/>
  <c r="O356" i="2"/>
  <c r="N356" i="2"/>
  <c r="L356" i="2"/>
  <c r="H356" i="2"/>
  <c r="I356" i="2" s="1"/>
  <c r="F356" i="2"/>
  <c r="C356" i="2"/>
  <c r="AC355" i="2"/>
  <c r="AD355" i="2" s="1"/>
  <c r="AA355" i="2"/>
  <c r="X355" i="2"/>
  <c r="W355" i="2"/>
  <c r="U355" i="2"/>
  <c r="R355" i="2"/>
  <c r="O355" i="2"/>
  <c r="N355" i="2"/>
  <c r="L355" i="2"/>
  <c r="H355" i="2"/>
  <c r="I355" i="2" s="1"/>
  <c r="F355" i="2"/>
  <c r="C355" i="2"/>
  <c r="AC354" i="2"/>
  <c r="AD354" i="2" s="1"/>
  <c r="AA354" i="2"/>
  <c r="X354" i="2"/>
  <c r="W354" i="2"/>
  <c r="U354" i="2"/>
  <c r="R354" i="2"/>
  <c r="N354" i="2"/>
  <c r="O354" i="2" s="1"/>
  <c r="L354" i="2"/>
  <c r="H354" i="2"/>
  <c r="I354" i="2" s="1"/>
  <c r="F354" i="2"/>
  <c r="C354" i="2"/>
  <c r="AC353" i="2"/>
  <c r="AD353" i="2" s="1"/>
  <c r="AA353" i="2"/>
  <c r="X353" i="2"/>
  <c r="W353" i="2"/>
  <c r="U353" i="2"/>
  <c r="R353" i="2"/>
  <c r="O353" i="2"/>
  <c r="N353" i="2"/>
  <c r="L353" i="2"/>
  <c r="H353" i="2"/>
  <c r="I353" i="2" s="1"/>
  <c r="F353" i="2"/>
  <c r="C353" i="2"/>
  <c r="AC352" i="2"/>
  <c r="AD352" i="2" s="1"/>
  <c r="AA352" i="2"/>
  <c r="W352" i="2"/>
  <c r="X352" i="2" s="1"/>
  <c r="U352" i="2"/>
  <c r="R352" i="2"/>
  <c r="O352" i="2"/>
  <c r="N352" i="2"/>
  <c r="L352" i="2"/>
  <c r="H352" i="2"/>
  <c r="I352" i="2" s="1"/>
  <c r="F352" i="2"/>
  <c r="C352" i="2"/>
  <c r="AC351" i="2"/>
  <c r="AD351" i="2" s="1"/>
  <c r="AA351" i="2"/>
  <c r="X351" i="2"/>
  <c r="W351" i="2"/>
  <c r="U351" i="2"/>
  <c r="R351" i="2"/>
  <c r="O351" i="2"/>
  <c r="N351" i="2"/>
  <c r="L351" i="2"/>
  <c r="H351" i="2"/>
  <c r="I351" i="2" s="1"/>
  <c r="F351" i="2"/>
  <c r="C351" i="2"/>
  <c r="AC350" i="2"/>
  <c r="AD350" i="2" s="1"/>
  <c r="AA350" i="2"/>
  <c r="X350" i="2"/>
  <c r="W350" i="2"/>
  <c r="U350" i="2"/>
  <c r="R350" i="2"/>
  <c r="N350" i="2"/>
  <c r="O350" i="2" s="1"/>
  <c r="L350" i="2"/>
  <c r="H350" i="2"/>
  <c r="I350" i="2" s="1"/>
  <c r="F350" i="2"/>
  <c r="C350" i="2"/>
  <c r="AC349" i="2"/>
  <c r="AD349" i="2" s="1"/>
  <c r="AA349" i="2"/>
  <c r="X349" i="2"/>
  <c r="W349" i="2"/>
  <c r="U349" i="2"/>
  <c r="R349" i="2"/>
  <c r="O349" i="2"/>
  <c r="N349" i="2"/>
  <c r="L349" i="2"/>
  <c r="H349" i="2"/>
  <c r="I349" i="2" s="1"/>
  <c r="F349" i="2"/>
  <c r="C349" i="2"/>
  <c r="AC347" i="2"/>
  <c r="AD347" i="2" s="1"/>
  <c r="AA347" i="2"/>
  <c r="W347" i="2"/>
  <c r="X347" i="2" s="1"/>
  <c r="U347" i="2"/>
  <c r="R347" i="2"/>
  <c r="O347" i="2"/>
  <c r="N347" i="2"/>
  <c r="L347" i="2"/>
  <c r="H347" i="2"/>
  <c r="I347" i="2" s="1"/>
  <c r="F347" i="2"/>
  <c r="C347" i="2"/>
  <c r="Z344" i="2"/>
  <c r="AA344" i="2" s="1"/>
  <c r="W344" i="2"/>
  <c r="X344" i="2" s="1"/>
  <c r="T344" i="2"/>
  <c r="U344" i="2" s="1"/>
  <c r="Q344" i="2"/>
  <c r="R344" i="2" s="1"/>
  <c r="K344" i="2"/>
  <c r="L344" i="2" s="1"/>
  <c r="E344" i="2"/>
  <c r="F344" i="2" s="1"/>
  <c r="B344" i="2"/>
  <c r="H344" i="2" s="1"/>
  <c r="I344" i="2" s="1"/>
  <c r="Z343" i="2"/>
  <c r="AA343" i="2" s="1"/>
  <c r="T343" i="2"/>
  <c r="U343" i="2" s="1"/>
  <c r="Q343" i="2"/>
  <c r="K343" i="2"/>
  <c r="L343" i="2" s="1"/>
  <c r="E343" i="2"/>
  <c r="B343" i="2"/>
  <c r="C343" i="2" s="1"/>
  <c r="Z342" i="2"/>
  <c r="AA342" i="2" s="1"/>
  <c r="W342" i="2"/>
  <c r="X342" i="2" s="1"/>
  <c r="T342" i="2"/>
  <c r="U342" i="2" s="1"/>
  <c r="Q342" i="2"/>
  <c r="R342" i="2" s="1"/>
  <c r="K342" i="2"/>
  <c r="L342" i="2" s="1"/>
  <c r="E342" i="2"/>
  <c r="F342" i="2" s="1"/>
  <c r="B342" i="2"/>
  <c r="H342" i="2" s="1"/>
  <c r="I342" i="2" s="1"/>
  <c r="AC341" i="2"/>
  <c r="AD341" i="2" s="1"/>
  <c r="AA341" i="2"/>
  <c r="X341" i="2"/>
  <c r="W341" i="2"/>
  <c r="U341" i="2"/>
  <c r="R341" i="2"/>
  <c r="O341" i="2"/>
  <c r="N341" i="2"/>
  <c r="L341" i="2"/>
  <c r="H341" i="2"/>
  <c r="I341" i="2" s="1"/>
  <c r="F341" i="2"/>
  <c r="C341" i="2"/>
  <c r="AC340" i="2"/>
  <c r="AD340" i="2" s="1"/>
  <c r="AA340" i="2"/>
  <c r="X340" i="2"/>
  <c r="W340" i="2"/>
  <c r="U340" i="2"/>
  <c r="R340" i="2"/>
  <c r="O340" i="2"/>
  <c r="N340" i="2"/>
  <c r="L340" i="2"/>
  <c r="H340" i="2"/>
  <c r="I340" i="2" s="1"/>
  <c r="F340" i="2"/>
  <c r="C340" i="2"/>
  <c r="AC339" i="2"/>
  <c r="AD339" i="2" s="1"/>
  <c r="AA339" i="2"/>
  <c r="X339" i="2"/>
  <c r="W339" i="2"/>
  <c r="U339" i="2"/>
  <c r="R339" i="2"/>
  <c r="O339" i="2"/>
  <c r="N339" i="2"/>
  <c r="L339" i="2"/>
  <c r="H339" i="2"/>
  <c r="I339" i="2" s="1"/>
  <c r="F339" i="2"/>
  <c r="C339" i="2"/>
  <c r="AC338" i="2"/>
  <c r="AD338" i="2" s="1"/>
  <c r="AA338" i="2"/>
  <c r="X338" i="2"/>
  <c r="W338" i="2"/>
  <c r="U338" i="2"/>
  <c r="R338" i="2"/>
  <c r="O338" i="2"/>
  <c r="N338" i="2"/>
  <c r="L338" i="2"/>
  <c r="H338" i="2"/>
  <c r="I338" i="2" s="1"/>
  <c r="F338" i="2"/>
  <c r="C338" i="2"/>
  <c r="AC337" i="2"/>
  <c r="AD337" i="2" s="1"/>
  <c r="AA337" i="2"/>
  <c r="X337" i="2"/>
  <c r="W337" i="2"/>
  <c r="U337" i="2"/>
  <c r="R337" i="2"/>
  <c r="O337" i="2"/>
  <c r="N337" i="2"/>
  <c r="L337" i="2"/>
  <c r="H337" i="2"/>
  <c r="I337" i="2" s="1"/>
  <c r="F337" i="2"/>
  <c r="C337" i="2"/>
  <c r="AC335" i="2"/>
  <c r="AD335" i="2" s="1"/>
  <c r="AA335" i="2"/>
  <c r="X335" i="2"/>
  <c r="W335" i="2"/>
  <c r="U335" i="2"/>
  <c r="R335" i="2"/>
  <c r="O335" i="2"/>
  <c r="N335" i="2"/>
  <c r="L335" i="2"/>
  <c r="H335" i="2"/>
  <c r="I335" i="2" s="1"/>
  <c r="F335" i="2"/>
  <c r="C335" i="2"/>
  <c r="AC334" i="2"/>
  <c r="AD334" i="2" s="1"/>
  <c r="AA334" i="2"/>
  <c r="X334" i="2"/>
  <c r="W334" i="2"/>
  <c r="U334" i="2"/>
  <c r="R334" i="2"/>
  <c r="O334" i="2"/>
  <c r="N334" i="2"/>
  <c r="L334" i="2"/>
  <c r="H334" i="2"/>
  <c r="I334" i="2" s="1"/>
  <c r="F334" i="2"/>
  <c r="C334" i="2"/>
  <c r="AC333" i="2"/>
  <c r="AD333" i="2" s="1"/>
  <c r="AA333" i="2"/>
  <c r="X333" i="2"/>
  <c r="W333" i="2"/>
  <c r="U333" i="2"/>
  <c r="R333" i="2"/>
  <c r="O333" i="2"/>
  <c r="N333" i="2"/>
  <c r="L333" i="2"/>
  <c r="H333" i="2"/>
  <c r="I333" i="2" s="1"/>
  <c r="F333" i="2"/>
  <c r="C333" i="2"/>
  <c r="AC332" i="2"/>
  <c r="AD332" i="2" s="1"/>
  <c r="AA332" i="2"/>
  <c r="X332" i="2"/>
  <c r="W332" i="2"/>
  <c r="U332" i="2"/>
  <c r="R332" i="2"/>
  <c r="O332" i="2"/>
  <c r="N332" i="2"/>
  <c r="L332" i="2"/>
  <c r="H332" i="2"/>
  <c r="I332" i="2" s="1"/>
  <c r="F332" i="2"/>
  <c r="C332" i="2"/>
  <c r="AC331" i="2"/>
  <c r="AD331" i="2" s="1"/>
  <c r="AA331" i="2"/>
  <c r="X331" i="2"/>
  <c r="W331" i="2"/>
  <c r="U331" i="2"/>
  <c r="R331" i="2"/>
  <c r="O331" i="2"/>
  <c r="N331" i="2"/>
  <c r="L331" i="2"/>
  <c r="H331" i="2"/>
  <c r="I331" i="2" s="1"/>
  <c r="F331" i="2"/>
  <c r="C331" i="2"/>
  <c r="AC330" i="2"/>
  <c r="AD330" i="2" s="1"/>
  <c r="AA330" i="2"/>
  <c r="X330" i="2"/>
  <c r="W330" i="2"/>
  <c r="U330" i="2"/>
  <c r="R330" i="2"/>
  <c r="O330" i="2"/>
  <c r="N330" i="2"/>
  <c r="L330" i="2"/>
  <c r="H330" i="2"/>
  <c r="I330" i="2" s="1"/>
  <c r="F330" i="2"/>
  <c r="C330" i="2"/>
  <c r="AC329" i="2"/>
  <c r="AD329" i="2" s="1"/>
  <c r="AA329" i="2"/>
  <c r="X329" i="2"/>
  <c r="W329" i="2"/>
  <c r="U329" i="2"/>
  <c r="R329" i="2"/>
  <c r="O329" i="2"/>
  <c r="N329" i="2"/>
  <c r="L329" i="2"/>
  <c r="H329" i="2"/>
  <c r="I329" i="2" s="1"/>
  <c r="F329" i="2"/>
  <c r="C329" i="2"/>
  <c r="AC328" i="2"/>
  <c r="AD328" i="2" s="1"/>
  <c r="AA328" i="2"/>
  <c r="X328" i="2"/>
  <c r="W328" i="2"/>
  <c r="U328" i="2"/>
  <c r="R328" i="2"/>
  <c r="O328" i="2"/>
  <c r="N328" i="2"/>
  <c r="L328" i="2"/>
  <c r="H328" i="2"/>
  <c r="I328" i="2" s="1"/>
  <c r="F328" i="2"/>
  <c r="C328" i="2"/>
  <c r="Z325" i="2"/>
  <c r="AA325" i="2" s="1"/>
  <c r="T325" i="2"/>
  <c r="U325" i="2" s="1"/>
  <c r="Q325" i="2"/>
  <c r="AC325" i="2" s="1"/>
  <c r="AD325" i="2" s="1"/>
  <c r="N325" i="2"/>
  <c r="O325" i="2" s="1"/>
  <c r="K325" i="2"/>
  <c r="L325" i="2" s="1"/>
  <c r="H325" i="2"/>
  <c r="I325" i="2" s="1"/>
  <c r="E325" i="2"/>
  <c r="F325" i="2" s="1"/>
  <c r="B325" i="2"/>
  <c r="C325" i="2" s="1"/>
  <c r="Z324" i="2"/>
  <c r="AA324" i="2" s="1"/>
  <c r="T324" i="2"/>
  <c r="U324" i="2" s="1"/>
  <c r="Q324" i="2"/>
  <c r="R324" i="2" s="1"/>
  <c r="N324" i="2"/>
  <c r="O324" i="2" s="1"/>
  <c r="L324" i="2"/>
  <c r="K324" i="2"/>
  <c r="H324" i="2"/>
  <c r="I324" i="2" s="1"/>
  <c r="E324" i="2"/>
  <c r="F324" i="2" s="1"/>
  <c r="B324" i="2"/>
  <c r="C324" i="2" s="1"/>
  <c r="AC323" i="2"/>
  <c r="AD323" i="2" s="1"/>
  <c r="AA323" i="2"/>
  <c r="X323" i="2"/>
  <c r="W323" i="2"/>
  <c r="U323" i="2"/>
  <c r="R323" i="2"/>
  <c r="N323" i="2"/>
  <c r="O323" i="2" s="1"/>
  <c r="L323" i="2"/>
  <c r="H323" i="2"/>
  <c r="I323" i="2" s="1"/>
  <c r="F323" i="2"/>
  <c r="C323" i="2"/>
  <c r="AC322" i="2"/>
  <c r="AD322" i="2" s="1"/>
  <c r="AA322" i="2"/>
  <c r="X322" i="2"/>
  <c r="W322" i="2"/>
  <c r="U322" i="2"/>
  <c r="R322" i="2"/>
  <c r="O322" i="2"/>
  <c r="N322" i="2"/>
  <c r="L322" i="2"/>
  <c r="H322" i="2"/>
  <c r="I322" i="2" s="1"/>
  <c r="F322" i="2"/>
  <c r="C322" i="2"/>
  <c r="AC321" i="2"/>
  <c r="AD321" i="2" s="1"/>
  <c r="AA321" i="2"/>
  <c r="W321" i="2"/>
  <c r="X321" i="2" s="1"/>
  <c r="U321" i="2"/>
  <c r="R321" i="2"/>
  <c r="O321" i="2"/>
  <c r="N321" i="2"/>
  <c r="L321" i="2"/>
  <c r="H321" i="2"/>
  <c r="I321" i="2" s="1"/>
  <c r="F321" i="2"/>
  <c r="C321" i="2"/>
  <c r="AC320" i="2"/>
  <c r="AD320" i="2" s="1"/>
  <c r="AA320" i="2"/>
  <c r="X320" i="2"/>
  <c r="W320" i="2"/>
  <c r="U320" i="2"/>
  <c r="R320" i="2"/>
  <c r="O320" i="2"/>
  <c r="N320" i="2"/>
  <c r="L320" i="2"/>
  <c r="H320" i="2"/>
  <c r="I320" i="2" s="1"/>
  <c r="F320" i="2"/>
  <c r="C320" i="2"/>
  <c r="AD319" i="2"/>
  <c r="AC319" i="2"/>
  <c r="AA319" i="2"/>
  <c r="X319" i="2"/>
  <c r="W319" i="2"/>
  <c r="U319" i="2"/>
  <c r="R319" i="2"/>
  <c r="N319" i="2"/>
  <c r="O319" i="2" s="1"/>
  <c r="L319" i="2"/>
  <c r="H319" i="2"/>
  <c r="I319" i="2" s="1"/>
  <c r="F319" i="2"/>
  <c r="C319" i="2"/>
  <c r="AC318" i="2"/>
  <c r="AD318" i="2" s="1"/>
  <c r="AA318" i="2"/>
  <c r="X318" i="2"/>
  <c r="W318" i="2"/>
  <c r="U318" i="2"/>
  <c r="R318" i="2"/>
  <c r="O318" i="2"/>
  <c r="N318" i="2"/>
  <c r="L318" i="2"/>
  <c r="H318" i="2"/>
  <c r="I318" i="2" s="1"/>
  <c r="F318" i="2"/>
  <c r="C318" i="2"/>
  <c r="AC317" i="2"/>
  <c r="AD317" i="2" s="1"/>
  <c r="AA317" i="2"/>
  <c r="W317" i="2"/>
  <c r="X317" i="2" s="1"/>
  <c r="U317" i="2"/>
  <c r="R317" i="2"/>
  <c r="O317" i="2"/>
  <c r="N317" i="2"/>
  <c r="L317" i="2"/>
  <c r="H317" i="2"/>
  <c r="I317" i="2" s="1"/>
  <c r="F317" i="2"/>
  <c r="C317" i="2"/>
  <c r="AC316" i="2"/>
  <c r="AD316" i="2" s="1"/>
  <c r="AA316" i="2"/>
  <c r="X316" i="2"/>
  <c r="W316" i="2"/>
  <c r="U316" i="2"/>
  <c r="R316" i="2"/>
  <c r="O316" i="2"/>
  <c r="N316" i="2"/>
  <c r="L316" i="2"/>
  <c r="H316" i="2"/>
  <c r="I316" i="2" s="1"/>
  <c r="F316" i="2"/>
  <c r="C316" i="2"/>
  <c r="AC315" i="2"/>
  <c r="AD315" i="2" s="1"/>
  <c r="AA315" i="2"/>
  <c r="X315" i="2"/>
  <c r="W315" i="2"/>
  <c r="U315" i="2"/>
  <c r="R315" i="2"/>
  <c r="O315" i="2"/>
  <c r="N315" i="2"/>
  <c r="L315" i="2"/>
  <c r="H315" i="2"/>
  <c r="I315" i="2" s="1"/>
  <c r="F315" i="2"/>
  <c r="C315" i="2"/>
  <c r="AC314" i="2"/>
  <c r="AD314" i="2" s="1"/>
  <c r="AA314" i="2"/>
  <c r="X314" i="2"/>
  <c r="W314" i="2"/>
  <c r="U314" i="2"/>
  <c r="R314" i="2"/>
  <c r="O314" i="2"/>
  <c r="N314" i="2"/>
  <c r="L314" i="2"/>
  <c r="H314" i="2"/>
  <c r="I314" i="2" s="1"/>
  <c r="F314" i="2"/>
  <c r="C314" i="2"/>
  <c r="AC313" i="2"/>
  <c r="AD313" i="2" s="1"/>
  <c r="AA313" i="2"/>
  <c r="W313" i="2"/>
  <c r="X313" i="2" s="1"/>
  <c r="U313" i="2"/>
  <c r="R313" i="2"/>
  <c r="O313" i="2"/>
  <c r="N313" i="2"/>
  <c r="L313" i="2"/>
  <c r="H313" i="2"/>
  <c r="I313" i="2" s="1"/>
  <c r="F313" i="2"/>
  <c r="C313" i="2"/>
  <c r="AC312" i="2"/>
  <c r="AD312" i="2" s="1"/>
  <c r="AA312" i="2"/>
  <c r="X312" i="2"/>
  <c r="W312" i="2"/>
  <c r="U312" i="2"/>
  <c r="R312" i="2"/>
  <c r="O312" i="2"/>
  <c r="N312" i="2"/>
  <c r="L312" i="2"/>
  <c r="H312" i="2"/>
  <c r="I312" i="2" s="1"/>
  <c r="F312" i="2"/>
  <c r="C312" i="2"/>
  <c r="AC311" i="2"/>
  <c r="AD311" i="2" s="1"/>
  <c r="AA311" i="2"/>
  <c r="X311" i="2"/>
  <c r="W311" i="2"/>
  <c r="U311" i="2"/>
  <c r="R311" i="2"/>
  <c r="O311" i="2"/>
  <c r="N311" i="2"/>
  <c r="L311" i="2"/>
  <c r="H311" i="2"/>
  <c r="I311" i="2" s="1"/>
  <c r="F311" i="2"/>
  <c r="C311" i="2"/>
  <c r="AC310" i="2"/>
  <c r="AD310" i="2" s="1"/>
  <c r="AA310" i="2"/>
  <c r="X310" i="2"/>
  <c r="W310" i="2"/>
  <c r="U310" i="2"/>
  <c r="R310" i="2"/>
  <c r="O310" i="2"/>
  <c r="N310" i="2"/>
  <c r="L310" i="2"/>
  <c r="H310" i="2"/>
  <c r="I310" i="2" s="1"/>
  <c r="F310" i="2"/>
  <c r="C310" i="2"/>
  <c r="AC309" i="2"/>
  <c r="AD309" i="2" s="1"/>
  <c r="AA309" i="2"/>
  <c r="W309" i="2"/>
  <c r="X309" i="2" s="1"/>
  <c r="U309" i="2"/>
  <c r="R309" i="2"/>
  <c r="O309" i="2"/>
  <c r="N309" i="2"/>
  <c r="L309" i="2"/>
  <c r="H309" i="2"/>
  <c r="I309" i="2" s="1"/>
  <c r="F309" i="2"/>
  <c r="C309" i="2"/>
  <c r="AC308" i="2"/>
  <c r="AD308" i="2" s="1"/>
  <c r="AA308" i="2"/>
  <c r="X308" i="2"/>
  <c r="W308" i="2"/>
  <c r="U308" i="2"/>
  <c r="R308" i="2"/>
  <c r="O308" i="2"/>
  <c r="N308" i="2"/>
  <c r="L308" i="2"/>
  <c r="H308" i="2"/>
  <c r="I308" i="2" s="1"/>
  <c r="F308" i="2"/>
  <c r="C308" i="2"/>
  <c r="AC307" i="2"/>
  <c r="AD307" i="2" s="1"/>
  <c r="AA307" i="2"/>
  <c r="X307" i="2"/>
  <c r="W307" i="2"/>
  <c r="U307" i="2"/>
  <c r="R307" i="2"/>
  <c r="N307" i="2"/>
  <c r="O307" i="2" s="1"/>
  <c r="L307" i="2"/>
  <c r="H307" i="2"/>
  <c r="I307" i="2" s="1"/>
  <c r="F307" i="2"/>
  <c r="C307" i="2"/>
  <c r="AC306" i="2"/>
  <c r="AD306" i="2" s="1"/>
  <c r="AA306" i="2"/>
  <c r="X306" i="2"/>
  <c r="W306" i="2"/>
  <c r="U306" i="2"/>
  <c r="R306" i="2"/>
  <c r="O306" i="2"/>
  <c r="N306" i="2"/>
  <c r="L306" i="2"/>
  <c r="H306" i="2"/>
  <c r="I306" i="2" s="1"/>
  <c r="F306" i="2"/>
  <c r="C306" i="2"/>
  <c r="AC305" i="2"/>
  <c r="AD305" i="2" s="1"/>
  <c r="AA305" i="2"/>
  <c r="W305" i="2"/>
  <c r="X305" i="2" s="1"/>
  <c r="U305" i="2"/>
  <c r="R305" i="2"/>
  <c r="O305" i="2"/>
  <c r="N305" i="2"/>
  <c r="L305" i="2"/>
  <c r="H305" i="2"/>
  <c r="I305" i="2" s="1"/>
  <c r="F305" i="2"/>
  <c r="C305" i="2"/>
  <c r="AC304" i="2"/>
  <c r="AD304" i="2" s="1"/>
  <c r="AA304" i="2"/>
  <c r="X304" i="2"/>
  <c r="W304" i="2"/>
  <c r="U304" i="2"/>
  <c r="R304" i="2"/>
  <c r="O304" i="2"/>
  <c r="N304" i="2"/>
  <c r="L304" i="2"/>
  <c r="H304" i="2"/>
  <c r="I304" i="2" s="1"/>
  <c r="F304" i="2"/>
  <c r="C304" i="2"/>
  <c r="AC303" i="2"/>
  <c r="AD303" i="2" s="1"/>
  <c r="AA303" i="2"/>
  <c r="X303" i="2"/>
  <c r="W303" i="2"/>
  <c r="U303" i="2"/>
  <c r="R303" i="2"/>
  <c r="N303" i="2"/>
  <c r="O303" i="2" s="1"/>
  <c r="L303" i="2"/>
  <c r="H303" i="2"/>
  <c r="I303" i="2" s="1"/>
  <c r="F303" i="2"/>
  <c r="C303" i="2"/>
  <c r="AC302" i="2"/>
  <c r="AD302" i="2" s="1"/>
  <c r="AA302" i="2"/>
  <c r="X302" i="2"/>
  <c r="W302" i="2"/>
  <c r="U302" i="2"/>
  <c r="R302" i="2"/>
  <c r="O302" i="2"/>
  <c r="N302" i="2"/>
  <c r="L302" i="2"/>
  <c r="H302" i="2"/>
  <c r="I302" i="2" s="1"/>
  <c r="F302" i="2"/>
  <c r="C302" i="2"/>
  <c r="AC301" i="2"/>
  <c r="AD301" i="2" s="1"/>
  <c r="AA301" i="2"/>
  <c r="W301" i="2"/>
  <c r="X301" i="2" s="1"/>
  <c r="U301" i="2"/>
  <c r="R301" i="2"/>
  <c r="O301" i="2"/>
  <c r="N301" i="2"/>
  <c r="L301" i="2"/>
  <c r="H301" i="2"/>
  <c r="I301" i="2" s="1"/>
  <c r="F301" i="2"/>
  <c r="C301" i="2"/>
  <c r="AC300" i="2"/>
  <c r="AD300" i="2" s="1"/>
  <c r="AA300" i="2"/>
  <c r="X300" i="2"/>
  <c r="W300" i="2"/>
  <c r="U300" i="2"/>
  <c r="R300" i="2"/>
  <c r="O300" i="2"/>
  <c r="N300" i="2"/>
  <c r="L300" i="2"/>
  <c r="H300" i="2"/>
  <c r="I300" i="2" s="1"/>
  <c r="F300" i="2"/>
  <c r="C300" i="2"/>
  <c r="AC299" i="2"/>
  <c r="AD299" i="2" s="1"/>
  <c r="AA299" i="2"/>
  <c r="X299" i="2"/>
  <c r="W299" i="2"/>
  <c r="U299" i="2"/>
  <c r="R299" i="2"/>
  <c r="O299" i="2"/>
  <c r="N299" i="2"/>
  <c r="L299" i="2"/>
  <c r="H299" i="2"/>
  <c r="I299" i="2" s="1"/>
  <c r="F299" i="2"/>
  <c r="C299" i="2"/>
  <c r="AC298" i="2"/>
  <c r="AD298" i="2" s="1"/>
  <c r="AA298" i="2"/>
  <c r="X298" i="2"/>
  <c r="W298" i="2"/>
  <c r="U298" i="2"/>
  <c r="R298" i="2"/>
  <c r="O298" i="2"/>
  <c r="N298" i="2"/>
  <c r="L298" i="2"/>
  <c r="H298" i="2"/>
  <c r="I298" i="2" s="1"/>
  <c r="F298" i="2"/>
  <c r="C298" i="2"/>
  <c r="AC297" i="2"/>
  <c r="AD297" i="2" s="1"/>
  <c r="AA297" i="2"/>
  <c r="W297" i="2"/>
  <c r="X297" i="2" s="1"/>
  <c r="U297" i="2"/>
  <c r="R297" i="2"/>
  <c r="O297" i="2"/>
  <c r="N297" i="2"/>
  <c r="L297" i="2"/>
  <c r="H297" i="2"/>
  <c r="I297" i="2" s="1"/>
  <c r="F297" i="2"/>
  <c r="C297" i="2"/>
  <c r="AC295" i="2"/>
  <c r="AD295" i="2" s="1"/>
  <c r="Z295" i="2"/>
  <c r="AA295" i="2" s="1"/>
  <c r="U295" i="2"/>
  <c r="T295" i="2"/>
  <c r="Q295" i="2"/>
  <c r="R295" i="2" s="1"/>
  <c r="K295" i="2"/>
  <c r="L295" i="2" s="1"/>
  <c r="E295" i="2"/>
  <c r="F295" i="2" s="1"/>
  <c r="B295" i="2"/>
  <c r="C295" i="2" s="1"/>
  <c r="AC294" i="2"/>
  <c r="AD294" i="2" s="1"/>
  <c r="AA294" i="2"/>
  <c r="X294" i="2"/>
  <c r="W294" i="2"/>
  <c r="U294" i="2"/>
  <c r="R294" i="2"/>
  <c r="O294" i="2"/>
  <c r="N294" i="2"/>
  <c r="L294" i="2"/>
  <c r="H294" i="2"/>
  <c r="I294" i="2" s="1"/>
  <c r="F294" i="2"/>
  <c r="C294" i="2"/>
  <c r="AC293" i="2"/>
  <c r="AD293" i="2" s="1"/>
  <c r="AA293" i="2"/>
  <c r="W293" i="2"/>
  <c r="X293" i="2" s="1"/>
  <c r="U293" i="2"/>
  <c r="R293" i="2"/>
  <c r="O293" i="2"/>
  <c r="N293" i="2"/>
  <c r="L293" i="2"/>
  <c r="H293" i="2"/>
  <c r="I293" i="2" s="1"/>
  <c r="F293" i="2"/>
  <c r="C293" i="2"/>
  <c r="AC292" i="2"/>
  <c r="AD292" i="2" s="1"/>
  <c r="AA292" i="2"/>
  <c r="X292" i="2"/>
  <c r="W292" i="2"/>
  <c r="U292" i="2"/>
  <c r="R292" i="2"/>
  <c r="O292" i="2"/>
  <c r="N292" i="2"/>
  <c r="L292" i="2"/>
  <c r="H292" i="2"/>
  <c r="I292" i="2" s="1"/>
  <c r="F292" i="2"/>
  <c r="C292" i="2"/>
  <c r="AC291" i="2"/>
  <c r="AD291" i="2" s="1"/>
  <c r="AA291" i="2"/>
  <c r="X291" i="2"/>
  <c r="W291" i="2"/>
  <c r="U291" i="2"/>
  <c r="R291" i="2"/>
  <c r="O291" i="2"/>
  <c r="N291" i="2"/>
  <c r="L291" i="2"/>
  <c r="H291" i="2"/>
  <c r="I291" i="2" s="1"/>
  <c r="F291" i="2"/>
  <c r="C291" i="2"/>
  <c r="AC290" i="2"/>
  <c r="AD290" i="2" s="1"/>
  <c r="AA290" i="2"/>
  <c r="X290" i="2"/>
  <c r="W290" i="2"/>
  <c r="U290" i="2"/>
  <c r="R290" i="2"/>
  <c r="O290" i="2"/>
  <c r="N290" i="2"/>
  <c r="L290" i="2"/>
  <c r="H290" i="2"/>
  <c r="I290" i="2" s="1"/>
  <c r="F290" i="2"/>
  <c r="C290" i="2"/>
  <c r="AC289" i="2"/>
  <c r="AD289" i="2" s="1"/>
  <c r="AA289" i="2"/>
  <c r="W289" i="2"/>
  <c r="X289" i="2" s="1"/>
  <c r="U289" i="2"/>
  <c r="R289" i="2"/>
  <c r="O289" i="2"/>
  <c r="N289" i="2"/>
  <c r="L289" i="2"/>
  <c r="H289" i="2"/>
  <c r="I289" i="2" s="1"/>
  <c r="F289" i="2"/>
  <c r="C289" i="2"/>
  <c r="AC288" i="2"/>
  <c r="AD288" i="2" s="1"/>
  <c r="AA288" i="2"/>
  <c r="X288" i="2"/>
  <c r="W288" i="2"/>
  <c r="U288" i="2"/>
  <c r="R288" i="2"/>
  <c r="O288" i="2"/>
  <c r="N288" i="2"/>
  <c r="L288" i="2"/>
  <c r="H288" i="2"/>
  <c r="I288" i="2" s="1"/>
  <c r="F288" i="2"/>
  <c r="C288" i="2"/>
  <c r="AC287" i="2"/>
  <c r="AD287" i="2" s="1"/>
  <c r="AA287" i="2"/>
  <c r="X287" i="2"/>
  <c r="W287" i="2"/>
  <c r="U287" i="2"/>
  <c r="R287" i="2"/>
  <c r="O287" i="2"/>
  <c r="N287" i="2"/>
  <c r="L287" i="2"/>
  <c r="H287" i="2"/>
  <c r="I287" i="2" s="1"/>
  <c r="F287" i="2"/>
  <c r="C287" i="2"/>
  <c r="AC286" i="2"/>
  <c r="AD286" i="2" s="1"/>
  <c r="AA286" i="2"/>
  <c r="X286" i="2"/>
  <c r="W286" i="2"/>
  <c r="U286" i="2"/>
  <c r="R286" i="2"/>
  <c r="O286" i="2"/>
  <c r="N286" i="2"/>
  <c r="L286" i="2"/>
  <c r="H286" i="2"/>
  <c r="I286" i="2" s="1"/>
  <c r="F286" i="2"/>
  <c r="C286" i="2"/>
  <c r="Z284" i="2"/>
  <c r="AA284" i="2" s="1"/>
  <c r="T284" i="2"/>
  <c r="U284" i="2" s="1"/>
  <c r="Q284" i="2"/>
  <c r="R284" i="2" s="1"/>
  <c r="K284" i="2"/>
  <c r="E284" i="2"/>
  <c r="F284" i="2" s="1"/>
  <c r="B284" i="2"/>
  <c r="C284" i="2" s="1"/>
  <c r="AD283" i="2"/>
  <c r="AC283" i="2"/>
  <c r="AA283" i="2"/>
  <c r="X283" i="2"/>
  <c r="W283" i="2"/>
  <c r="U283" i="2"/>
  <c r="R283" i="2"/>
  <c r="N283" i="2"/>
  <c r="O283" i="2" s="1"/>
  <c r="L283" i="2"/>
  <c r="H283" i="2"/>
  <c r="I283" i="2" s="1"/>
  <c r="F283" i="2"/>
  <c r="C283" i="2"/>
  <c r="AC282" i="2"/>
  <c r="AD282" i="2" s="1"/>
  <c r="AA282" i="2"/>
  <c r="X282" i="2"/>
  <c r="W282" i="2"/>
  <c r="U282" i="2"/>
  <c r="R282" i="2"/>
  <c r="O282" i="2"/>
  <c r="N282" i="2"/>
  <c r="L282" i="2"/>
  <c r="I282" i="2"/>
  <c r="H282" i="2"/>
  <c r="F282" i="2"/>
  <c r="C282" i="2"/>
  <c r="AC281" i="2"/>
  <c r="AD281" i="2" s="1"/>
  <c r="AA281" i="2"/>
  <c r="X281" i="2"/>
  <c r="W281" i="2"/>
  <c r="U281" i="2"/>
  <c r="R281" i="2"/>
  <c r="O281" i="2"/>
  <c r="N281" i="2"/>
  <c r="L281" i="2"/>
  <c r="H281" i="2"/>
  <c r="I281" i="2" s="1"/>
  <c r="F281" i="2"/>
  <c r="C281" i="2"/>
  <c r="AC280" i="2"/>
  <c r="AD280" i="2" s="1"/>
  <c r="AA280" i="2"/>
  <c r="X280" i="2"/>
  <c r="W280" i="2"/>
  <c r="U280" i="2"/>
  <c r="R280" i="2"/>
  <c r="O280" i="2"/>
  <c r="N280" i="2"/>
  <c r="L280" i="2"/>
  <c r="H280" i="2"/>
  <c r="I280" i="2" s="1"/>
  <c r="F280" i="2"/>
  <c r="C280" i="2"/>
  <c r="AD279" i="2"/>
  <c r="AC279" i="2"/>
  <c r="AA279" i="2"/>
  <c r="X279" i="2"/>
  <c r="W279" i="2"/>
  <c r="U279" i="2"/>
  <c r="R279" i="2"/>
  <c r="N279" i="2"/>
  <c r="O279" i="2" s="1"/>
  <c r="L279" i="2"/>
  <c r="H279" i="2"/>
  <c r="I279" i="2" s="1"/>
  <c r="F279" i="2"/>
  <c r="C279" i="2"/>
  <c r="AC278" i="2"/>
  <c r="AD278" i="2" s="1"/>
  <c r="AA278" i="2"/>
  <c r="X278" i="2"/>
  <c r="W278" i="2"/>
  <c r="U278" i="2"/>
  <c r="R278" i="2"/>
  <c r="O278" i="2"/>
  <c r="N278" i="2"/>
  <c r="L278" i="2"/>
  <c r="H278" i="2"/>
  <c r="I278" i="2" s="1"/>
  <c r="F278" i="2"/>
  <c r="C278" i="2"/>
  <c r="AC277" i="2"/>
  <c r="AD277" i="2" s="1"/>
  <c r="AA277" i="2"/>
  <c r="W277" i="2"/>
  <c r="X277" i="2" s="1"/>
  <c r="U277" i="2"/>
  <c r="R277" i="2"/>
  <c r="O277" i="2"/>
  <c r="N277" i="2"/>
  <c r="L277" i="2"/>
  <c r="H277" i="2"/>
  <c r="I277" i="2" s="1"/>
  <c r="F277" i="2"/>
  <c r="C277" i="2"/>
  <c r="AC276" i="2"/>
  <c r="AD276" i="2" s="1"/>
  <c r="AA276" i="2"/>
  <c r="X276" i="2"/>
  <c r="W276" i="2"/>
  <c r="U276" i="2"/>
  <c r="R276" i="2"/>
  <c r="O276" i="2"/>
  <c r="N276" i="2"/>
  <c r="L276" i="2"/>
  <c r="H276" i="2"/>
  <c r="I276" i="2" s="1"/>
  <c r="F276" i="2"/>
  <c r="C276" i="2"/>
  <c r="AD275" i="2"/>
  <c r="AC275" i="2"/>
  <c r="AA275" i="2"/>
  <c r="X275" i="2"/>
  <c r="W275" i="2"/>
  <c r="U275" i="2"/>
  <c r="R275" i="2"/>
  <c r="N275" i="2"/>
  <c r="O275" i="2" s="1"/>
  <c r="L275" i="2"/>
  <c r="H275" i="2"/>
  <c r="I275" i="2" s="1"/>
  <c r="F275" i="2"/>
  <c r="C275" i="2"/>
  <c r="AC273" i="2"/>
  <c r="AD273" i="2" s="1"/>
  <c r="AA273" i="2"/>
  <c r="Z273" i="2"/>
  <c r="W273" i="2"/>
  <c r="X273" i="2" s="1"/>
  <c r="T273" i="2"/>
  <c r="U273" i="2" s="1"/>
  <c r="Q273" i="2"/>
  <c r="R273" i="2" s="1"/>
  <c r="K273" i="2"/>
  <c r="L273" i="2" s="1"/>
  <c r="E273" i="2"/>
  <c r="F273" i="2" s="1"/>
  <c r="B273" i="2"/>
  <c r="AC272" i="2"/>
  <c r="AD272" i="2" s="1"/>
  <c r="AA272" i="2"/>
  <c r="X272" i="2"/>
  <c r="W272" i="2"/>
  <c r="U272" i="2"/>
  <c r="R272" i="2"/>
  <c r="O272" i="2"/>
  <c r="N272" i="2"/>
  <c r="L272" i="2"/>
  <c r="H272" i="2"/>
  <c r="I272" i="2" s="1"/>
  <c r="F272" i="2"/>
  <c r="C272" i="2"/>
  <c r="AD271" i="2"/>
  <c r="AC271" i="2"/>
  <c r="AA271" i="2"/>
  <c r="X271" i="2"/>
  <c r="W271" i="2"/>
  <c r="U271" i="2"/>
  <c r="R271" i="2"/>
  <c r="N271" i="2"/>
  <c r="O271" i="2" s="1"/>
  <c r="L271" i="2"/>
  <c r="H271" i="2"/>
  <c r="I271" i="2" s="1"/>
  <c r="F271" i="2"/>
  <c r="C271" i="2"/>
  <c r="AC270" i="2"/>
  <c r="AD270" i="2" s="1"/>
  <c r="AA270" i="2"/>
  <c r="X270" i="2"/>
  <c r="W270" i="2"/>
  <c r="U270" i="2"/>
  <c r="R270" i="2"/>
  <c r="O270" i="2"/>
  <c r="N270" i="2"/>
  <c r="L270" i="2"/>
  <c r="H270" i="2"/>
  <c r="I270" i="2" s="1"/>
  <c r="F270" i="2"/>
  <c r="C270" i="2"/>
  <c r="AC269" i="2"/>
  <c r="AD269" i="2" s="1"/>
  <c r="AA269" i="2"/>
  <c r="W269" i="2"/>
  <c r="X269" i="2" s="1"/>
  <c r="U269" i="2"/>
  <c r="R269" i="2"/>
  <c r="O269" i="2"/>
  <c r="N269" i="2"/>
  <c r="L269" i="2"/>
  <c r="H269" i="2"/>
  <c r="I269" i="2" s="1"/>
  <c r="F269" i="2"/>
  <c r="C269" i="2"/>
  <c r="Z267" i="2"/>
  <c r="AA267" i="2" s="1"/>
  <c r="U267" i="2"/>
  <c r="T267" i="2"/>
  <c r="Q267" i="2"/>
  <c r="K267" i="2"/>
  <c r="L267" i="2" s="1"/>
  <c r="E267" i="2"/>
  <c r="F267" i="2" s="1"/>
  <c r="B267" i="2"/>
  <c r="C267" i="2" s="1"/>
  <c r="AC266" i="2"/>
  <c r="AD266" i="2" s="1"/>
  <c r="AA266" i="2"/>
  <c r="X266" i="2"/>
  <c r="W266" i="2"/>
  <c r="U266" i="2"/>
  <c r="R266" i="2"/>
  <c r="O266" i="2"/>
  <c r="N266" i="2"/>
  <c r="L266" i="2"/>
  <c r="H266" i="2"/>
  <c r="I266" i="2" s="1"/>
  <c r="F266" i="2"/>
  <c r="C266" i="2"/>
  <c r="AC265" i="2"/>
  <c r="AD265" i="2" s="1"/>
  <c r="AA265" i="2"/>
  <c r="W265" i="2"/>
  <c r="X265" i="2" s="1"/>
  <c r="U265" i="2"/>
  <c r="R265" i="2"/>
  <c r="O265" i="2"/>
  <c r="N265" i="2"/>
  <c r="L265" i="2"/>
  <c r="H265" i="2"/>
  <c r="I265" i="2" s="1"/>
  <c r="F265" i="2"/>
  <c r="C265" i="2"/>
  <c r="Z263" i="2"/>
  <c r="AA263" i="2" s="1"/>
  <c r="U263" i="2"/>
  <c r="T263" i="2"/>
  <c r="Q263" i="2"/>
  <c r="R263" i="2" s="1"/>
  <c r="K263" i="2"/>
  <c r="L263" i="2" s="1"/>
  <c r="E263" i="2"/>
  <c r="B263" i="2"/>
  <c r="C263" i="2" s="1"/>
  <c r="Z262" i="2"/>
  <c r="AC262" i="2" s="1"/>
  <c r="AD262" i="2" s="1"/>
  <c r="W262" i="2"/>
  <c r="X262" i="2" s="1"/>
  <c r="T262" i="2"/>
  <c r="U262" i="2" s="1"/>
  <c r="Q262" i="2"/>
  <c r="R262" i="2" s="1"/>
  <c r="K262" i="2"/>
  <c r="L262" i="2" s="1"/>
  <c r="E262" i="2"/>
  <c r="F262" i="2" s="1"/>
  <c r="B262" i="2"/>
  <c r="AC261" i="2"/>
  <c r="AD261" i="2" s="1"/>
  <c r="AA261" i="2"/>
  <c r="X261" i="2"/>
  <c r="W261" i="2"/>
  <c r="U261" i="2"/>
  <c r="R261" i="2"/>
  <c r="O261" i="2"/>
  <c r="N261" i="2"/>
  <c r="L261" i="2"/>
  <c r="H261" i="2"/>
  <c r="I261" i="2" s="1"/>
  <c r="F261" i="2"/>
  <c r="C261" i="2"/>
  <c r="AC260" i="2"/>
  <c r="AD260" i="2" s="1"/>
  <c r="AA260" i="2"/>
  <c r="X260" i="2"/>
  <c r="W260" i="2"/>
  <c r="U260" i="2"/>
  <c r="R260" i="2"/>
  <c r="N260" i="2"/>
  <c r="O260" i="2" s="1"/>
  <c r="L260" i="2"/>
  <c r="H260" i="2"/>
  <c r="I260" i="2" s="1"/>
  <c r="F260" i="2"/>
  <c r="C260" i="2"/>
  <c r="AC259" i="2"/>
  <c r="AD259" i="2" s="1"/>
  <c r="AA259" i="2"/>
  <c r="X259" i="2"/>
  <c r="W259" i="2"/>
  <c r="U259" i="2"/>
  <c r="R259" i="2"/>
  <c r="O259" i="2"/>
  <c r="N259" i="2"/>
  <c r="L259" i="2"/>
  <c r="I259" i="2"/>
  <c r="H259" i="2"/>
  <c r="F259" i="2"/>
  <c r="C259" i="2"/>
  <c r="AC258" i="2"/>
  <c r="AD258" i="2" s="1"/>
  <c r="AA258" i="2"/>
  <c r="X258" i="2"/>
  <c r="W258" i="2"/>
  <c r="U258" i="2"/>
  <c r="R258" i="2"/>
  <c r="O258" i="2"/>
  <c r="N258" i="2"/>
  <c r="L258" i="2"/>
  <c r="H258" i="2"/>
  <c r="I258" i="2" s="1"/>
  <c r="F258" i="2"/>
  <c r="C258" i="2"/>
  <c r="AC257" i="2"/>
  <c r="AD257" i="2" s="1"/>
  <c r="AA257" i="2"/>
  <c r="X257" i="2"/>
  <c r="W257" i="2"/>
  <c r="U257" i="2"/>
  <c r="R257" i="2"/>
  <c r="O257" i="2"/>
  <c r="N257" i="2"/>
  <c r="L257" i="2"/>
  <c r="H257" i="2"/>
  <c r="I257" i="2" s="1"/>
  <c r="F257" i="2"/>
  <c r="C257" i="2"/>
  <c r="AC256" i="2"/>
  <c r="AD256" i="2" s="1"/>
  <c r="AA256" i="2"/>
  <c r="X256" i="2"/>
  <c r="W256" i="2"/>
  <c r="U256" i="2"/>
  <c r="R256" i="2"/>
  <c r="N256" i="2"/>
  <c r="O256" i="2" s="1"/>
  <c r="L256" i="2"/>
  <c r="H256" i="2"/>
  <c r="I256" i="2" s="1"/>
  <c r="F256" i="2"/>
  <c r="C256" i="2"/>
  <c r="AC255" i="2"/>
  <c r="AD255" i="2" s="1"/>
  <c r="AA255" i="2"/>
  <c r="X255" i="2"/>
  <c r="W255" i="2"/>
  <c r="U255" i="2"/>
  <c r="R255" i="2"/>
  <c r="O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O254" i="2"/>
  <c r="N254" i="2"/>
  <c r="L254" i="2"/>
  <c r="H254" i="2"/>
  <c r="I254" i="2" s="1"/>
  <c r="F254" i="2"/>
  <c r="C254" i="2"/>
  <c r="AC253" i="2"/>
  <c r="AD253" i="2" s="1"/>
  <c r="AA253" i="2"/>
  <c r="X253" i="2"/>
  <c r="W253" i="2"/>
  <c r="U253" i="2"/>
  <c r="R253" i="2"/>
  <c r="O253" i="2"/>
  <c r="N253" i="2"/>
  <c r="L253" i="2"/>
  <c r="H253" i="2"/>
  <c r="I253" i="2" s="1"/>
  <c r="F253" i="2"/>
  <c r="C253" i="2"/>
  <c r="AD252" i="2"/>
  <c r="AC252" i="2"/>
  <c r="AA252" i="2"/>
  <c r="X252" i="2"/>
  <c r="W252" i="2"/>
  <c r="U252" i="2"/>
  <c r="R252" i="2"/>
  <c r="N252" i="2"/>
  <c r="O252" i="2" s="1"/>
  <c r="L252" i="2"/>
  <c r="H252" i="2"/>
  <c r="I252" i="2" s="1"/>
  <c r="F252" i="2"/>
  <c r="C252" i="2"/>
  <c r="AC251" i="2"/>
  <c r="AD251" i="2" s="1"/>
  <c r="AA251" i="2"/>
  <c r="X251" i="2"/>
  <c r="W251" i="2"/>
  <c r="U251" i="2"/>
  <c r="R251" i="2"/>
  <c r="O251" i="2"/>
  <c r="N251" i="2"/>
  <c r="L251" i="2"/>
  <c r="H251" i="2"/>
  <c r="I251" i="2" s="1"/>
  <c r="F251" i="2"/>
  <c r="C251" i="2"/>
  <c r="AC250" i="2"/>
  <c r="AD250" i="2" s="1"/>
  <c r="AA250" i="2"/>
  <c r="W250" i="2"/>
  <c r="X250" i="2" s="1"/>
  <c r="U250" i="2"/>
  <c r="R250" i="2"/>
  <c r="O250" i="2"/>
  <c r="N250" i="2"/>
  <c r="L250" i="2"/>
  <c r="H250" i="2"/>
  <c r="I250" i="2" s="1"/>
  <c r="F250" i="2"/>
  <c r="C250" i="2"/>
  <c r="AC249" i="2"/>
  <c r="AD249" i="2" s="1"/>
  <c r="AA249" i="2"/>
  <c r="X249" i="2"/>
  <c r="W249" i="2"/>
  <c r="U249" i="2"/>
  <c r="R249" i="2"/>
  <c r="O249" i="2"/>
  <c r="N249" i="2"/>
  <c r="L249" i="2"/>
  <c r="H249" i="2"/>
  <c r="I249" i="2" s="1"/>
  <c r="F249" i="2"/>
  <c r="C249" i="2"/>
  <c r="AD248" i="2"/>
  <c r="AC248" i="2"/>
  <c r="AA248" i="2"/>
  <c r="X248" i="2"/>
  <c r="W248" i="2"/>
  <c r="U248" i="2"/>
  <c r="R248" i="2"/>
  <c r="N248" i="2"/>
  <c r="O248" i="2" s="1"/>
  <c r="L248" i="2"/>
  <c r="H248" i="2"/>
  <c r="I248" i="2" s="1"/>
  <c r="F248" i="2"/>
  <c r="C248" i="2"/>
  <c r="AC247" i="2"/>
  <c r="AD247" i="2" s="1"/>
  <c r="AA247" i="2"/>
  <c r="X247" i="2"/>
  <c r="W247" i="2"/>
  <c r="U247" i="2"/>
  <c r="R247" i="2"/>
  <c r="O247" i="2"/>
  <c r="N247" i="2"/>
  <c r="L247" i="2"/>
  <c r="I247" i="2"/>
  <c r="H247" i="2"/>
  <c r="F247" i="2"/>
  <c r="C247" i="2"/>
  <c r="AC246" i="2"/>
  <c r="AD246" i="2" s="1"/>
  <c r="AA246" i="2"/>
  <c r="X246" i="2"/>
  <c r="W246" i="2"/>
  <c r="U246" i="2"/>
  <c r="R246" i="2"/>
  <c r="O246" i="2"/>
  <c r="N246" i="2"/>
  <c r="L246" i="2"/>
  <c r="H246" i="2"/>
  <c r="I246" i="2" s="1"/>
  <c r="F246" i="2"/>
  <c r="C246" i="2"/>
  <c r="AC245" i="2"/>
  <c r="AD245" i="2" s="1"/>
  <c r="AA245" i="2"/>
  <c r="X245" i="2"/>
  <c r="W245" i="2"/>
  <c r="U245" i="2"/>
  <c r="R245" i="2"/>
  <c r="O245" i="2"/>
  <c r="N245" i="2"/>
  <c r="L245" i="2"/>
  <c r="H245" i="2"/>
  <c r="I245" i="2" s="1"/>
  <c r="F245" i="2"/>
  <c r="C245" i="2"/>
  <c r="AC244" i="2"/>
  <c r="AD244" i="2" s="1"/>
  <c r="AA244" i="2"/>
  <c r="X244" i="2"/>
  <c r="W244" i="2"/>
  <c r="U244" i="2"/>
  <c r="R244" i="2"/>
  <c r="N244" i="2"/>
  <c r="O244" i="2" s="1"/>
  <c r="L244" i="2"/>
  <c r="H244" i="2"/>
  <c r="I244" i="2" s="1"/>
  <c r="F244" i="2"/>
  <c r="C244" i="2"/>
  <c r="AC243" i="2"/>
  <c r="AD243" i="2" s="1"/>
  <c r="AA243" i="2"/>
  <c r="X243" i="2"/>
  <c r="W243" i="2"/>
  <c r="U243" i="2"/>
  <c r="R243" i="2"/>
  <c r="O243" i="2"/>
  <c r="N243" i="2"/>
  <c r="L243" i="2"/>
  <c r="I243" i="2"/>
  <c r="H243" i="2"/>
  <c r="F243" i="2"/>
  <c r="C243" i="2"/>
  <c r="AC242" i="2"/>
  <c r="AD242" i="2" s="1"/>
  <c r="AA242" i="2"/>
  <c r="X242" i="2"/>
  <c r="W242" i="2"/>
  <c r="U242" i="2"/>
  <c r="R242" i="2"/>
  <c r="O242" i="2"/>
  <c r="N242" i="2"/>
  <c r="L242" i="2"/>
  <c r="H242" i="2"/>
  <c r="I242" i="2" s="1"/>
  <c r="F242" i="2"/>
  <c r="C242" i="2"/>
  <c r="AC241" i="2"/>
  <c r="AD241" i="2" s="1"/>
  <c r="AA241" i="2"/>
  <c r="X241" i="2"/>
  <c r="W241" i="2"/>
  <c r="U241" i="2"/>
  <c r="R241" i="2"/>
  <c r="O241" i="2"/>
  <c r="N241" i="2"/>
  <c r="L241" i="2"/>
  <c r="H241" i="2"/>
  <c r="I241" i="2" s="1"/>
  <c r="F241" i="2"/>
  <c r="C241" i="2"/>
  <c r="AD240" i="2"/>
  <c r="AC240" i="2"/>
  <c r="AA240" i="2"/>
  <c r="X240" i="2"/>
  <c r="W240" i="2"/>
  <c r="U240" i="2"/>
  <c r="R240" i="2"/>
  <c r="N240" i="2"/>
  <c r="O240" i="2" s="1"/>
  <c r="L240" i="2"/>
  <c r="H240" i="2"/>
  <c r="I240" i="2" s="1"/>
  <c r="F240" i="2"/>
  <c r="C240" i="2"/>
  <c r="AC238" i="2"/>
  <c r="AD238" i="2" s="1"/>
  <c r="AA238" i="2"/>
  <c r="X238" i="2"/>
  <c r="W238" i="2"/>
  <c r="U238" i="2"/>
  <c r="R238" i="2"/>
  <c r="O238" i="2"/>
  <c r="N238" i="2"/>
  <c r="L238" i="2"/>
  <c r="H238" i="2"/>
  <c r="I238" i="2" s="1"/>
  <c r="F238" i="2"/>
  <c r="C238" i="2"/>
  <c r="Z236" i="2"/>
  <c r="AA236" i="2" s="1"/>
  <c r="W236" i="2"/>
  <c r="X236" i="2" s="1"/>
  <c r="T236" i="2"/>
  <c r="U236" i="2" s="1"/>
  <c r="Q236" i="2"/>
  <c r="R236" i="2" s="1"/>
  <c r="L236" i="2"/>
  <c r="K236" i="2"/>
  <c r="E236" i="2"/>
  <c r="F236" i="2" s="1"/>
  <c r="B236" i="2"/>
  <c r="AC235" i="2"/>
  <c r="AD235" i="2" s="1"/>
  <c r="AA235" i="2"/>
  <c r="X235" i="2"/>
  <c r="W235" i="2"/>
  <c r="U235" i="2"/>
  <c r="R235" i="2"/>
  <c r="O235" i="2"/>
  <c r="N235" i="2"/>
  <c r="L235" i="2"/>
  <c r="H235" i="2"/>
  <c r="I235" i="2" s="1"/>
  <c r="F235" i="2"/>
  <c r="C235" i="2"/>
  <c r="AC234" i="2"/>
  <c r="AD234" i="2" s="1"/>
  <c r="AA234" i="2"/>
  <c r="X234" i="2"/>
  <c r="W234" i="2"/>
  <c r="U234" i="2"/>
  <c r="R234" i="2"/>
  <c r="O234" i="2"/>
  <c r="N234" i="2"/>
  <c r="L234" i="2"/>
  <c r="H234" i="2"/>
  <c r="I234" i="2" s="1"/>
  <c r="F234" i="2"/>
  <c r="C234" i="2"/>
  <c r="AC233" i="2"/>
  <c r="AD233" i="2" s="1"/>
  <c r="AA233" i="2"/>
  <c r="W233" i="2"/>
  <c r="X233" i="2" s="1"/>
  <c r="U233" i="2"/>
  <c r="R233" i="2"/>
  <c r="O233" i="2"/>
  <c r="N233" i="2"/>
  <c r="L233" i="2"/>
  <c r="H233" i="2"/>
  <c r="I233" i="2" s="1"/>
  <c r="F233" i="2"/>
  <c r="C233" i="2"/>
  <c r="AC232" i="2"/>
  <c r="AD232" i="2" s="1"/>
  <c r="AA232" i="2"/>
  <c r="X232" i="2"/>
  <c r="W232" i="2"/>
  <c r="U232" i="2"/>
  <c r="R232" i="2"/>
  <c r="O232" i="2"/>
  <c r="N232" i="2"/>
  <c r="L232" i="2"/>
  <c r="H232" i="2"/>
  <c r="I232" i="2" s="1"/>
  <c r="F232" i="2"/>
  <c r="C232" i="2"/>
  <c r="AC231" i="2"/>
  <c r="AD231" i="2" s="1"/>
  <c r="AA231" i="2"/>
  <c r="X231" i="2"/>
  <c r="W231" i="2"/>
  <c r="U231" i="2"/>
  <c r="R231" i="2"/>
  <c r="N231" i="2"/>
  <c r="O231" i="2" s="1"/>
  <c r="L231" i="2"/>
  <c r="H231" i="2"/>
  <c r="I231" i="2" s="1"/>
  <c r="F231" i="2"/>
  <c r="C231" i="2"/>
  <c r="AC230" i="2"/>
  <c r="AD230" i="2" s="1"/>
  <c r="AA230" i="2"/>
  <c r="X230" i="2"/>
  <c r="W230" i="2"/>
  <c r="U230" i="2"/>
  <c r="R230" i="2"/>
  <c r="O230" i="2"/>
  <c r="N230" i="2"/>
  <c r="L230" i="2"/>
  <c r="H230" i="2"/>
  <c r="I230" i="2" s="1"/>
  <c r="F230" i="2"/>
  <c r="C230" i="2"/>
  <c r="AC229" i="2"/>
  <c r="AD229" i="2" s="1"/>
  <c r="AA229" i="2"/>
  <c r="W229" i="2"/>
  <c r="X229" i="2" s="1"/>
  <c r="U229" i="2"/>
  <c r="R229" i="2"/>
  <c r="O229" i="2"/>
  <c r="N229" i="2"/>
  <c r="L229" i="2"/>
  <c r="H229" i="2"/>
  <c r="I229" i="2" s="1"/>
  <c r="F229" i="2"/>
  <c r="C229" i="2"/>
  <c r="Z227" i="2"/>
  <c r="AA227" i="2" s="1"/>
  <c r="U227" i="2"/>
  <c r="T227" i="2"/>
  <c r="Q227" i="2"/>
  <c r="K227" i="2"/>
  <c r="L227" i="2" s="1"/>
  <c r="E227" i="2"/>
  <c r="F227" i="2" s="1"/>
  <c r="B227" i="2"/>
  <c r="C227" i="2" s="1"/>
  <c r="AC226" i="2"/>
  <c r="AD226" i="2" s="1"/>
  <c r="AA226" i="2"/>
  <c r="X226" i="2"/>
  <c r="W226" i="2"/>
  <c r="U226" i="2"/>
  <c r="R226" i="2"/>
  <c r="O226" i="2"/>
  <c r="N226" i="2"/>
  <c r="L226" i="2"/>
  <c r="I226" i="2"/>
  <c r="H226" i="2"/>
  <c r="F226" i="2"/>
  <c r="C226" i="2"/>
  <c r="AC225" i="2"/>
  <c r="AD225" i="2" s="1"/>
  <c r="AA225" i="2"/>
  <c r="W225" i="2"/>
  <c r="X225" i="2" s="1"/>
  <c r="U225" i="2"/>
  <c r="R225" i="2"/>
  <c r="O225" i="2"/>
  <c r="N225" i="2"/>
  <c r="L225" i="2"/>
  <c r="H225" i="2"/>
  <c r="I225" i="2" s="1"/>
  <c r="F225" i="2"/>
  <c r="C225" i="2"/>
  <c r="AC224" i="2"/>
  <c r="AD224" i="2" s="1"/>
  <c r="AA224" i="2"/>
  <c r="X224" i="2"/>
  <c r="W224" i="2"/>
  <c r="U224" i="2"/>
  <c r="R224" i="2"/>
  <c r="O224" i="2"/>
  <c r="N224" i="2"/>
  <c r="L224" i="2"/>
  <c r="H224" i="2"/>
  <c r="I224" i="2" s="1"/>
  <c r="F224" i="2"/>
  <c r="C224" i="2"/>
  <c r="AC223" i="2"/>
  <c r="AD223" i="2" s="1"/>
  <c r="AA223" i="2"/>
  <c r="X223" i="2"/>
  <c r="W223" i="2"/>
  <c r="U223" i="2"/>
  <c r="R223" i="2"/>
  <c r="O223" i="2"/>
  <c r="N223" i="2"/>
  <c r="L223" i="2"/>
  <c r="H223" i="2"/>
  <c r="I223" i="2" s="1"/>
  <c r="F223" i="2"/>
  <c r="C223" i="2"/>
  <c r="AC222" i="2"/>
  <c r="AD222" i="2" s="1"/>
  <c r="AA222" i="2"/>
  <c r="X222" i="2"/>
  <c r="W222" i="2"/>
  <c r="U222" i="2"/>
  <c r="R222" i="2"/>
  <c r="O222" i="2"/>
  <c r="N222" i="2"/>
  <c r="L222" i="2"/>
  <c r="H222" i="2"/>
  <c r="I222" i="2" s="1"/>
  <c r="F222" i="2"/>
  <c r="C222" i="2"/>
  <c r="AC221" i="2"/>
  <c r="AD221" i="2" s="1"/>
  <c r="AA221" i="2"/>
  <c r="W221" i="2"/>
  <c r="X221" i="2" s="1"/>
  <c r="U221" i="2"/>
  <c r="R221" i="2"/>
  <c r="O221" i="2"/>
  <c r="N221" i="2"/>
  <c r="L221" i="2"/>
  <c r="H221" i="2"/>
  <c r="I221" i="2" s="1"/>
  <c r="F221" i="2"/>
  <c r="C221" i="2"/>
  <c r="AC220" i="2"/>
  <c r="AD220" i="2" s="1"/>
  <c r="AA220" i="2"/>
  <c r="X220" i="2"/>
  <c r="W220" i="2"/>
  <c r="U220" i="2"/>
  <c r="R220" i="2"/>
  <c r="O220" i="2"/>
  <c r="N220" i="2"/>
  <c r="L220" i="2"/>
  <c r="H220" i="2"/>
  <c r="I220" i="2" s="1"/>
  <c r="F220" i="2"/>
  <c r="C220" i="2"/>
  <c r="AC219" i="2"/>
  <c r="AD219" i="2" s="1"/>
  <c r="AA219" i="2"/>
  <c r="X219" i="2"/>
  <c r="W219" i="2"/>
  <c r="U219" i="2"/>
  <c r="R219" i="2"/>
  <c r="N219" i="2"/>
  <c r="O219" i="2" s="1"/>
  <c r="L219" i="2"/>
  <c r="H219" i="2"/>
  <c r="I219" i="2" s="1"/>
  <c r="F219" i="2"/>
  <c r="C219" i="2"/>
  <c r="AC218" i="2"/>
  <c r="AD218" i="2" s="1"/>
  <c r="Z218" i="2"/>
  <c r="AA218" i="2" s="1"/>
  <c r="T218" i="2"/>
  <c r="U218" i="2" s="1"/>
  <c r="Q218" i="2"/>
  <c r="K218" i="2"/>
  <c r="E218" i="2"/>
  <c r="F218" i="2" s="1"/>
  <c r="B218" i="2"/>
  <c r="H218" i="2" s="1"/>
  <c r="I218" i="2" s="1"/>
  <c r="AC217" i="2"/>
  <c r="AD217" i="2" s="1"/>
  <c r="AA217" i="2"/>
  <c r="X217" i="2"/>
  <c r="W217" i="2"/>
  <c r="U217" i="2"/>
  <c r="R217" i="2"/>
  <c r="O217" i="2"/>
  <c r="N217" i="2"/>
  <c r="L217" i="2"/>
  <c r="H217" i="2"/>
  <c r="I217" i="2" s="1"/>
  <c r="F217" i="2"/>
  <c r="C217" i="2"/>
  <c r="AD216" i="2"/>
  <c r="AC216" i="2"/>
  <c r="AA216" i="2"/>
  <c r="X216" i="2"/>
  <c r="W216" i="2"/>
  <c r="U216" i="2"/>
  <c r="R216" i="2"/>
  <c r="N216" i="2"/>
  <c r="O216" i="2" s="1"/>
  <c r="L216" i="2"/>
  <c r="H216" i="2"/>
  <c r="I216" i="2" s="1"/>
  <c r="F216" i="2"/>
  <c r="C216" i="2"/>
  <c r="AC215" i="2"/>
  <c r="AD215" i="2" s="1"/>
  <c r="AA215" i="2"/>
  <c r="X215" i="2"/>
  <c r="W215" i="2"/>
  <c r="U215" i="2"/>
  <c r="R215" i="2"/>
  <c r="O215" i="2"/>
  <c r="N215" i="2"/>
  <c r="L215" i="2"/>
  <c r="I215" i="2"/>
  <c r="H215" i="2"/>
  <c r="F215" i="2"/>
  <c r="C215" i="2"/>
  <c r="AC214" i="2"/>
  <c r="AD214" i="2" s="1"/>
  <c r="AA214" i="2"/>
  <c r="W214" i="2"/>
  <c r="X214" i="2" s="1"/>
  <c r="U214" i="2"/>
  <c r="R214" i="2"/>
  <c r="O214" i="2"/>
  <c r="N214" i="2"/>
  <c r="L214" i="2"/>
  <c r="H214" i="2"/>
  <c r="I214" i="2" s="1"/>
  <c r="F214" i="2"/>
  <c r="C214" i="2"/>
  <c r="AC213" i="2"/>
  <c r="AD213" i="2" s="1"/>
  <c r="AA213" i="2"/>
  <c r="X213" i="2"/>
  <c r="W213" i="2"/>
  <c r="U213" i="2"/>
  <c r="R213" i="2"/>
  <c r="O213" i="2"/>
  <c r="N213" i="2"/>
  <c r="L213" i="2"/>
  <c r="H213" i="2"/>
  <c r="I213" i="2" s="1"/>
  <c r="F213" i="2"/>
  <c r="C213" i="2"/>
  <c r="AC211" i="2"/>
  <c r="AD211" i="2" s="1"/>
  <c r="AA211" i="2"/>
  <c r="X211" i="2"/>
  <c r="W211" i="2"/>
  <c r="U211" i="2"/>
  <c r="R211" i="2"/>
  <c r="N211" i="2"/>
  <c r="O211" i="2" s="1"/>
  <c r="L211" i="2"/>
  <c r="H211" i="2"/>
  <c r="I211" i="2" s="1"/>
  <c r="F211" i="2"/>
  <c r="C211" i="2"/>
  <c r="AA209" i="2"/>
  <c r="Z209" i="2"/>
  <c r="T209" i="2"/>
  <c r="U209" i="2" s="1"/>
  <c r="Q209" i="2"/>
  <c r="N209" i="2"/>
  <c r="O209" i="2" s="1"/>
  <c r="K209" i="2"/>
  <c r="L209" i="2" s="1"/>
  <c r="E209" i="2"/>
  <c r="F209" i="2" s="1"/>
  <c r="B209" i="2"/>
  <c r="AC208" i="2"/>
  <c r="AD208" i="2" s="1"/>
  <c r="AA208" i="2"/>
  <c r="X208" i="2"/>
  <c r="W208" i="2"/>
  <c r="U208" i="2"/>
  <c r="R208" i="2"/>
  <c r="O208" i="2"/>
  <c r="N208" i="2"/>
  <c r="L208" i="2"/>
  <c r="H208" i="2"/>
  <c r="I208" i="2" s="1"/>
  <c r="F208" i="2"/>
  <c r="C208" i="2"/>
  <c r="AC207" i="2"/>
  <c r="AD207" i="2" s="1"/>
  <c r="AA207" i="2"/>
  <c r="X207" i="2"/>
  <c r="W207" i="2"/>
  <c r="U207" i="2"/>
  <c r="R207" i="2"/>
  <c r="O207" i="2"/>
  <c r="N207" i="2"/>
  <c r="L207" i="2"/>
  <c r="H207" i="2"/>
  <c r="I207" i="2" s="1"/>
  <c r="F207" i="2"/>
  <c r="C207" i="2"/>
  <c r="AC206" i="2"/>
  <c r="AD206" i="2" s="1"/>
  <c r="AA206" i="2"/>
  <c r="X206" i="2"/>
  <c r="W206" i="2"/>
  <c r="U206" i="2"/>
  <c r="R206" i="2"/>
  <c r="O206" i="2"/>
  <c r="N206" i="2"/>
  <c r="L206" i="2"/>
  <c r="H206" i="2"/>
  <c r="I206" i="2" s="1"/>
  <c r="F206" i="2"/>
  <c r="C206" i="2"/>
  <c r="AC205" i="2"/>
  <c r="AD205" i="2" s="1"/>
  <c r="AA205" i="2"/>
  <c r="W205" i="2"/>
  <c r="X205" i="2" s="1"/>
  <c r="U205" i="2"/>
  <c r="R205" i="2"/>
  <c r="O205" i="2"/>
  <c r="N205" i="2"/>
  <c r="L205" i="2"/>
  <c r="H205" i="2"/>
  <c r="I205" i="2" s="1"/>
  <c r="F205" i="2"/>
  <c r="C205" i="2"/>
  <c r="AC204" i="2"/>
  <c r="AD204" i="2" s="1"/>
  <c r="AA204" i="2"/>
  <c r="X204" i="2"/>
  <c r="W204" i="2"/>
  <c r="U204" i="2"/>
  <c r="R204" i="2"/>
  <c r="O204" i="2"/>
  <c r="N204" i="2"/>
  <c r="L204" i="2"/>
  <c r="H204" i="2"/>
  <c r="I204" i="2" s="1"/>
  <c r="F204" i="2"/>
  <c r="C204" i="2"/>
  <c r="AC203" i="2"/>
  <c r="AD203" i="2" s="1"/>
  <c r="AA203" i="2"/>
  <c r="X203" i="2"/>
  <c r="W203" i="2"/>
  <c r="U203" i="2"/>
  <c r="R203" i="2"/>
  <c r="O203" i="2"/>
  <c r="N203" i="2"/>
  <c r="L203" i="2"/>
  <c r="H203" i="2"/>
  <c r="I203" i="2" s="1"/>
  <c r="F203" i="2"/>
  <c r="C203" i="2"/>
  <c r="AC202" i="2"/>
  <c r="AD202" i="2" s="1"/>
  <c r="AA202" i="2"/>
  <c r="X202" i="2"/>
  <c r="W202" i="2"/>
  <c r="U202" i="2"/>
  <c r="R202" i="2"/>
  <c r="O202" i="2"/>
  <c r="N202" i="2"/>
  <c r="L202" i="2"/>
  <c r="H202" i="2"/>
  <c r="I202" i="2" s="1"/>
  <c r="F202" i="2"/>
  <c r="C202" i="2"/>
  <c r="AC201" i="2"/>
  <c r="AD201" i="2" s="1"/>
  <c r="AA201" i="2"/>
  <c r="W201" i="2"/>
  <c r="X201" i="2" s="1"/>
  <c r="U201" i="2"/>
  <c r="R201" i="2"/>
  <c r="O201" i="2"/>
  <c r="N201" i="2"/>
  <c r="L201" i="2"/>
  <c r="H201" i="2"/>
  <c r="I201" i="2" s="1"/>
  <c r="F201" i="2"/>
  <c r="C201" i="2"/>
  <c r="Z197" i="2"/>
  <c r="AA197" i="2" s="1"/>
  <c r="T197" i="2"/>
  <c r="U197" i="2" s="1"/>
  <c r="Q197" i="2"/>
  <c r="AC197" i="2" s="1"/>
  <c r="AD197" i="2" s="1"/>
  <c r="K197" i="2"/>
  <c r="L197" i="2" s="1"/>
  <c r="E197" i="2"/>
  <c r="F197" i="2" s="1"/>
  <c r="B197" i="2"/>
  <c r="H197" i="2" s="1"/>
  <c r="I197" i="2" s="1"/>
  <c r="AC196" i="2"/>
  <c r="AD196" i="2" s="1"/>
  <c r="Z196" i="2"/>
  <c r="AA196" i="2" s="1"/>
  <c r="T196" i="2"/>
  <c r="U196" i="2" s="1"/>
  <c r="Q196" i="2"/>
  <c r="R196" i="2" s="1"/>
  <c r="K196" i="2"/>
  <c r="L196" i="2" s="1"/>
  <c r="E196" i="2"/>
  <c r="F196" i="2" s="1"/>
  <c r="B196" i="2"/>
  <c r="C196" i="2" s="1"/>
  <c r="AC195" i="2"/>
  <c r="AD195" i="2" s="1"/>
  <c r="AA195" i="2"/>
  <c r="X195" i="2"/>
  <c r="W195" i="2"/>
  <c r="U195" i="2"/>
  <c r="R195" i="2"/>
  <c r="O195" i="2"/>
  <c r="N195" i="2"/>
  <c r="L195" i="2"/>
  <c r="I195" i="2"/>
  <c r="H195" i="2"/>
  <c r="F195" i="2"/>
  <c r="C195" i="2"/>
  <c r="AC194" i="2"/>
  <c r="AD194" i="2" s="1"/>
  <c r="AA194" i="2"/>
  <c r="X194" i="2"/>
  <c r="W194" i="2"/>
  <c r="U194" i="2"/>
  <c r="R194" i="2"/>
  <c r="O194" i="2"/>
  <c r="N194" i="2"/>
  <c r="L194" i="2"/>
  <c r="H194" i="2"/>
  <c r="I194" i="2" s="1"/>
  <c r="F194" i="2"/>
  <c r="C194" i="2"/>
  <c r="Z193" i="2"/>
  <c r="AA193" i="2" s="1"/>
  <c r="T193" i="2"/>
  <c r="U193" i="2" s="1"/>
  <c r="Q193" i="2"/>
  <c r="AC193" i="2" s="1"/>
  <c r="AD193" i="2" s="1"/>
  <c r="K193" i="2"/>
  <c r="L193" i="2" s="1"/>
  <c r="H193" i="2"/>
  <c r="I193" i="2" s="1"/>
  <c r="E193" i="2"/>
  <c r="F193" i="2" s="1"/>
  <c r="B193" i="2"/>
  <c r="C193" i="2" s="1"/>
  <c r="AC192" i="2"/>
  <c r="AD192" i="2" s="1"/>
  <c r="AA192" i="2"/>
  <c r="X192" i="2"/>
  <c r="W192" i="2"/>
  <c r="U192" i="2"/>
  <c r="R192" i="2"/>
  <c r="O192" i="2"/>
  <c r="N192" i="2"/>
  <c r="L192" i="2"/>
  <c r="I192" i="2"/>
  <c r="H192" i="2"/>
  <c r="F192" i="2"/>
  <c r="C192" i="2"/>
  <c r="AC191" i="2"/>
  <c r="AD191" i="2" s="1"/>
  <c r="AA191" i="2"/>
  <c r="W191" i="2"/>
  <c r="X191" i="2" s="1"/>
  <c r="U191" i="2"/>
  <c r="R191" i="2"/>
  <c r="O191" i="2"/>
  <c r="N191" i="2"/>
  <c r="L191" i="2"/>
  <c r="H191" i="2"/>
  <c r="I191" i="2" s="1"/>
  <c r="F191" i="2"/>
  <c r="C191" i="2"/>
  <c r="AC190" i="2"/>
  <c r="AD190" i="2" s="1"/>
  <c r="AA190" i="2"/>
  <c r="X190" i="2"/>
  <c r="W190" i="2"/>
  <c r="U190" i="2"/>
  <c r="R190" i="2"/>
  <c r="O190" i="2"/>
  <c r="N190" i="2"/>
  <c r="L190" i="2"/>
  <c r="H190" i="2"/>
  <c r="I190" i="2" s="1"/>
  <c r="F190" i="2"/>
  <c r="C190" i="2"/>
  <c r="AD189" i="2"/>
  <c r="AC189" i="2"/>
  <c r="AA189" i="2"/>
  <c r="X189" i="2"/>
  <c r="W189" i="2"/>
  <c r="U189" i="2"/>
  <c r="R189" i="2"/>
  <c r="N189" i="2"/>
  <c r="O189" i="2" s="1"/>
  <c r="L189" i="2"/>
  <c r="H189" i="2"/>
  <c r="I189" i="2" s="1"/>
  <c r="F189" i="2"/>
  <c r="C189" i="2"/>
  <c r="AC188" i="2"/>
  <c r="AD188" i="2" s="1"/>
  <c r="AA188" i="2"/>
  <c r="X188" i="2"/>
  <c r="W188" i="2"/>
  <c r="U188" i="2"/>
  <c r="R188" i="2"/>
  <c r="O188" i="2"/>
  <c r="N188" i="2"/>
  <c r="L188" i="2"/>
  <c r="I188" i="2"/>
  <c r="H188" i="2"/>
  <c r="F188" i="2"/>
  <c r="C188" i="2"/>
  <c r="AC187" i="2"/>
  <c r="AD187" i="2" s="1"/>
  <c r="AA187" i="2"/>
  <c r="X187" i="2"/>
  <c r="W187" i="2"/>
  <c r="U187" i="2"/>
  <c r="R187" i="2"/>
  <c r="O187" i="2"/>
  <c r="N187" i="2"/>
  <c r="L187" i="2"/>
  <c r="H187" i="2"/>
  <c r="I187" i="2" s="1"/>
  <c r="F187" i="2"/>
  <c r="C187" i="2"/>
  <c r="AC186" i="2"/>
  <c r="AD186" i="2" s="1"/>
  <c r="AA186" i="2"/>
  <c r="X186" i="2"/>
  <c r="W186" i="2"/>
  <c r="U186" i="2"/>
  <c r="R186" i="2"/>
  <c r="O186" i="2"/>
  <c r="N186" i="2"/>
  <c r="L186" i="2"/>
  <c r="H186" i="2"/>
  <c r="I186" i="2" s="1"/>
  <c r="F186" i="2"/>
  <c r="C186" i="2"/>
  <c r="AC184" i="2"/>
  <c r="AD184" i="2" s="1"/>
  <c r="AA184" i="2"/>
  <c r="X184" i="2"/>
  <c r="W184" i="2"/>
  <c r="U184" i="2"/>
  <c r="R184" i="2"/>
  <c r="N184" i="2"/>
  <c r="O184" i="2" s="1"/>
  <c r="L184" i="2"/>
  <c r="H184" i="2"/>
  <c r="I184" i="2" s="1"/>
  <c r="F184" i="2"/>
  <c r="C184" i="2"/>
  <c r="AC183" i="2"/>
  <c r="AD183" i="2" s="1"/>
  <c r="AA183" i="2"/>
  <c r="X183" i="2"/>
  <c r="W183" i="2"/>
  <c r="U183" i="2"/>
  <c r="R183" i="2"/>
  <c r="O183" i="2"/>
  <c r="N183" i="2"/>
  <c r="L183" i="2"/>
  <c r="I183" i="2"/>
  <c r="H183" i="2"/>
  <c r="F183" i="2"/>
  <c r="C183" i="2"/>
  <c r="Z182" i="2"/>
  <c r="AA182" i="2" s="1"/>
  <c r="X182" i="2"/>
  <c r="W182" i="2"/>
  <c r="T182" i="2"/>
  <c r="U182" i="2" s="1"/>
  <c r="Q182" i="2"/>
  <c r="R182" i="2" s="1"/>
  <c r="K182" i="2"/>
  <c r="L182" i="2" s="1"/>
  <c r="E182" i="2"/>
  <c r="F182" i="2" s="1"/>
  <c r="B182" i="2"/>
  <c r="H182" i="2" s="1"/>
  <c r="I182" i="2" s="1"/>
  <c r="AC181" i="2"/>
  <c r="AD181" i="2" s="1"/>
  <c r="AA181" i="2"/>
  <c r="X181" i="2"/>
  <c r="W181" i="2"/>
  <c r="U181" i="2"/>
  <c r="R181" i="2"/>
  <c r="O181" i="2"/>
  <c r="N181" i="2"/>
  <c r="L181" i="2"/>
  <c r="H181" i="2"/>
  <c r="I181" i="2" s="1"/>
  <c r="F181" i="2"/>
  <c r="C181" i="2"/>
  <c r="AC180" i="2"/>
  <c r="AD180" i="2" s="1"/>
  <c r="AA180" i="2"/>
  <c r="X180" i="2"/>
  <c r="W180" i="2"/>
  <c r="U180" i="2"/>
  <c r="R180" i="2"/>
  <c r="O180" i="2"/>
  <c r="N180" i="2"/>
  <c r="L180" i="2"/>
  <c r="H180" i="2"/>
  <c r="I180" i="2" s="1"/>
  <c r="F180" i="2"/>
  <c r="C180" i="2"/>
  <c r="AC179" i="2"/>
  <c r="AD179" i="2" s="1"/>
  <c r="AA179" i="2"/>
  <c r="W179" i="2"/>
  <c r="X179" i="2" s="1"/>
  <c r="U179" i="2"/>
  <c r="R179" i="2"/>
  <c r="O179" i="2"/>
  <c r="N179" i="2"/>
  <c r="L179" i="2"/>
  <c r="H179" i="2"/>
  <c r="I179" i="2" s="1"/>
  <c r="F179" i="2"/>
  <c r="C179" i="2"/>
  <c r="AC178" i="2"/>
  <c r="AD178" i="2" s="1"/>
  <c r="AA178" i="2"/>
  <c r="X178" i="2"/>
  <c r="W178" i="2"/>
  <c r="U178" i="2"/>
  <c r="R178" i="2"/>
  <c r="O178" i="2"/>
  <c r="N178" i="2"/>
  <c r="L178" i="2"/>
  <c r="H178" i="2"/>
  <c r="I178" i="2" s="1"/>
  <c r="F178" i="2"/>
  <c r="C178" i="2"/>
  <c r="AC177" i="2"/>
  <c r="AD177" i="2" s="1"/>
  <c r="AA177" i="2"/>
  <c r="X177" i="2"/>
  <c r="W177" i="2"/>
  <c r="U177" i="2"/>
  <c r="R177" i="2"/>
  <c r="O177" i="2"/>
  <c r="N177" i="2"/>
  <c r="L177" i="2"/>
  <c r="H177" i="2"/>
  <c r="I177" i="2" s="1"/>
  <c r="F177" i="2"/>
  <c r="C177" i="2"/>
  <c r="AC175" i="2"/>
  <c r="AD175" i="2" s="1"/>
  <c r="AA175" i="2"/>
  <c r="X175" i="2"/>
  <c r="W175" i="2"/>
  <c r="U175" i="2"/>
  <c r="R175" i="2"/>
  <c r="O175" i="2"/>
  <c r="N175" i="2"/>
  <c r="L175" i="2"/>
  <c r="H175" i="2"/>
  <c r="I175" i="2" s="1"/>
  <c r="F175" i="2"/>
  <c r="C175" i="2"/>
  <c r="Z171" i="2"/>
  <c r="T171" i="2"/>
  <c r="U171" i="2" s="1"/>
  <c r="R171" i="2"/>
  <c r="Q171" i="2"/>
  <c r="K171" i="2"/>
  <c r="L171" i="2" s="1"/>
  <c r="H171" i="2"/>
  <c r="I171" i="2" s="1"/>
  <c r="E171" i="2"/>
  <c r="F171" i="2" s="1"/>
  <c r="B171" i="2"/>
  <c r="C171" i="2" s="1"/>
  <c r="Z170" i="2"/>
  <c r="AA170" i="2" s="1"/>
  <c r="T170" i="2"/>
  <c r="U170" i="2" s="1"/>
  <c r="Q170" i="2"/>
  <c r="R170" i="2" s="1"/>
  <c r="N170" i="2"/>
  <c r="O170" i="2" s="1"/>
  <c r="L170" i="2"/>
  <c r="K170" i="2"/>
  <c r="H170" i="2"/>
  <c r="I170" i="2" s="1"/>
  <c r="E170" i="2"/>
  <c r="F170" i="2" s="1"/>
  <c r="B170" i="2"/>
  <c r="C170" i="2" s="1"/>
  <c r="AC169" i="2"/>
  <c r="AD169" i="2" s="1"/>
  <c r="AA169" i="2"/>
  <c r="X169" i="2"/>
  <c r="W169" i="2"/>
  <c r="U169" i="2"/>
  <c r="R169" i="2"/>
  <c r="N169" i="2"/>
  <c r="O169" i="2" s="1"/>
  <c r="L169" i="2"/>
  <c r="H169" i="2"/>
  <c r="I169" i="2" s="1"/>
  <c r="F169" i="2"/>
  <c r="C169" i="2"/>
  <c r="AC168" i="2"/>
  <c r="AD168" i="2" s="1"/>
  <c r="AA168" i="2"/>
  <c r="X168" i="2"/>
  <c r="W168" i="2"/>
  <c r="U168" i="2"/>
  <c r="R168" i="2"/>
  <c r="O168" i="2"/>
  <c r="N168" i="2"/>
  <c r="L168" i="2"/>
  <c r="H168" i="2"/>
  <c r="I168" i="2" s="1"/>
  <c r="F168" i="2"/>
  <c r="C168" i="2"/>
  <c r="AC167" i="2"/>
  <c r="AD167" i="2" s="1"/>
  <c r="AA167" i="2"/>
  <c r="W167" i="2"/>
  <c r="X167" i="2" s="1"/>
  <c r="U167" i="2"/>
  <c r="R167" i="2"/>
  <c r="O167" i="2"/>
  <c r="N167" i="2"/>
  <c r="L167" i="2"/>
  <c r="H167" i="2"/>
  <c r="I167" i="2" s="1"/>
  <c r="F167" i="2"/>
  <c r="C167" i="2"/>
  <c r="Z166" i="2"/>
  <c r="AA166" i="2" s="1"/>
  <c r="U166" i="2"/>
  <c r="T166" i="2"/>
  <c r="Q166" i="2"/>
  <c r="K166" i="2"/>
  <c r="L166" i="2" s="1"/>
  <c r="E166" i="2"/>
  <c r="F166" i="2" s="1"/>
  <c r="B166" i="2"/>
  <c r="C166" i="2" s="1"/>
  <c r="AC165" i="2"/>
  <c r="AD165" i="2" s="1"/>
  <c r="AA165" i="2"/>
  <c r="X165" i="2"/>
  <c r="W165" i="2"/>
  <c r="U165" i="2"/>
  <c r="R165" i="2"/>
  <c r="O165" i="2"/>
  <c r="N165" i="2"/>
  <c r="L165" i="2"/>
  <c r="I165" i="2"/>
  <c r="H165" i="2"/>
  <c r="F165" i="2"/>
  <c r="C165" i="2"/>
  <c r="AC164" i="2"/>
  <c r="AD164" i="2" s="1"/>
  <c r="AA164" i="2"/>
  <c r="W164" i="2"/>
  <c r="X164" i="2" s="1"/>
  <c r="U164" i="2"/>
  <c r="R164" i="2"/>
  <c r="O164" i="2"/>
  <c r="N164" i="2"/>
  <c r="L164" i="2"/>
  <c r="H164" i="2"/>
  <c r="I164" i="2" s="1"/>
  <c r="F164" i="2"/>
  <c r="C164" i="2"/>
  <c r="AC163" i="2"/>
  <c r="AD163" i="2" s="1"/>
  <c r="AA163" i="2"/>
  <c r="X163" i="2"/>
  <c r="W163" i="2"/>
  <c r="U163" i="2"/>
  <c r="R163" i="2"/>
  <c r="O163" i="2"/>
  <c r="N163" i="2"/>
  <c r="L163" i="2"/>
  <c r="H163" i="2"/>
  <c r="I163" i="2" s="1"/>
  <c r="F163" i="2"/>
  <c r="C163" i="2"/>
  <c r="AC162" i="2"/>
  <c r="AD162" i="2" s="1"/>
  <c r="AA162" i="2"/>
  <c r="X162" i="2"/>
  <c r="W162" i="2"/>
  <c r="U162" i="2"/>
  <c r="R162" i="2"/>
  <c r="O162" i="2"/>
  <c r="N162" i="2"/>
  <c r="L162" i="2"/>
  <c r="H162" i="2"/>
  <c r="I162" i="2" s="1"/>
  <c r="F162" i="2"/>
  <c r="C162" i="2"/>
  <c r="AC161" i="2"/>
  <c r="AD161" i="2" s="1"/>
  <c r="AA161" i="2"/>
  <c r="X161" i="2"/>
  <c r="W161" i="2"/>
  <c r="U161" i="2"/>
  <c r="R161" i="2"/>
  <c r="O161" i="2"/>
  <c r="N161" i="2"/>
  <c r="L161" i="2"/>
  <c r="H161" i="2"/>
  <c r="I161" i="2" s="1"/>
  <c r="F161" i="2"/>
  <c r="C161" i="2"/>
  <c r="AC160" i="2"/>
  <c r="AD160" i="2" s="1"/>
  <c r="AA160" i="2"/>
  <c r="X160" i="2"/>
  <c r="W160" i="2"/>
  <c r="U160" i="2"/>
  <c r="R160" i="2"/>
  <c r="O160" i="2"/>
  <c r="N160" i="2"/>
  <c r="L160" i="2"/>
  <c r="H160" i="2"/>
  <c r="I160" i="2" s="1"/>
  <c r="F160" i="2"/>
  <c r="C160" i="2"/>
  <c r="Z158" i="2"/>
  <c r="AA158" i="2" s="1"/>
  <c r="T158" i="2"/>
  <c r="U158" i="2" s="1"/>
  <c r="Q158" i="2"/>
  <c r="K158" i="2"/>
  <c r="L158" i="2" s="1"/>
  <c r="E158" i="2"/>
  <c r="B158" i="2"/>
  <c r="C158" i="2" s="1"/>
  <c r="AC157" i="2"/>
  <c r="AD157" i="2" s="1"/>
  <c r="AA157" i="2"/>
  <c r="X157" i="2"/>
  <c r="W157" i="2"/>
  <c r="U157" i="2"/>
  <c r="R157" i="2"/>
  <c r="O157" i="2"/>
  <c r="N157" i="2"/>
  <c r="L157" i="2"/>
  <c r="H157" i="2"/>
  <c r="I157" i="2" s="1"/>
  <c r="F157" i="2"/>
  <c r="C157" i="2"/>
  <c r="AC156" i="2"/>
  <c r="AD156" i="2" s="1"/>
  <c r="AA156" i="2"/>
  <c r="W156" i="2"/>
  <c r="X156" i="2" s="1"/>
  <c r="U156" i="2"/>
  <c r="R156" i="2"/>
  <c r="O156" i="2"/>
  <c r="N156" i="2"/>
  <c r="L156" i="2"/>
  <c r="H156" i="2"/>
  <c r="I156" i="2" s="1"/>
  <c r="F156" i="2"/>
  <c r="C156" i="2"/>
  <c r="AC155" i="2"/>
  <c r="AD155" i="2" s="1"/>
  <c r="AA155" i="2"/>
  <c r="X155" i="2"/>
  <c r="W155" i="2"/>
  <c r="U155" i="2"/>
  <c r="R155" i="2"/>
  <c r="O155" i="2"/>
  <c r="N155" i="2"/>
  <c r="L155" i="2"/>
  <c r="H155" i="2"/>
  <c r="I155" i="2" s="1"/>
  <c r="F155" i="2"/>
  <c r="C155" i="2"/>
  <c r="AC154" i="2"/>
  <c r="AD154" i="2" s="1"/>
  <c r="AA154" i="2"/>
  <c r="X154" i="2"/>
  <c r="W154" i="2"/>
  <c r="U154" i="2"/>
  <c r="R154" i="2"/>
  <c r="O154" i="2"/>
  <c r="N154" i="2"/>
  <c r="L154" i="2"/>
  <c r="H154" i="2"/>
  <c r="I154" i="2" s="1"/>
  <c r="F154" i="2"/>
  <c r="C154" i="2"/>
  <c r="AC153" i="2"/>
  <c r="AD153" i="2" s="1"/>
  <c r="AA153" i="2"/>
  <c r="X153" i="2"/>
  <c r="W153" i="2"/>
  <c r="U153" i="2"/>
  <c r="R153" i="2"/>
  <c r="O153" i="2"/>
  <c r="N153" i="2"/>
  <c r="L153" i="2"/>
  <c r="I153" i="2"/>
  <c r="H153" i="2"/>
  <c r="F153" i="2"/>
  <c r="C153" i="2"/>
  <c r="AC151" i="2"/>
  <c r="AD151" i="2" s="1"/>
  <c r="AA151" i="2"/>
  <c r="W151" i="2"/>
  <c r="X151" i="2" s="1"/>
  <c r="U151" i="2"/>
  <c r="R151" i="2"/>
  <c r="O151" i="2"/>
  <c r="N151" i="2"/>
  <c r="L151" i="2"/>
  <c r="H151" i="2"/>
  <c r="I151" i="2" s="1"/>
  <c r="F151" i="2"/>
  <c r="C151" i="2"/>
  <c r="AC149" i="2"/>
  <c r="AD149" i="2" s="1"/>
  <c r="Z149" i="2"/>
  <c r="AA149" i="2" s="1"/>
  <c r="W149" i="2"/>
  <c r="X149" i="2" s="1"/>
  <c r="U149" i="2"/>
  <c r="T149" i="2"/>
  <c r="Q149" i="2"/>
  <c r="R149" i="2" s="1"/>
  <c r="K149" i="2"/>
  <c r="L149" i="2" s="1"/>
  <c r="H149" i="2"/>
  <c r="I149" i="2" s="1"/>
  <c r="E149" i="2"/>
  <c r="F149" i="2" s="1"/>
  <c r="B149" i="2"/>
  <c r="C149" i="2" s="1"/>
  <c r="AC148" i="2"/>
  <c r="AD148" i="2" s="1"/>
  <c r="Z148" i="2"/>
  <c r="AA148" i="2" s="1"/>
  <c r="T148" i="2"/>
  <c r="U148" i="2" s="1"/>
  <c r="Q148" i="2"/>
  <c r="K148" i="2"/>
  <c r="L148" i="2" s="1"/>
  <c r="E148" i="2"/>
  <c r="F148" i="2" s="1"/>
  <c r="B148" i="2"/>
  <c r="H148" i="2" s="1"/>
  <c r="I148" i="2" s="1"/>
  <c r="AC147" i="2"/>
  <c r="AD147" i="2" s="1"/>
  <c r="AA147" i="2"/>
  <c r="X147" i="2"/>
  <c r="W147" i="2"/>
  <c r="U147" i="2"/>
  <c r="R147" i="2"/>
  <c r="O147" i="2"/>
  <c r="N147" i="2"/>
  <c r="L147" i="2"/>
  <c r="H147" i="2"/>
  <c r="I147" i="2" s="1"/>
  <c r="F147" i="2"/>
  <c r="C147" i="2"/>
  <c r="AD146" i="2"/>
  <c r="AC146" i="2"/>
  <c r="AA146" i="2"/>
  <c r="X146" i="2"/>
  <c r="W146" i="2"/>
  <c r="U146" i="2"/>
  <c r="R146" i="2"/>
  <c r="N146" i="2"/>
  <c r="O146" i="2" s="1"/>
  <c r="L146" i="2"/>
  <c r="H146" i="2"/>
  <c r="I146" i="2" s="1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I145" i="2"/>
  <c r="H145" i="2"/>
  <c r="F145" i="2"/>
  <c r="C145" i="2"/>
  <c r="AC144" i="2"/>
  <c r="AD144" i="2" s="1"/>
  <c r="AA144" i="2"/>
  <c r="W144" i="2"/>
  <c r="X144" i="2" s="1"/>
  <c r="U144" i="2"/>
  <c r="R144" i="2"/>
  <c r="O144" i="2"/>
  <c r="N144" i="2"/>
  <c r="L144" i="2"/>
  <c r="H144" i="2"/>
  <c r="I144" i="2" s="1"/>
  <c r="F144" i="2"/>
  <c r="C144" i="2"/>
  <c r="AC143" i="2"/>
  <c r="AD143" i="2" s="1"/>
  <c r="AA143" i="2"/>
  <c r="X143" i="2"/>
  <c r="W143" i="2"/>
  <c r="U143" i="2"/>
  <c r="R143" i="2"/>
  <c r="O143" i="2"/>
  <c r="N143" i="2"/>
  <c r="L143" i="2"/>
  <c r="H143" i="2"/>
  <c r="I143" i="2" s="1"/>
  <c r="F143" i="2"/>
  <c r="C143" i="2"/>
  <c r="Z141" i="2"/>
  <c r="T141" i="2"/>
  <c r="U141" i="2" s="1"/>
  <c r="R141" i="2"/>
  <c r="Q141" i="2"/>
  <c r="K141" i="2"/>
  <c r="L141" i="2" s="1"/>
  <c r="E141" i="2"/>
  <c r="F141" i="2" s="1"/>
  <c r="B141" i="2"/>
  <c r="AC140" i="2"/>
  <c r="AD140" i="2" s="1"/>
  <c r="AA140" i="2"/>
  <c r="X140" i="2"/>
  <c r="W140" i="2"/>
  <c r="U140" i="2"/>
  <c r="R140" i="2"/>
  <c r="O140" i="2"/>
  <c r="N140" i="2"/>
  <c r="L140" i="2"/>
  <c r="H140" i="2"/>
  <c r="I140" i="2" s="1"/>
  <c r="F140" i="2"/>
  <c r="C140" i="2"/>
  <c r="AC139" i="2"/>
  <c r="AD139" i="2" s="1"/>
  <c r="AA139" i="2"/>
  <c r="X139" i="2"/>
  <c r="W139" i="2"/>
  <c r="U139" i="2"/>
  <c r="R139" i="2"/>
  <c r="O139" i="2"/>
  <c r="N139" i="2"/>
  <c r="L139" i="2"/>
  <c r="H139" i="2"/>
  <c r="I139" i="2" s="1"/>
  <c r="F139" i="2"/>
  <c r="C139" i="2"/>
  <c r="AD138" i="2"/>
  <c r="AC138" i="2"/>
  <c r="AA138" i="2"/>
  <c r="X138" i="2"/>
  <c r="W138" i="2"/>
  <c r="U138" i="2"/>
  <c r="R138" i="2"/>
  <c r="N138" i="2"/>
  <c r="O138" i="2" s="1"/>
  <c r="L138" i="2"/>
  <c r="H138" i="2"/>
  <c r="I138" i="2" s="1"/>
  <c r="F138" i="2"/>
  <c r="C138" i="2"/>
  <c r="AC137" i="2"/>
  <c r="AD137" i="2" s="1"/>
  <c r="AA137" i="2"/>
  <c r="X137" i="2"/>
  <c r="W137" i="2"/>
  <c r="U137" i="2"/>
  <c r="R137" i="2"/>
  <c r="O137" i="2"/>
  <c r="N137" i="2"/>
  <c r="L137" i="2"/>
  <c r="H137" i="2"/>
  <c r="I137" i="2" s="1"/>
  <c r="F137" i="2"/>
  <c r="C137" i="2"/>
  <c r="AC136" i="2"/>
  <c r="AD136" i="2" s="1"/>
  <c r="AA136" i="2"/>
  <c r="W136" i="2"/>
  <c r="X136" i="2" s="1"/>
  <c r="U136" i="2"/>
  <c r="R136" i="2"/>
  <c r="O136" i="2"/>
  <c r="N136" i="2"/>
  <c r="L136" i="2"/>
  <c r="H136" i="2"/>
  <c r="I136" i="2" s="1"/>
  <c r="F136" i="2"/>
  <c r="C136" i="2"/>
  <c r="AC135" i="2"/>
  <c r="AD135" i="2" s="1"/>
  <c r="AA135" i="2"/>
  <c r="X135" i="2"/>
  <c r="W135" i="2"/>
  <c r="U135" i="2"/>
  <c r="R135" i="2"/>
  <c r="O135" i="2"/>
  <c r="N135" i="2"/>
  <c r="L135" i="2"/>
  <c r="H135" i="2"/>
  <c r="I135" i="2" s="1"/>
  <c r="F135" i="2"/>
  <c r="C135" i="2"/>
  <c r="AD134" i="2"/>
  <c r="AC134" i="2"/>
  <c r="AA134" i="2"/>
  <c r="X134" i="2"/>
  <c r="W134" i="2"/>
  <c r="U134" i="2"/>
  <c r="R134" i="2"/>
  <c r="N134" i="2"/>
  <c r="O134" i="2" s="1"/>
  <c r="L134" i="2"/>
  <c r="H134" i="2"/>
  <c r="I134" i="2" s="1"/>
  <c r="F134" i="2"/>
  <c r="C134" i="2"/>
  <c r="AC133" i="2"/>
  <c r="AD133" i="2" s="1"/>
  <c r="AA133" i="2"/>
  <c r="X133" i="2"/>
  <c r="W133" i="2"/>
  <c r="U133" i="2"/>
  <c r="R133" i="2"/>
  <c r="O133" i="2"/>
  <c r="N133" i="2"/>
  <c r="L133" i="2"/>
  <c r="I133" i="2"/>
  <c r="H133" i="2"/>
  <c r="F133" i="2"/>
  <c r="C133" i="2"/>
  <c r="AC132" i="2"/>
  <c r="AD132" i="2" s="1"/>
  <c r="AA132" i="2"/>
  <c r="W132" i="2"/>
  <c r="X132" i="2" s="1"/>
  <c r="U132" i="2"/>
  <c r="R132" i="2"/>
  <c r="O132" i="2"/>
  <c r="N132" i="2"/>
  <c r="L132" i="2"/>
  <c r="H132" i="2"/>
  <c r="I132" i="2" s="1"/>
  <c r="F132" i="2"/>
  <c r="C132" i="2"/>
  <c r="AC131" i="2"/>
  <c r="AD131" i="2" s="1"/>
  <c r="AA131" i="2"/>
  <c r="X131" i="2"/>
  <c r="W131" i="2"/>
  <c r="U131" i="2"/>
  <c r="R131" i="2"/>
  <c r="O131" i="2"/>
  <c r="N131" i="2"/>
  <c r="L131" i="2"/>
  <c r="H131" i="2"/>
  <c r="I131" i="2" s="1"/>
  <c r="F131" i="2"/>
  <c r="C131" i="2"/>
  <c r="AC130" i="2"/>
  <c r="AD130" i="2" s="1"/>
  <c r="AA130" i="2"/>
  <c r="X130" i="2"/>
  <c r="W130" i="2"/>
  <c r="U130" i="2"/>
  <c r="R130" i="2"/>
  <c r="N130" i="2"/>
  <c r="O130" i="2" s="1"/>
  <c r="L130" i="2"/>
  <c r="H130" i="2"/>
  <c r="I130" i="2" s="1"/>
  <c r="F130" i="2"/>
  <c r="C130" i="2"/>
  <c r="AC129" i="2"/>
  <c r="AD129" i="2" s="1"/>
  <c r="AA129" i="2"/>
  <c r="X129" i="2"/>
  <c r="W129" i="2"/>
  <c r="U129" i="2"/>
  <c r="R129" i="2"/>
  <c r="O129" i="2"/>
  <c r="N129" i="2"/>
  <c r="L129" i="2"/>
  <c r="I129" i="2"/>
  <c r="H129" i="2"/>
  <c r="F129" i="2"/>
  <c r="C129" i="2"/>
  <c r="AC127" i="2"/>
  <c r="AD127" i="2" s="1"/>
  <c r="AA127" i="2"/>
  <c r="X127" i="2"/>
  <c r="W127" i="2"/>
  <c r="U127" i="2"/>
  <c r="R127" i="2"/>
  <c r="O127" i="2"/>
  <c r="N127" i="2"/>
  <c r="L127" i="2"/>
  <c r="H127" i="2"/>
  <c r="I127" i="2" s="1"/>
  <c r="F127" i="2"/>
  <c r="C127" i="2"/>
  <c r="Z124" i="2"/>
  <c r="AA124" i="2" s="1"/>
  <c r="T124" i="2"/>
  <c r="U124" i="2" s="1"/>
  <c r="Q124" i="2"/>
  <c r="K124" i="2"/>
  <c r="H124" i="2"/>
  <c r="I124" i="2" s="1"/>
  <c r="E124" i="2"/>
  <c r="B124" i="2"/>
  <c r="C124" i="2" s="1"/>
  <c r="AC123" i="2"/>
  <c r="AD123" i="2" s="1"/>
  <c r="AA123" i="2"/>
  <c r="X123" i="2"/>
  <c r="W123" i="2"/>
  <c r="U123" i="2"/>
  <c r="R123" i="2"/>
  <c r="O123" i="2"/>
  <c r="N123" i="2"/>
  <c r="L123" i="2"/>
  <c r="H123" i="2"/>
  <c r="I123" i="2" s="1"/>
  <c r="F123" i="2"/>
  <c r="C123" i="2"/>
  <c r="Z122" i="2"/>
  <c r="AA122" i="2" s="1"/>
  <c r="T122" i="2"/>
  <c r="U122" i="2" s="1"/>
  <c r="Q122" i="2"/>
  <c r="R122" i="2" s="1"/>
  <c r="N122" i="2"/>
  <c r="O122" i="2" s="1"/>
  <c r="L122" i="2"/>
  <c r="K122" i="2"/>
  <c r="H122" i="2"/>
  <c r="I122" i="2" s="1"/>
  <c r="E122" i="2"/>
  <c r="F122" i="2" s="1"/>
  <c r="B122" i="2"/>
  <c r="C122" i="2" s="1"/>
  <c r="AC121" i="2"/>
  <c r="AD121" i="2" s="1"/>
  <c r="AA121" i="2"/>
  <c r="X121" i="2"/>
  <c r="W121" i="2"/>
  <c r="U121" i="2"/>
  <c r="R121" i="2"/>
  <c r="N121" i="2"/>
  <c r="O121" i="2" s="1"/>
  <c r="L121" i="2"/>
  <c r="H121" i="2"/>
  <c r="I121" i="2" s="1"/>
  <c r="F121" i="2"/>
  <c r="C121" i="2"/>
  <c r="AC120" i="2"/>
  <c r="AD120" i="2" s="1"/>
  <c r="AA120" i="2"/>
  <c r="X120" i="2"/>
  <c r="W120" i="2"/>
  <c r="U120" i="2"/>
  <c r="R120" i="2"/>
  <c r="O120" i="2"/>
  <c r="N120" i="2"/>
  <c r="L120" i="2"/>
  <c r="H120" i="2"/>
  <c r="I120" i="2" s="1"/>
  <c r="F120" i="2"/>
  <c r="C120" i="2"/>
  <c r="AC119" i="2"/>
  <c r="AD119" i="2" s="1"/>
  <c r="AA119" i="2"/>
  <c r="W119" i="2"/>
  <c r="X119" i="2" s="1"/>
  <c r="U119" i="2"/>
  <c r="R119" i="2"/>
  <c r="O119" i="2"/>
  <c r="N119" i="2"/>
  <c r="L119" i="2"/>
  <c r="H119" i="2"/>
  <c r="I119" i="2" s="1"/>
  <c r="F119" i="2"/>
  <c r="C119" i="2"/>
  <c r="Z118" i="2"/>
  <c r="AA118" i="2" s="1"/>
  <c r="T118" i="2"/>
  <c r="U118" i="2" s="1"/>
  <c r="Q118" i="2"/>
  <c r="K118" i="2"/>
  <c r="L118" i="2" s="1"/>
  <c r="E118" i="2"/>
  <c r="F118" i="2" s="1"/>
  <c r="B118" i="2"/>
  <c r="C118" i="2" s="1"/>
  <c r="AC117" i="2"/>
  <c r="AD117" i="2" s="1"/>
  <c r="AA117" i="2"/>
  <c r="X117" i="2"/>
  <c r="W117" i="2"/>
  <c r="U117" i="2"/>
  <c r="R117" i="2"/>
  <c r="O117" i="2"/>
  <c r="N117" i="2"/>
  <c r="L117" i="2"/>
  <c r="H117" i="2"/>
  <c r="I117" i="2" s="1"/>
  <c r="F117" i="2"/>
  <c r="C117" i="2"/>
  <c r="AC116" i="2"/>
  <c r="AD116" i="2" s="1"/>
  <c r="AA116" i="2"/>
  <c r="W116" i="2"/>
  <c r="X116" i="2" s="1"/>
  <c r="U116" i="2"/>
  <c r="R116" i="2"/>
  <c r="O116" i="2"/>
  <c r="N116" i="2"/>
  <c r="L116" i="2"/>
  <c r="H116" i="2"/>
  <c r="I116" i="2" s="1"/>
  <c r="F116" i="2"/>
  <c r="C116" i="2"/>
  <c r="AC115" i="2"/>
  <c r="AD115" i="2" s="1"/>
  <c r="AA115" i="2"/>
  <c r="X115" i="2"/>
  <c r="W115" i="2"/>
  <c r="U115" i="2"/>
  <c r="R115" i="2"/>
  <c r="O115" i="2"/>
  <c r="N115" i="2"/>
  <c r="L115" i="2"/>
  <c r="H115" i="2"/>
  <c r="I115" i="2" s="1"/>
  <c r="F115" i="2"/>
  <c r="C115" i="2"/>
  <c r="AC114" i="2"/>
  <c r="AD114" i="2" s="1"/>
  <c r="AA114" i="2"/>
  <c r="X114" i="2"/>
  <c r="W114" i="2"/>
  <c r="U114" i="2"/>
  <c r="R114" i="2"/>
  <c r="O114" i="2"/>
  <c r="N114" i="2"/>
  <c r="L114" i="2"/>
  <c r="H114" i="2"/>
  <c r="I114" i="2" s="1"/>
  <c r="F114" i="2"/>
  <c r="C114" i="2"/>
  <c r="AC113" i="2"/>
  <c r="AD113" i="2" s="1"/>
  <c r="AA113" i="2"/>
  <c r="X113" i="2"/>
  <c r="W113" i="2"/>
  <c r="U113" i="2"/>
  <c r="R113" i="2"/>
  <c r="O113" i="2"/>
  <c r="N113" i="2"/>
  <c r="L113" i="2"/>
  <c r="H113" i="2"/>
  <c r="I113" i="2" s="1"/>
  <c r="F113" i="2"/>
  <c r="C113" i="2"/>
  <c r="AC112" i="2"/>
  <c r="AD112" i="2" s="1"/>
  <c r="AA112" i="2"/>
  <c r="W112" i="2"/>
  <c r="X112" i="2" s="1"/>
  <c r="U112" i="2"/>
  <c r="R112" i="2"/>
  <c r="O112" i="2"/>
  <c r="N112" i="2"/>
  <c r="L112" i="2"/>
  <c r="H112" i="2"/>
  <c r="I112" i="2" s="1"/>
  <c r="F112" i="2"/>
  <c r="C112" i="2"/>
  <c r="AC111" i="2"/>
  <c r="AD111" i="2" s="1"/>
  <c r="AA111" i="2"/>
  <c r="X111" i="2"/>
  <c r="W111" i="2"/>
  <c r="U111" i="2"/>
  <c r="R111" i="2"/>
  <c r="O111" i="2"/>
  <c r="N111" i="2"/>
  <c r="L111" i="2"/>
  <c r="H111" i="2"/>
  <c r="I111" i="2" s="1"/>
  <c r="F111" i="2"/>
  <c r="C111" i="2"/>
  <c r="AC110" i="2"/>
  <c r="AD110" i="2" s="1"/>
  <c r="AA110" i="2"/>
  <c r="X110" i="2"/>
  <c r="W110" i="2"/>
  <c r="U110" i="2"/>
  <c r="R110" i="2"/>
  <c r="N110" i="2"/>
  <c r="O110" i="2" s="1"/>
  <c r="L110" i="2"/>
  <c r="H110" i="2"/>
  <c r="I110" i="2" s="1"/>
  <c r="F110" i="2"/>
  <c r="C110" i="2"/>
  <c r="AC109" i="2"/>
  <c r="AD109" i="2" s="1"/>
  <c r="AA109" i="2"/>
  <c r="X109" i="2"/>
  <c r="W109" i="2"/>
  <c r="U109" i="2"/>
  <c r="R109" i="2"/>
  <c r="O109" i="2"/>
  <c r="N109" i="2"/>
  <c r="L109" i="2"/>
  <c r="H109" i="2"/>
  <c r="I109" i="2" s="1"/>
  <c r="F109" i="2"/>
  <c r="C109" i="2"/>
  <c r="AC108" i="2"/>
  <c r="AD108" i="2" s="1"/>
  <c r="AA108" i="2"/>
  <c r="W108" i="2"/>
  <c r="X108" i="2" s="1"/>
  <c r="U108" i="2"/>
  <c r="R108" i="2"/>
  <c r="O108" i="2"/>
  <c r="N108" i="2"/>
  <c r="L108" i="2"/>
  <c r="H108" i="2"/>
  <c r="I108" i="2" s="1"/>
  <c r="F108" i="2"/>
  <c r="C108" i="2"/>
  <c r="AC107" i="2"/>
  <c r="AD107" i="2" s="1"/>
  <c r="AA107" i="2"/>
  <c r="X107" i="2"/>
  <c r="W107" i="2"/>
  <c r="U107" i="2"/>
  <c r="R107" i="2"/>
  <c r="O107" i="2"/>
  <c r="N107" i="2"/>
  <c r="L107" i="2"/>
  <c r="H107" i="2"/>
  <c r="I107" i="2" s="1"/>
  <c r="F107" i="2"/>
  <c r="C107" i="2"/>
  <c r="AD106" i="2"/>
  <c r="AC106" i="2"/>
  <c r="AA106" i="2"/>
  <c r="X106" i="2"/>
  <c r="W106" i="2"/>
  <c r="U106" i="2"/>
  <c r="R106" i="2"/>
  <c r="N106" i="2"/>
  <c r="O106" i="2" s="1"/>
  <c r="L106" i="2"/>
  <c r="H106" i="2"/>
  <c r="I106" i="2" s="1"/>
  <c r="F106" i="2"/>
  <c r="C106" i="2"/>
  <c r="AC105" i="2"/>
  <c r="AD105" i="2" s="1"/>
  <c r="AA105" i="2"/>
  <c r="X105" i="2"/>
  <c r="W105" i="2"/>
  <c r="U105" i="2"/>
  <c r="R105" i="2"/>
  <c r="O105" i="2"/>
  <c r="N105" i="2"/>
  <c r="L105" i="2"/>
  <c r="H105" i="2"/>
  <c r="I105" i="2" s="1"/>
  <c r="F105" i="2"/>
  <c r="C105" i="2"/>
  <c r="AC104" i="2"/>
  <c r="AD104" i="2" s="1"/>
  <c r="AA104" i="2"/>
  <c r="W104" i="2"/>
  <c r="X104" i="2" s="1"/>
  <c r="U104" i="2"/>
  <c r="R104" i="2"/>
  <c r="O104" i="2"/>
  <c r="N104" i="2"/>
  <c r="L104" i="2"/>
  <c r="H104" i="2"/>
  <c r="I104" i="2" s="1"/>
  <c r="F104" i="2"/>
  <c r="C104" i="2"/>
  <c r="AC103" i="2"/>
  <c r="AD103" i="2" s="1"/>
  <c r="AA103" i="2"/>
  <c r="X103" i="2"/>
  <c r="W103" i="2"/>
  <c r="U103" i="2"/>
  <c r="R103" i="2"/>
  <c r="O103" i="2"/>
  <c r="N103" i="2"/>
  <c r="L103" i="2"/>
  <c r="H103" i="2"/>
  <c r="I103" i="2" s="1"/>
  <c r="F103" i="2"/>
  <c r="C103" i="2"/>
  <c r="AC102" i="2"/>
  <c r="AD102" i="2" s="1"/>
  <c r="AA102" i="2"/>
  <c r="X102" i="2"/>
  <c r="W102" i="2"/>
  <c r="U102" i="2"/>
  <c r="R102" i="2"/>
  <c r="O102" i="2"/>
  <c r="N102" i="2"/>
  <c r="L102" i="2"/>
  <c r="H102" i="2"/>
  <c r="I102" i="2" s="1"/>
  <c r="F102" i="2"/>
  <c r="C102" i="2"/>
  <c r="AC101" i="2"/>
  <c r="AD101" i="2" s="1"/>
  <c r="AA101" i="2"/>
  <c r="X101" i="2"/>
  <c r="W101" i="2"/>
  <c r="U101" i="2"/>
  <c r="R101" i="2"/>
  <c r="O101" i="2"/>
  <c r="N101" i="2"/>
  <c r="L101" i="2"/>
  <c r="H101" i="2"/>
  <c r="I101" i="2" s="1"/>
  <c r="F101" i="2"/>
  <c r="C101" i="2"/>
  <c r="AC100" i="2"/>
  <c r="AD100" i="2" s="1"/>
  <c r="AA100" i="2"/>
  <c r="W100" i="2"/>
  <c r="X100" i="2" s="1"/>
  <c r="U100" i="2"/>
  <c r="R100" i="2"/>
  <c r="O100" i="2"/>
  <c r="N100" i="2"/>
  <c r="L100" i="2"/>
  <c r="H100" i="2"/>
  <c r="I100" i="2" s="1"/>
  <c r="F100" i="2"/>
  <c r="C100" i="2"/>
  <c r="AC99" i="2"/>
  <c r="AD99" i="2" s="1"/>
  <c r="AA99" i="2"/>
  <c r="X99" i="2"/>
  <c r="W99" i="2"/>
  <c r="U99" i="2"/>
  <c r="R99" i="2"/>
  <c r="O99" i="2"/>
  <c r="N99" i="2"/>
  <c r="L99" i="2"/>
  <c r="H99" i="2"/>
  <c r="I99" i="2" s="1"/>
  <c r="F99" i="2"/>
  <c r="C99" i="2"/>
  <c r="AC98" i="2"/>
  <c r="AD98" i="2" s="1"/>
  <c r="AA98" i="2"/>
  <c r="X98" i="2"/>
  <c r="W98" i="2"/>
  <c r="U98" i="2"/>
  <c r="R98" i="2"/>
  <c r="O98" i="2"/>
  <c r="N98" i="2"/>
  <c r="L98" i="2"/>
  <c r="H98" i="2"/>
  <c r="I98" i="2" s="1"/>
  <c r="F98" i="2"/>
  <c r="C98" i="2"/>
  <c r="AC97" i="2"/>
  <c r="AD97" i="2" s="1"/>
  <c r="AA97" i="2"/>
  <c r="X97" i="2"/>
  <c r="W97" i="2"/>
  <c r="U97" i="2"/>
  <c r="R97" i="2"/>
  <c r="O97" i="2"/>
  <c r="N97" i="2"/>
  <c r="L97" i="2"/>
  <c r="H97" i="2"/>
  <c r="I97" i="2" s="1"/>
  <c r="F97" i="2"/>
  <c r="C97" i="2"/>
  <c r="AC96" i="2"/>
  <c r="AD96" i="2" s="1"/>
  <c r="AA96" i="2"/>
  <c r="W96" i="2"/>
  <c r="X96" i="2" s="1"/>
  <c r="U96" i="2"/>
  <c r="R96" i="2"/>
  <c r="O96" i="2"/>
  <c r="N96" i="2"/>
  <c r="L96" i="2"/>
  <c r="H96" i="2"/>
  <c r="I96" i="2" s="1"/>
  <c r="F96" i="2"/>
  <c r="C96" i="2"/>
  <c r="AC95" i="2"/>
  <c r="AD95" i="2" s="1"/>
  <c r="AA95" i="2"/>
  <c r="X95" i="2"/>
  <c r="W95" i="2"/>
  <c r="U95" i="2"/>
  <c r="R95" i="2"/>
  <c r="O95" i="2"/>
  <c r="N95" i="2"/>
  <c r="L95" i="2"/>
  <c r="H95" i="2"/>
  <c r="I95" i="2" s="1"/>
  <c r="F95" i="2"/>
  <c r="C95" i="2"/>
  <c r="AC94" i="2"/>
  <c r="AD94" i="2" s="1"/>
  <c r="AA94" i="2"/>
  <c r="X94" i="2"/>
  <c r="W94" i="2"/>
  <c r="U94" i="2"/>
  <c r="R94" i="2"/>
  <c r="N94" i="2"/>
  <c r="O94" i="2" s="1"/>
  <c r="L94" i="2"/>
  <c r="H94" i="2"/>
  <c r="I94" i="2" s="1"/>
  <c r="F94" i="2"/>
  <c r="C94" i="2"/>
  <c r="AC92" i="2"/>
  <c r="AD92" i="2" s="1"/>
  <c r="AA92" i="2"/>
  <c r="X92" i="2"/>
  <c r="W92" i="2"/>
  <c r="U92" i="2"/>
  <c r="R92" i="2"/>
  <c r="O92" i="2"/>
  <c r="N92" i="2"/>
  <c r="L92" i="2"/>
  <c r="H92" i="2"/>
  <c r="I92" i="2" s="1"/>
  <c r="F92" i="2"/>
  <c r="C92" i="2"/>
  <c r="AC91" i="2"/>
  <c r="AD91" i="2" s="1"/>
  <c r="AA91" i="2"/>
  <c r="W91" i="2"/>
  <c r="X91" i="2" s="1"/>
  <c r="U91" i="2"/>
  <c r="R91" i="2"/>
  <c r="O91" i="2"/>
  <c r="N91" i="2"/>
  <c r="L91" i="2"/>
  <c r="H91" i="2"/>
  <c r="I91" i="2" s="1"/>
  <c r="F91" i="2"/>
  <c r="C91" i="2"/>
  <c r="AC90" i="2"/>
  <c r="AD90" i="2" s="1"/>
  <c r="AA90" i="2"/>
  <c r="X90" i="2"/>
  <c r="W90" i="2"/>
  <c r="U90" i="2"/>
  <c r="R90" i="2"/>
  <c r="O90" i="2"/>
  <c r="N90" i="2"/>
  <c r="L90" i="2"/>
  <c r="H90" i="2"/>
  <c r="I90" i="2" s="1"/>
  <c r="F90" i="2"/>
  <c r="C90" i="2"/>
  <c r="AC89" i="2"/>
  <c r="AD89" i="2" s="1"/>
  <c r="AA89" i="2"/>
  <c r="X89" i="2"/>
  <c r="W89" i="2"/>
  <c r="U89" i="2"/>
  <c r="R89" i="2"/>
  <c r="N89" i="2"/>
  <c r="O89" i="2" s="1"/>
  <c r="L89" i="2"/>
  <c r="H89" i="2"/>
  <c r="I89" i="2" s="1"/>
  <c r="F89" i="2"/>
  <c r="C89" i="2"/>
  <c r="Z88" i="2"/>
  <c r="AA88" i="2" s="1"/>
  <c r="W88" i="2"/>
  <c r="X88" i="2" s="1"/>
  <c r="T88" i="2"/>
  <c r="U88" i="2" s="1"/>
  <c r="Q88" i="2"/>
  <c r="R88" i="2" s="1"/>
  <c r="K88" i="2"/>
  <c r="L88" i="2" s="1"/>
  <c r="E88" i="2"/>
  <c r="F88" i="2" s="1"/>
  <c r="B88" i="2"/>
  <c r="C88" i="2" s="1"/>
  <c r="AC87" i="2"/>
  <c r="AD87" i="2" s="1"/>
  <c r="AA87" i="2"/>
  <c r="X87" i="2"/>
  <c r="W87" i="2"/>
  <c r="U87" i="2"/>
  <c r="R87" i="2"/>
  <c r="O87" i="2"/>
  <c r="N87" i="2"/>
  <c r="L87" i="2"/>
  <c r="H87" i="2"/>
  <c r="I87" i="2" s="1"/>
  <c r="F87" i="2"/>
  <c r="C87" i="2"/>
  <c r="AC86" i="2"/>
  <c r="AD86" i="2" s="1"/>
  <c r="AA86" i="2"/>
  <c r="X86" i="2"/>
  <c r="W86" i="2"/>
  <c r="U86" i="2"/>
  <c r="R86" i="2"/>
  <c r="N86" i="2"/>
  <c r="O86" i="2" s="1"/>
  <c r="L86" i="2"/>
  <c r="H86" i="2"/>
  <c r="I86" i="2" s="1"/>
  <c r="F86" i="2"/>
  <c r="C86" i="2"/>
  <c r="AC85" i="2"/>
  <c r="AD85" i="2" s="1"/>
  <c r="AA85" i="2"/>
  <c r="X85" i="2"/>
  <c r="W85" i="2"/>
  <c r="U85" i="2"/>
  <c r="R85" i="2"/>
  <c r="O85" i="2"/>
  <c r="N85" i="2"/>
  <c r="L85" i="2"/>
  <c r="I85" i="2"/>
  <c r="H85" i="2"/>
  <c r="F85" i="2"/>
  <c r="C85" i="2"/>
  <c r="AC84" i="2"/>
  <c r="AD84" i="2" s="1"/>
  <c r="AA84" i="2"/>
  <c r="X84" i="2"/>
  <c r="W84" i="2"/>
  <c r="U84" i="2"/>
  <c r="R84" i="2"/>
  <c r="O84" i="2"/>
  <c r="N84" i="2"/>
  <c r="L84" i="2"/>
  <c r="H84" i="2"/>
  <c r="I84" i="2" s="1"/>
  <c r="F84" i="2"/>
  <c r="C84" i="2"/>
  <c r="AC83" i="2"/>
  <c r="AD83" i="2" s="1"/>
  <c r="AA83" i="2"/>
  <c r="X83" i="2"/>
  <c r="W83" i="2"/>
  <c r="U83" i="2"/>
  <c r="R83" i="2"/>
  <c r="O83" i="2"/>
  <c r="N83" i="2"/>
  <c r="L83" i="2"/>
  <c r="H83" i="2"/>
  <c r="I83" i="2" s="1"/>
  <c r="F83" i="2"/>
  <c r="C83" i="2"/>
  <c r="AD82" i="2"/>
  <c r="AC82" i="2"/>
  <c r="AA82" i="2"/>
  <c r="X82" i="2"/>
  <c r="W82" i="2"/>
  <c r="U82" i="2"/>
  <c r="R82" i="2"/>
  <c r="N82" i="2"/>
  <c r="O82" i="2" s="1"/>
  <c r="L82" i="2"/>
  <c r="H82" i="2"/>
  <c r="I82" i="2" s="1"/>
  <c r="F82" i="2"/>
  <c r="C82" i="2"/>
  <c r="AC81" i="2"/>
  <c r="AD81" i="2" s="1"/>
  <c r="AA81" i="2"/>
  <c r="X81" i="2"/>
  <c r="W81" i="2"/>
  <c r="U81" i="2"/>
  <c r="R81" i="2"/>
  <c r="O81" i="2"/>
  <c r="N81" i="2"/>
  <c r="L81" i="2"/>
  <c r="H81" i="2"/>
  <c r="I81" i="2" s="1"/>
  <c r="F81" i="2"/>
  <c r="C81" i="2"/>
  <c r="AC80" i="2"/>
  <c r="AD80" i="2" s="1"/>
  <c r="AA80" i="2"/>
  <c r="X80" i="2"/>
  <c r="W80" i="2"/>
  <c r="U80" i="2"/>
  <c r="R80" i="2"/>
  <c r="O80" i="2"/>
  <c r="N80" i="2"/>
  <c r="L80" i="2"/>
  <c r="H80" i="2"/>
  <c r="I80" i="2" s="1"/>
  <c r="F80" i="2"/>
  <c r="C80" i="2"/>
  <c r="AC79" i="2"/>
  <c r="AD79" i="2" s="1"/>
  <c r="AA79" i="2"/>
  <c r="X79" i="2"/>
  <c r="W79" i="2"/>
  <c r="U79" i="2"/>
  <c r="R79" i="2"/>
  <c r="O79" i="2"/>
  <c r="N79" i="2"/>
  <c r="L79" i="2"/>
  <c r="H79" i="2"/>
  <c r="I79" i="2" s="1"/>
  <c r="F79" i="2"/>
  <c r="C79" i="2"/>
  <c r="AD78" i="2"/>
  <c r="AC78" i="2"/>
  <c r="AA78" i="2"/>
  <c r="X78" i="2"/>
  <c r="W78" i="2"/>
  <c r="U78" i="2"/>
  <c r="R78" i="2"/>
  <c r="N78" i="2"/>
  <c r="O78" i="2" s="1"/>
  <c r="L78" i="2"/>
  <c r="H78" i="2"/>
  <c r="I78" i="2" s="1"/>
  <c r="F78" i="2"/>
  <c r="C78" i="2"/>
  <c r="AC77" i="2"/>
  <c r="AD77" i="2" s="1"/>
  <c r="AA77" i="2"/>
  <c r="X77" i="2"/>
  <c r="W77" i="2"/>
  <c r="U77" i="2"/>
  <c r="R77" i="2"/>
  <c r="O77" i="2"/>
  <c r="N77" i="2"/>
  <c r="L77" i="2"/>
  <c r="H77" i="2"/>
  <c r="I77" i="2" s="1"/>
  <c r="F77" i="2"/>
  <c r="C77" i="2"/>
  <c r="AC76" i="2"/>
  <c r="AD76" i="2" s="1"/>
  <c r="AA76" i="2"/>
  <c r="W76" i="2"/>
  <c r="X76" i="2" s="1"/>
  <c r="U76" i="2"/>
  <c r="R76" i="2"/>
  <c r="O76" i="2"/>
  <c r="N76" i="2"/>
  <c r="L76" i="2"/>
  <c r="H76" i="2"/>
  <c r="I76" i="2" s="1"/>
  <c r="F76" i="2"/>
  <c r="C76" i="2"/>
  <c r="AC75" i="2"/>
  <c r="AD75" i="2" s="1"/>
  <c r="AA75" i="2"/>
  <c r="X75" i="2"/>
  <c r="W75" i="2"/>
  <c r="U75" i="2"/>
  <c r="R75" i="2"/>
  <c r="O75" i="2"/>
  <c r="N75" i="2"/>
  <c r="L75" i="2"/>
  <c r="H75" i="2"/>
  <c r="I75" i="2" s="1"/>
  <c r="F75" i="2"/>
  <c r="C75" i="2"/>
  <c r="Z73" i="2"/>
  <c r="AA73" i="2" s="1"/>
  <c r="T73" i="2"/>
  <c r="U73" i="2" s="1"/>
  <c r="Q73" i="2"/>
  <c r="N73" i="2"/>
  <c r="O73" i="2" s="1"/>
  <c r="K73" i="2"/>
  <c r="L73" i="2" s="1"/>
  <c r="H73" i="2"/>
  <c r="I73" i="2" s="1"/>
  <c r="E73" i="2"/>
  <c r="F73" i="2" s="1"/>
  <c r="B73" i="2"/>
  <c r="C73" i="2" s="1"/>
  <c r="AC72" i="2"/>
  <c r="AD72" i="2" s="1"/>
  <c r="AA72" i="2"/>
  <c r="X72" i="2"/>
  <c r="W72" i="2"/>
  <c r="U72" i="2"/>
  <c r="R72" i="2"/>
  <c r="O72" i="2"/>
  <c r="N72" i="2"/>
  <c r="L72" i="2"/>
  <c r="H72" i="2"/>
  <c r="I72" i="2" s="1"/>
  <c r="F72" i="2"/>
  <c r="C72" i="2"/>
  <c r="AC71" i="2"/>
  <c r="AD71" i="2" s="1"/>
  <c r="AA71" i="2"/>
  <c r="X71" i="2"/>
  <c r="W71" i="2"/>
  <c r="U71" i="2"/>
  <c r="R71" i="2"/>
  <c r="O71" i="2"/>
  <c r="N71" i="2"/>
  <c r="L71" i="2"/>
  <c r="H71" i="2"/>
  <c r="I71" i="2" s="1"/>
  <c r="F71" i="2"/>
  <c r="C71" i="2"/>
  <c r="AD70" i="2"/>
  <c r="AC70" i="2"/>
  <c r="AA70" i="2"/>
  <c r="X70" i="2"/>
  <c r="W70" i="2"/>
  <c r="U70" i="2"/>
  <c r="R70" i="2"/>
  <c r="N70" i="2"/>
  <c r="O70" i="2" s="1"/>
  <c r="L70" i="2"/>
  <c r="H70" i="2"/>
  <c r="I70" i="2" s="1"/>
  <c r="F70" i="2"/>
  <c r="C70" i="2"/>
  <c r="AC69" i="2"/>
  <c r="AD69" i="2" s="1"/>
  <c r="AA69" i="2"/>
  <c r="X69" i="2"/>
  <c r="W69" i="2"/>
  <c r="U69" i="2"/>
  <c r="R69" i="2"/>
  <c r="O69" i="2"/>
  <c r="N69" i="2"/>
  <c r="L69" i="2"/>
  <c r="H69" i="2"/>
  <c r="I69" i="2" s="1"/>
  <c r="F69" i="2"/>
  <c r="C69" i="2"/>
  <c r="AC68" i="2"/>
  <c r="AD68" i="2" s="1"/>
  <c r="AA68" i="2"/>
  <c r="X68" i="2"/>
  <c r="W68" i="2"/>
  <c r="U68" i="2"/>
  <c r="R68" i="2"/>
  <c r="O68" i="2"/>
  <c r="N68" i="2"/>
  <c r="L68" i="2"/>
  <c r="H68" i="2"/>
  <c r="I68" i="2" s="1"/>
  <c r="F68" i="2"/>
  <c r="C68" i="2"/>
  <c r="AC67" i="2"/>
  <c r="AD67" i="2" s="1"/>
  <c r="AA67" i="2"/>
  <c r="X67" i="2"/>
  <c r="W67" i="2"/>
  <c r="U67" i="2"/>
  <c r="R67" i="2"/>
  <c r="O67" i="2"/>
  <c r="N67" i="2"/>
  <c r="L67" i="2"/>
  <c r="H67" i="2"/>
  <c r="I67" i="2" s="1"/>
  <c r="F67" i="2"/>
  <c r="C67" i="2"/>
  <c r="AD66" i="2"/>
  <c r="AC66" i="2"/>
  <c r="AA66" i="2"/>
  <c r="X66" i="2"/>
  <c r="W66" i="2"/>
  <c r="U66" i="2"/>
  <c r="R66" i="2"/>
  <c r="N66" i="2"/>
  <c r="O66" i="2" s="1"/>
  <c r="L66" i="2"/>
  <c r="H66" i="2"/>
  <c r="I66" i="2" s="1"/>
  <c r="F66" i="2"/>
  <c r="C66" i="2"/>
  <c r="AC65" i="2"/>
  <c r="AD65" i="2" s="1"/>
  <c r="AA65" i="2"/>
  <c r="X65" i="2"/>
  <c r="W65" i="2"/>
  <c r="U65" i="2"/>
  <c r="R65" i="2"/>
  <c r="O65" i="2"/>
  <c r="N65" i="2"/>
  <c r="L65" i="2"/>
  <c r="I65" i="2"/>
  <c r="H65" i="2"/>
  <c r="F65" i="2"/>
  <c r="C65" i="2"/>
  <c r="AC64" i="2"/>
  <c r="AD64" i="2" s="1"/>
  <c r="AA64" i="2"/>
  <c r="W64" i="2"/>
  <c r="X64" i="2" s="1"/>
  <c r="U64" i="2"/>
  <c r="R64" i="2"/>
  <c r="O64" i="2"/>
  <c r="N64" i="2"/>
  <c r="L64" i="2"/>
  <c r="H64" i="2"/>
  <c r="I64" i="2" s="1"/>
  <c r="F64" i="2"/>
  <c r="C64" i="2"/>
  <c r="AC62" i="2"/>
  <c r="AD62" i="2" s="1"/>
  <c r="Z62" i="2"/>
  <c r="AA62" i="2" s="1"/>
  <c r="T62" i="2"/>
  <c r="U62" i="2" s="1"/>
  <c r="Q62" i="2"/>
  <c r="R62" i="2" s="1"/>
  <c r="K62" i="2"/>
  <c r="L62" i="2" s="1"/>
  <c r="E62" i="2"/>
  <c r="F62" i="2" s="1"/>
  <c r="B62" i="2"/>
  <c r="C62" i="2" s="1"/>
  <c r="AA61" i="2"/>
  <c r="Z61" i="2"/>
  <c r="T61" i="2"/>
  <c r="U61" i="2" s="1"/>
  <c r="Q61" i="2"/>
  <c r="N61" i="2"/>
  <c r="O61" i="2" s="1"/>
  <c r="K61" i="2"/>
  <c r="L61" i="2" s="1"/>
  <c r="E61" i="2"/>
  <c r="F61" i="2" s="1"/>
  <c r="B61" i="2"/>
  <c r="AC60" i="2"/>
  <c r="AD60" i="2" s="1"/>
  <c r="AA60" i="2"/>
  <c r="X60" i="2"/>
  <c r="W60" i="2"/>
  <c r="U60" i="2"/>
  <c r="R60" i="2"/>
  <c r="O60" i="2"/>
  <c r="N60" i="2"/>
  <c r="L60" i="2"/>
  <c r="H60" i="2"/>
  <c r="I60" i="2" s="1"/>
  <c r="F60" i="2"/>
  <c r="C60" i="2"/>
  <c r="AC59" i="2"/>
  <c r="AD59" i="2" s="1"/>
  <c r="AA59" i="2"/>
  <c r="X59" i="2"/>
  <c r="W59" i="2"/>
  <c r="U59" i="2"/>
  <c r="R59" i="2"/>
  <c r="O59" i="2"/>
  <c r="N59" i="2"/>
  <c r="L59" i="2"/>
  <c r="H59" i="2"/>
  <c r="I59" i="2" s="1"/>
  <c r="F59" i="2"/>
  <c r="C59" i="2"/>
  <c r="AC58" i="2"/>
  <c r="AD58" i="2" s="1"/>
  <c r="AA58" i="2"/>
  <c r="X58" i="2"/>
  <c r="W58" i="2"/>
  <c r="U58" i="2"/>
  <c r="R58" i="2"/>
  <c r="O58" i="2"/>
  <c r="N58" i="2"/>
  <c r="L58" i="2"/>
  <c r="I58" i="2"/>
  <c r="H58" i="2"/>
  <c r="F58" i="2"/>
  <c r="C58" i="2"/>
  <c r="AC57" i="2"/>
  <c r="AD57" i="2" s="1"/>
  <c r="AA57" i="2"/>
  <c r="W57" i="2"/>
  <c r="X57" i="2" s="1"/>
  <c r="U57" i="2"/>
  <c r="R57" i="2"/>
  <c r="O57" i="2"/>
  <c r="N57" i="2"/>
  <c r="L57" i="2"/>
  <c r="H57" i="2"/>
  <c r="I57" i="2" s="1"/>
  <c r="F57" i="2"/>
  <c r="C57" i="2"/>
  <c r="AC56" i="2"/>
  <c r="AD56" i="2" s="1"/>
  <c r="AA56" i="2"/>
  <c r="X56" i="2"/>
  <c r="W56" i="2"/>
  <c r="U56" i="2"/>
  <c r="R56" i="2"/>
  <c r="O56" i="2"/>
  <c r="N56" i="2"/>
  <c r="L56" i="2"/>
  <c r="H56" i="2"/>
  <c r="I56" i="2" s="1"/>
  <c r="F56" i="2"/>
  <c r="C56" i="2"/>
  <c r="AC55" i="2"/>
  <c r="AD55" i="2" s="1"/>
  <c r="AA55" i="2"/>
  <c r="X55" i="2"/>
  <c r="W55" i="2"/>
  <c r="U55" i="2"/>
  <c r="R55" i="2"/>
  <c r="O55" i="2"/>
  <c r="N55" i="2"/>
  <c r="L55" i="2"/>
  <c r="H55" i="2"/>
  <c r="I55" i="2" s="1"/>
  <c r="F55" i="2"/>
  <c r="C55" i="2"/>
  <c r="AC54" i="2"/>
  <c r="AD54" i="2" s="1"/>
  <c r="AA54" i="2"/>
  <c r="X54" i="2"/>
  <c r="W54" i="2"/>
  <c r="U54" i="2"/>
  <c r="R54" i="2"/>
  <c r="O54" i="2"/>
  <c r="N54" i="2"/>
  <c r="L54" i="2"/>
  <c r="H54" i="2"/>
  <c r="I54" i="2" s="1"/>
  <c r="F54" i="2"/>
  <c r="C54" i="2"/>
  <c r="AC53" i="2"/>
  <c r="AD53" i="2" s="1"/>
  <c r="AA53" i="2"/>
  <c r="X53" i="2"/>
  <c r="W53" i="2"/>
  <c r="U53" i="2"/>
  <c r="R53" i="2"/>
  <c r="O53" i="2"/>
  <c r="N53" i="2"/>
  <c r="L53" i="2"/>
  <c r="H53" i="2"/>
  <c r="I53" i="2" s="1"/>
  <c r="F53" i="2"/>
  <c r="C53" i="2"/>
  <c r="AC52" i="2"/>
  <c r="AD52" i="2" s="1"/>
  <c r="AA52" i="2"/>
  <c r="X52" i="2"/>
  <c r="W52" i="2"/>
  <c r="U52" i="2"/>
  <c r="R52" i="2"/>
  <c r="O52" i="2"/>
  <c r="N52" i="2"/>
  <c r="L52" i="2"/>
  <c r="H52" i="2"/>
  <c r="I52" i="2" s="1"/>
  <c r="F52" i="2"/>
  <c r="C52" i="2"/>
  <c r="AC51" i="2"/>
  <c r="AD51" i="2" s="1"/>
  <c r="AA51" i="2"/>
  <c r="X51" i="2"/>
  <c r="W51" i="2"/>
  <c r="U51" i="2"/>
  <c r="R51" i="2"/>
  <c r="N51" i="2"/>
  <c r="O51" i="2" s="1"/>
  <c r="L51" i="2"/>
  <c r="H51" i="2"/>
  <c r="I51" i="2" s="1"/>
  <c r="F51" i="2"/>
  <c r="C51" i="2"/>
  <c r="AC50" i="2"/>
  <c r="AD50" i="2" s="1"/>
  <c r="AA50" i="2"/>
  <c r="X50" i="2"/>
  <c r="W50" i="2"/>
  <c r="U50" i="2"/>
  <c r="R50" i="2"/>
  <c r="O50" i="2"/>
  <c r="N50" i="2"/>
  <c r="L50" i="2"/>
  <c r="H50" i="2"/>
  <c r="I50" i="2" s="1"/>
  <c r="F50" i="2"/>
  <c r="C50" i="2"/>
  <c r="AC49" i="2"/>
  <c r="AD49" i="2" s="1"/>
  <c r="AA49" i="2"/>
  <c r="W49" i="2"/>
  <c r="X49" i="2" s="1"/>
  <c r="U49" i="2"/>
  <c r="R49" i="2"/>
  <c r="O49" i="2"/>
  <c r="N49" i="2"/>
  <c r="L49" i="2"/>
  <c r="H49" i="2"/>
  <c r="I49" i="2" s="1"/>
  <c r="F49" i="2"/>
  <c r="C49" i="2"/>
  <c r="AC48" i="2"/>
  <c r="AD48" i="2" s="1"/>
  <c r="AA48" i="2"/>
  <c r="X48" i="2"/>
  <c r="W48" i="2"/>
  <c r="U48" i="2"/>
  <c r="R48" i="2"/>
  <c r="O48" i="2"/>
  <c r="N48" i="2"/>
  <c r="L48" i="2"/>
  <c r="H48" i="2"/>
  <c r="I48" i="2" s="1"/>
  <c r="F48" i="2"/>
  <c r="C48" i="2"/>
  <c r="AC47" i="2"/>
  <c r="AD47" i="2" s="1"/>
  <c r="AA47" i="2"/>
  <c r="X47" i="2"/>
  <c r="W47" i="2"/>
  <c r="U47" i="2"/>
  <c r="R47" i="2"/>
  <c r="O47" i="2"/>
  <c r="N47" i="2"/>
  <c r="L47" i="2"/>
  <c r="H47" i="2"/>
  <c r="I47" i="2" s="1"/>
  <c r="F47" i="2"/>
  <c r="C47" i="2"/>
  <c r="AC46" i="2"/>
  <c r="AD46" i="2" s="1"/>
  <c r="AA46" i="2"/>
  <c r="X46" i="2"/>
  <c r="W46" i="2"/>
  <c r="U46" i="2"/>
  <c r="R46" i="2"/>
  <c r="O46" i="2"/>
  <c r="N46" i="2"/>
  <c r="L46" i="2"/>
  <c r="H46" i="2"/>
  <c r="I46" i="2" s="1"/>
  <c r="F46" i="2"/>
  <c r="C46" i="2"/>
  <c r="AC44" i="2"/>
  <c r="AD44" i="2" s="1"/>
  <c r="AA44" i="2"/>
  <c r="W44" i="2"/>
  <c r="X44" i="2" s="1"/>
  <c r="U44" i="2"/>
  <c r="R44" i="2"/>
  <c r="O44" i="2"/>
  <c r="N44" i="2"/>
  <c r="L44" i="2"/>
  <c r="H44" i="2"/>
  <c r="I44" i="2" s="1"/>
  <c r="F44" i="2"/>
  <c r="C44" i="2"/>
  <c r="AC43" i="2"/>
  <c r="AD43" i="2" s="1"/>
  <c r="AA43" i="2"/>
  <c r="X43" i="2"/>
  <c r="W43" i="2"/>
  <c r="U43" i="2"/>
  <c r="R43" i="2"/>
  <c r="O43" i="2"/>
  <c r="N43" i="2"/>
  <c r="L43" i="2"/>
  <c r="H43" i="2"/>
  <c r="I43" i="2" s="1"/>
  <c r="F43" i="2"/>
  <c r="C43" i="2"/>
  <c r="AC42" i="2"/>
  <c r="AD42" i="2" s="1"/>
  <c r="AA42" i="2"/>
  <c r="X42" i="2"/>
  <c r="W42" i="2"/>
  <c r="U42" i="2"/>
  <c r="R42" i="2"/>
  <c r="O42" i="2"/>
  <c r="N42" i="2"/>
  <c r="L42" i="2"/>
  <c r="H42" i="2"/>
  <c r="I42" i="2" s="1"/>
  <c r="F42" i="2"/>
  <c r="C42" i="2"/>
  <c r="AC40" i="2"/>
  <c r="AD40" i="2" s="1"/>
  <c r="AA40" i="2"/>
  <c r="Z40" i="2"/>
  <c r="W40" i="2"/>
  <c r="X40" i="2" s="1"/>
  <c r="T40" i="2"/>
  <c r="U40" i="2" s="1"/>
  <c r="Q40" i="2"/>
  <c r="R40" i="2" s="1"/>
  <c r="K40" i="2"/>
  <c r="E40" i="2"/>
  <c r="F40" i="2" s="1"/>
  <c r="C40" i="2"/>
  <c r="B40" i="2"/>
  <c r="AC39" i="2"/>
  <c r="AD39" i="2" s="1"/>
  <c r="AA39" i="2"/>
  <c r="X39" i="2"/>
  <c r="W39" i="2"/>
  <c r="U39" i="2"/>
  <c r="R39" i="2"/>
  <c r="O39" i="2"/>
  <c r="N39" i="2"/>
  <c r="L39" i="2"/>
  <c r="H39" i="2"/>
  <c r="I39" i="2" s="1"/>
  <c r="F39" i="2"/>
  <c r="C39" i="2"/>
  <c r="AC38" i="2"/>
  <c r="AD38" i="2" s="1"/>
  <c r="AA38" i="2"/>
  <c r="X38" i="2"/>
  <c r="W38" i="2"/>
  <c r="U38" i="2"/>
  <c r="R38" i="2"/>
  <c r="N38" i="2"/>
  <c r="O38" i="2" s="1"/>
  <c r="L38" i="2"/>
  <c r="H38" i="2"/>
  <c r="I38" i="2" s="1"/>
  <c r="F38" i="2"/>
  <c r="C38" i="2"/>
  <c r="AC37" i="2"/>
  <c r="AD37" i="2" s="1"/>
  <c r="AA37" i="2"/>
  <c r="X37" i="2"/>
  <c r="W37" i="2"/>
  <c r="U37" i="2"/>
  <c r="R37" i="2"/>
  <c r="O37" i="2"/>
  <c r="N37" i="2"/>
  <c r="L37" i="2"/>
  <c r="H37" i="2"/>
  <c r="I37" i="2" s="1"/>
  <c r="F37" i="2"/>
  <c r="C37" i="2"/>
  <c r="AC36" i="2"/>
  <c r="AD36" i="2" s="1"/>
  <c r="AA36" i="2"/>
  <c r="X36" i="2"/>
  <c r="W36" i="2"/>
  <c r="U36" i="2"/>
  <c r="R36" i="2"/>
  <c r="O36" i="2"/>
  <c r="N36" i="2"/>
  <c r="L36" i="2"/>
  <c r="H36" i="2"/>
  <c r="I36" i="2" s="1"/>
  <c r="F36" i="2"/>
  <c r="C36" i="2"/>
  <c r="AC35" i="2"/>
  <c r="AD35" i="2" s="1"/>
  <c r="AA35" i="2"/>
  <c r="X35" i="2"/>
  <c r="W35" i="2"/>
  <c r="U35" i="2"/>
  <c r="R35" i="2"/>
  <c r="O35" i="2"/>
  <c r="N35" i="2"/>
  <c r="L35" i="2"/>
  <c r="H35" i="2"/>
  <c r="I35" i="2" s="1"/>
  <c r="F35" i="2"/>
  <c r="C35" i="2"/>
  <c r="AD34" i="2"/>
  <c r="AC34" i="2"/>
  <c r="AA34" i="2"/>
  <c r="X34" i="2"/>
  <c r="W34" i="2"/>
  <c r="U34" i="2"/>
  <c r="R34" i="2"/>
  <c r="N34" i="2"/>
  <c r="O34" i="2" s="1"/>
  <c r="L34" i="2"/>
  <c r="H34" i="2"/>
  <c r="I34" i="2" s="1"/>
  <c r="F34" i="2"/>
  <c r="C34" i="2"/>
  <c r="AC33" i="2"/>
  <c r="AD33" i="2" s="1"/>
  <c r="AA33" i="2"/>
  <c r="X33" i="2"/>
  <c r="W33" i="2"/>
  <c r="U33" i="2"/>
  <c r="R33" i="2"/>
  <c r="O33" i="2"/>
  <c r="N33" i="2"/>
  <c r="L33" i="2"/>
  <c r="H33" i="2"/>
  <c r="I33" i="2" s="1"/>
  <c r="F33" i="2"/>
  <c r="C33" i="2"/>
  <c r="AC32" i="2"/>
  <c r="AD32" i="2" s="1"/>
  <c r="AA32" i="2"/>
  <c r="W32" i="2"/>
  <c r="X32" i="2" s="1"/>
  <c r="U32" i="2"/>
  <c r="R32" i="2"/>
  <c r="O32" i="2"/>
  <c r="N32" i="2"/>
  <c r="L32" i="2"/>
  <c r="H32" i="2"/>
  <c r="I32" i="2" s="1"/>
  <c r="F32" i="2"/>
  <c r="C32" i="2"/>
  <c r="AC31" i="2"/>
  <c r="AD31" i="2" s="1"/>
  <c r="AA31" i="2"/>
  <c r="X31" i="2"/>
  <c r="W31" i="2"/>
  <c r="U31" i="2"/>
  <c r="R31" i="2"/>
  <c r="O31" i="2"/>
  <c r="N31" i="2"/>
  <c r="L31" i="2"/>
  <c r="H31" i="2"/>
  <c r="I31" i="2" s="1"/>
  <c r="F31" i="2"/>
  <c r="C31" i="2"/>
  <c r="Z29" i="2"/>
  <c r="AA29" i="2" s="1"/>
  <c r="T29" i="2"/>
  <c r="U29" i="2" s="1"/>
  <c r="Q29" i="2"/>
  <c r="R29" i="2" s="1"/>
  <c r="N29" i="2"/>
  <c r="O29" i="2" s="1"/>
  <c r="K29" i="2"/>
  <c r="L29" i="2" s="1"/>
  <c r="H29" i="2"/>
  <c r="I29" i="2" s="1"/>
  <c r="E29" i="2"/>
  <c r="F29" i="2" s="1"/>
  <c r="B29" i="2"/>
  <c r="C29" i="2" s="1"/>
  <c r="AC28" i="2"/>
  <c r="AD28" i="2" s="1"/>
  <c r="AA28" i="2"/>
  <c r="X28" i="2"/>
  <c r="W28" i="2"/>
  <c r="U28" i="2"/>
  <c r="R28" i="2"/>
  <c r="O28" i="2"/>
  <c r="N28" i="2"/>
  <c r="L28" i="2"/>
  <c r="H28" i="2"/>
  <c r="I28" i="2" s="1"/>
  <c r="F28" i="2"/>
  <c r="C28" i="2"/>
  <c r="AC27" i="2"/>
  <c r="AD27" i="2" s="1"/>
  <c r="AA27" i="2"/>
  <c r="X27" i="2"/>
  <c r="W27" i="2"/>
  <c r="U27" i="2"/>
  <c r="R27" i="2"/>
  <c r="O27" i="2"/>
  <c r="N27" i="2"/>
  <c r="L27" i="2"/>
  <c r="H27" i="2"/>
  <c r="I27" i="2" s="1"/>
  <c r="F27" i="2"/>
  <c r="C27" i="2"/>
  <c r="AD26" i="2"/>
  <c r="AC26" i="2"/>
  <c r="AA26" i="2"/>
  <c r="X26" i="2"/>
  <c r="W26" i="2"/>
  <c r="U26" i="2"/>
  <c r="R26" i="2"/>
  <c r="N26" i="2"/>
  <c r="O26" i="2" s="1"/>
  <c r="L26" i="2"/>
  <c r="H26" i="2"/>
  <c r="I26" i="2" s="1"/>
  <c r="F26" i="2"/>
  <c r="C26" i="2"/>
  <c r="AC25" i="2"/>
  <c r="AD25" i="2" s="1"/>
  <c r="AA25" i="2"/>
  <c r="X25" i="2"/>
  <c r="W25" i="2"/>
  <c r="U25" i="2"/>
  <c r="R25" i="2"/>
  <c r="O25" i="2"/>
  <c r="N25" i="2"/>
  <c r="L25" i="2"/>
  <c r="H25" i="2"/>
  <c r="I25" i="2" s="1"/>
  <c r="F25" i="2"/>
  <c r="C25" i="2"/>
  <c r="AC24" i="2"/>
  <c r="AD24" i="2" s="1"/>
  <c r="AA24" i="2"/>
  <c r="X24" i="2"/>
  <c r="W24" i="2"/>
  <c r="U24" i="2"/>
  <c r="R24" i="2"/>
  <c r="O24" i="2"/>
  <c r="N24" i="2"/>
  <c r="L24" i="2"/>
  <c r="H24" i="2"/>
  <c r="I24" i="2" s="1"/>
  <c r="F24" i="2"/>
  <c r="C24" i="2"/>
  <c r="AC23" i="2"/>
  <c r="AD23" i="2" s="1"/>
  <c r="AA23" i="2"/>
  <c r="X23" i="2"/>
  <c r="W23" i="2"/>
  <c r="U23" i="2"/>
  <c r="R23" i="2"/>
  <c r="O23" i="2"/>
  <c r="N23" i="2"/>
  <c r="L23" i="2"/>
  <c r="H23" i="2"/>
  <c r="I23" i="2" s="1"/>
  <c r="F23" i="2"/>
  <c r="C23" i="2"/>
  <c r="AD22" i="2"/>
  <c r="AC22" i="2"/>
  <c r="AA22" i="2"/>
  <c r="X22" i="2"/>
  <c r="W22" i="2"/>
  <c r="U22" i="2"/>
  <c r="R22" i="2"/>
  <c r="O22" i="2"/>
  <c r="N22" i="2"/>
  <c r="L22" i="2"/>
  <c r="H22" i="2"/>
  <c r="I22" i="2" s="1"/>
  <c r="F22" i="2"/>
  <c r="C22" i="2"/>
  <c r="AC21" i="2"/>
  <c r="AD21" i="2" s="1"/>
  <c r="AA21" i="2"/>
  <c r="X21" i="2"/>
  <c r="W21" i="2"/>
  <c r="U21" i="2"/>
  <c r="R21" i="2"/>
  <c r="O21" i="2"/>
  <c r="N21" i="2"/>
  <c r="L21" i="2"/>
  <c r="H21" i="2"/>
  <c r="I21" i="2" s="1"/>
  <c r="F21" i="2"/>
  <c r="C21" i="2"/>
  <c r="AC19" i="2"/>
  <c r="AD19" i="2" s="1"/>
  <c r="AA19" i="2"/>
  <c r="W19" i="2"/>
  <c r="X19" i="2" s="1"/>
  <c r="U19" i="2"/>
  <c r="R19" i="2"/>
  <c r="O19" i="2"/>
  <c r="N19" i="2"/>
  <c r="L19" i="2"/>
  <c r="H19" i="2"/>
  <c r="I19" i="2" s="1"/>
  <c r="F19" i="2"/>
  <c r="C19" i="2"/>
  <c r="AC18" i="2"/>
  <c r="AD18" i="2" s="1"/>
  <c r="Z18" i="2"/>
  <c r="AA18" i="2" s="1"/>
  <c r="W18" i="2"/>
  <c r="X18" i="2" s="1"/>
  <c r="T18" i="2"/>
  <c r="U18" i="2" s="1"/>
  <c r="Q18" i="2"/>
  <c r="R18" i="2" s="1"/>
  <c r="K18" i="2"/>
  <c r="L18" i="2" s="1"/>
  <c r="E18" i="2"/>
  <c r="F18" i="2" s="1"/>
  <c r="B18" i="2"/>
  <c r="C18" i="2" s="1"/>
  <c r="AC17" i="2"/>
  <c r="AD17" i="2" s="1"/>
  <c r="AA17" i="2"/>
  <c r="X17" i="2"/>
  <c r="W17" i="2"/>
  <c r="U17" i="2"/>
  <c r="R17" i="2"/>
  <c r="O17" i="2"/>
  <c r="N17" i="2"/>
  <c r="L17" i="2"/>
  <c r="I17" i="2"/>
  <c r="H17" i="2"/>
  <c r="F17" i="2"/>
  <c r="C17" i="2"/>
  <c r="AC16" i="2"/>
  <c r="AD16" i="2" s="1"/>
  <c r="AA16" i="2"/>
  <c r="X16" i="2"/>
  <c r="W16" i="2"/>
  <c r="U16" i="2"/>
  <c r="R16" i="2"/>
  <c r="O16" i="2"/>
  <c r="N16" i="2"/>
  <c r="L16" i="2"/>
  <c r="H16" i="2"/>
  <c r="I16" i="2" s="1"/>
  <c r="F16" i="2"/>
  <c r="C16" i="2"/>
  <c r="AC15" i="2"/>
  <c r="AD15" i="2" s="1"/>
  <c r="AA15" i="2"/>
  <c r="X15" i="2"/>
  <c r="W15" i="2"/>
  <c r="U15" i="2"/>
  <c r="R15" i="2"/>
  <c r="O15" i="2"/>
  <c r="N15" i="2"/>
  <c r="L15" i="2"/>
  <c r="H15" i="2"/>
  <c r="I15" i="2" s="1"/>
  <c r="F15" i="2"/>
  <c r="C15" i="2"/>
  <c r="AC14" i="2"/>
  <c r="AD14" i="2" s="1"/>
  <c r="AA14" i="2"/>
  <c r="X14" i="2"/>
  <c r="W14" i="2"/>
  <c r="U14" i="2"/>
  <c r="R14" i="2"/>
  <c r="N14" i="2"/>
  <c r="O14" i="2" s="1"/>
  <c r="L14" i="2"/>
  <c r="H14" i="2"/>
  <c r="I14" i="2" s="1"/>
  <c r="F14" i="2"/>
  <c r="C14" i="2"/>
  <c r="AC13" i="2"/>
  <c r="AD13" i="2" s="1"/>
  <c r="AA13" i="2"/>
  <c r="X13" i="2"/>
  <c r="W13" i="2"/>
  <c r="U13" i="2"/>
  <c r="R13" i="2"/>
  <c r="O13" i="2"/>
  <c r="N13" i="2"/>
  <c r="L13" i="2"/>
  <c r="H13" i="2"/>
  <c r="I13" i="2" s="1"/>
  <c r="F13" i="2"/>
  <c r="C13" i="2"/>
  <c r="AC12" i="2"/>
  <c r="AD12" i="2" s="1"/>
  <c r="AA12" i="2"/>
  <c r="X12" i="2"/>
  <c r="W12" i="2"/>
  <c r="U12" i="2"/>
  <c r="R12" i="2"/>
  <c r="O12" i="2"/>
  <c r="N12" i="2"/>
  <c r="L12" i="2"/>
  <c r="H12" i="2"/>
  <c r="I12" i="2" s="1"/>
  <c r="F12" i="2"/>
  <c r="C12" i="2"/>
  <c r="AC11" i="2"/>
  <c r="AD11" i="2" s="1"/>
  <c r="AA11" i="2"/>
  <c r="X11" i="2"/>
  <c r="W11" i="2"/>
  <c r="U11" i="2"/>
  <c r="R11" i="2"/>
  <c r="O11" i="2"/>
  <c r="N11" i="2"/>
  <c r="L11" i="2"/>
  <c r="H11" i="2"/>
  <c r="I11" i="2" s="1"/>
  <c r="F11" i="2"/>
  <c r="C11" i="2"/>
  <c r="AD10" i="2"/>
  <c r="AC10" i="2"/>
  <c r="AA10" i="2"/>
  <c r="X10" i="2"/>
  <c r="W10" i="2"/>
  <c r="U10" i="2"/>
  <c r="R10" i="2"/>
  <c r="O10" i="2"/>
  <c r="N10" i="2"/>
  <c r="L10" i="2"/>
  <c r="H10" i="2"/>
  <c r="I10" i="2" s="1"/>
  <c r="F10" i="2"/>
  <c r="C10" i="2"/>
  <c r="AC8" i="2"/>
  <c r="AD8" i="2" s="1"/>
  <c r="AA8" i="2"/>
  <c r="X8" i="2"/>
  <c r="W8" i="2"/>
  <c r="U8" i="2"/>
  <c r="R8" i="2"/>
  <c r="O8" i="2"/>
  <c r="N8" i="2"/>
  <c r="L8" i="2"/>
  <c r="H8" i="2"/>
  <c r="I8" i="2" s="1"/>
  <c r="F8" i="2"/>
  <c r="C8" i="2"/>
  <c r="AC444" i="1"/>
  <c r="W444" i="1"/>
  <c r="N444" i="1"/>
  <c r="H444" i="1"/>
  <c r="Z442" i="1"/>
  <c r="AA442" i="1" s="1"/>
  <c r="T442" i="1"/>
  <c r="U442" i="1" s="1"/>
  <c r="Q442" i="1"/>
  <c r="R442" i="1" s="1"/>
  <c r="K442" i="1"/>
  <c r="N442" i="1" s="1"/>
  <c r="O442" i="1" s="1"/>
  <c r="H442" i="1"/>
  <c r="E442" i="1"/>
  <c r="F442" i="1" s="1"/>
  <c r="B442" i="1"/>
  <c r="C442" i="1" s="1"/>
  <c r="Z441" i="1"/>
  <c r="AA441" i="1" s="1"/>
  <c r="T441" i="1"/>
  <c r="U441" i="1" s="1"/>
  <c r="Q441" i="1"/>
  <c r="K441" i="1"/>
  <c r="L441" i="1" s="1"/>
  <c r="F441" i="1"/>
  <c r="E441" i="1"/>
  <c r="B441" i="1"/>
  <c r="AC440" i="1"/>
  <c r="AD440" i="1" s="1"/>
  <c r="AA440" i="1"/>
  <c r="W440" i="1"/>
  <c r="X440" i="1" s="1"/>
  <c r="U440" i="1"/>
  <c r="R440" i="1"/>
  <c r="O440" i="1"/>
  <c r="N440" i="1"/>
  <c r="L440" i="1"/>
  <c r="H440" i="1"/>
  <c r="I440" i="1" s="1"/>
  <c r="F440" i="1"/>
  <c r="C440" i="1"/>
  <c r="AC439" i="1"/>
  <c r="AD439" i="1" s="1"/>
  <c r="AA439" i="1"/>
  <c r="X439" i="1"/>
  <c r="W439" i="1"/>
  <c r="U439" i="1"/>
  <c r="R439" i="1"/>
  <c r="O439" i="1"/>
  <c r="N439" i="1"/>
  <c r="L439" i="1"/>
  <c r="H439" i="1"/>
  <c r="I439" i="1" s="1"/>
  <c r="F439" i="1"/>
  <c r="C439" i="1"/>
  <c r="AC438" i="1"/>
  <c r="AD438" i="1" s="1"/>
  <c r="AA438" i="1"/>
  <c r="X438" i="1"/>
  <c r="W438" i="1"/>
  <c r="U438" i="1"/>
  <c r="R438" i="1"/>
  <c r="O438" i="1"/>
  <c r="N438" i="1"/>
  <c r="L438" i="1"/>
  <c r="H438" i="1"/>
  <c r="F438" i="1"/>
  <c r="C438" i="1"/>
  <c r="AC437" i="1"/>
  <c r="AD437" i="1" s="1"/>
  <c r="AA437" i="1"/>
  <c r="X437" i="1"/>
  <c r="W437" i="1"/>
  <c r="U437" i="1"/>
  <c r="R437" i="1"/>
  <c r="O437" i="1"/>
  <c r="N437" i="1"/>
  <c r="L437" i="1"/>
  <c r="H437" i="1"/>
  <c r="I437" i="1" s="1"/>
  <c r="F437" i="1"/>
  <c r="C437" i="1"/>
  <c r="AC436" i="1"/>
  <c r="AD436" i="1" s="1"/>
  <c r="AA436" i="1"/>
  <c r="W436" i="1"/>
  <c r="X436" i="1" s="1"/>
  <c r="U436" i="1"/>
  <c r="R436" i="1"/>
  <c r="O436" i="1"/>
  <c r="N436" i="1"/>
  <c r="L436" i="1"/>
  <c r="H436" i="1"/>
  <c r="F436" i="1"/>
  <c r="C436" i="1"/>
  <c r="AC435" i="1"/>
  <c r="AD435" i="1" s="1"/>
  <c r="AA435" i="1"/>
  <c r="X435" i="1"/>
  <c r="W435" i="1"/>
  <c r="U435" i="1"/>
  <c r="R435" i="1"/>
  <c r="O435" i="1"/>
  <c r="N435" i="1"/>
  <c r="L435" i="1"/>
  <c r="H435" i="1"/>
  <c r="I435" i="1" s="1"/>
  <c r="F435" i="1"/>
  <c r="C435" i="1"/>
  <c r="AC434" i="1"/>
  <c r="AD434" i="1" s="1"/>
  <c r="AA434" i="1"/>
  <c r="X434" i="1"/>
  <c r="W434" i="1"/>
  <c r="U434" i="1"/>
  <c r="R434" i="1"/>
  <c r="O434" i="1"/>
  <c r="N434" i="1"/>
  <c r="L434" i="1"/>
  <c r="H434" i="1"/>
  <c r="I434" i="1" s="1"/>
  <c r="F434" i="1"/>
  <c r="C434" i="1"/>
  <c r="AC433" i="1"/>
  <c r="AD433" i="1" s="1"/>
  <c r="AA433" i="1"/>
  <c r="X433" i="1"/>
  <c r="W433" i="1"/>
  <c r="U433" i="1"/>
  <c r="R433" i="1"/>
  <c r="O433" i="1"/>
  <c r="N433" i="1"/>
  <c r="L433" i="1"/>
  <c r="H433" i="1"/>
  <c r="I433" i="1" s="1"/>
  <c r="F433" i="1"/>
  <c r="C433" i="1"/>
  <c r="AC432" i="1"/>
  <c r="AD432" i="1" s="1"/>
  <c r="AA432" i="1"/>
  <c r="W432" i="1"/>
  <c r="X432" i="1" s="1"/>
  <c r="U432" i="1"/>
  <c r="R432" i="1"/>
  <c r="O432" i="1"/>
  <c r="N432" i="1"/>
  <c r="L432" i="1"/>
  <c r="H432" i="1"/>
  <c r="I432" i="1" s="1"/>
  <c r="F432" i="1"/>
  <c r="C432" i="1"/>
  <c r="Z429" i="1"/>
  <c r="AA429" i="1" s="1"/>
  <c r="T429" i="1"/>
  <c r="U429" i="1" s="1"/>
  <c r="Q429" i="1"/>
  <c r="N429" i="1"/>
  <c r="O429" i="1" s="1"/>
  <c r="K429" i="1"/>
  <c r="L429" i="1" s="1"/>
  <c r="H429" i="1"/>
  <c r="I429" i="1" s="1"/>
  <c r="E429" i="1"/>
  <c r="F429" i="1" s="1"/>
  <c r="B429" i="1"/>
  <c r="C429" i="1" s="1"/>
  <c r="Z428" i="1"/>
  <c r="AA428" i="1" s="1"/>
  <c r="W428" i="1"/>
  <c r="X428" i="1" s="1"/>
  <c r="T428" i="1"/>
  <c r="U428" i="1" s="1"/>
  <c r="Q428" i="1"/>
  <c r="K428" i="1"/>
  <c r="L428" i="1" s="1"/>
  <c r="E428" i="1"/>
  <c r="F428" i="1" s="1"/>
  <c r="C428" i="1"/>
  <c r="B428" i="1"/>
  <c r="N428" i="1" s="1"/>
  <c r="O428" i="1" s="1"/>
  <c r="AC427" i="1"/>
  <c r="AD427" i="1" s="1"/>
  <c r="AA427" i="1"/>
  <c r="X427" i="1"/>
  <c r="W427" i="1"/>
  <c r="U427" i="1"/>
  <c r="R427" i="1"/>
  <c r="O427" i="1"/>
  <c r="N427" i="1"/>
  <c r="L427" i="1"/>
  <c r="H427" i="1"/>
  <c r="F427" i="1"/>
  <c r="C427" i="1"/>
  <c r="AC426" i="1"/>
  <c r="AD426" i="1" s="1"/>
  <c r="AA426" i="1"/>
  <c r="X426" i="1"/>
  <c r="W426" i="1"/>
  <c r="U426" i="1"/>
  <c r="R426" i="1"/>
  <c r="N426" i="1"/>
  <c r="O426" i="1" s="1"/>
  <c r="L426" i="1"/>
  <c r="H426" i="1"/>
  <c r="I426" i="1" s="1"/>
  <c r="F426" i="1"/>
  <c r="C426" i="1"/>
  <c r="AC425" i="1"/>
  <c r="AD425" i="1" s="1"/>
  <c r="AA425" i="1"/>
  <c r="X425" i="1"/>
  <c r="W425" i="1"/>
  <c r="U425" i="1"/>
  <c r="R425" i="1"/>
  <c r="O425" i="1"/>
  <c r="N425" i="1"/>
  <c r="L425" i="1"/>
  <c r="H425" i="1"/>
  <c r="I425" i="1" s="1"/>
  <c r="F425" i="1"/>
  <c r="C425" i="1"/>
  <c r="AC424" i="1"/>
  <c r="AD424" i="1" s="1"/>
  <c r="AA424" i="1"/>
  <c r="X424" i="1"/>
  <c r="W424" i="1"/>
  <c r="U424" i="1"/>
  <c r="R424" i="1"/>
  <c r="O424" i="1"/>
  <c r="N424" i="1"/>
  <c r="L424" i="1"/>
  <c r="H424" i="1"/>
  <c r="F424" i="1"/>
  <c r="C424" i="1"/>
  <c r="AC423" i="1"/>
  <c r="AD423" i="1" s="1"/>
  <c r="AA423" i="1"/>
  <c r="X423" i="1"/>
  <c r="W423" i="1"/>
  <c r="U423" i="1"/>
  <c r="R423" i="1"/>
  <c r="O423" i="1"/>
  <c r="N423" i="1"/>
  <c r="L423" i="1"/>
  <c r="H423" i="1"/>
  <c r="I423" i="1" s="1"/>
  <c r="F423" i="1"/>
  <c r="C423" i="1"/>
  <c r="AD422" i="1"/>
  <c r="AC422" i="1"/>
  <c r="AA422" i="1"/>
  <c r="X422" i="1"/>
  <c r="W422" i="1"/>
  <c r="U422" i="1"/>
  <c r="R422" i="1"/>
  <c r="O422" i="1"/>
  <c r="N422" i="1"/>
  <c r="L422" i="1"/>
  <c r="H422" i="1"/>
  <c r="I422" i="1" s="1"/>
  <c r="F422" i="1"/>
  <c r="C422" i="1"/>
  <c r="AC421" i="1"/>
  <c r="AD421" i="1" s="1"/>
  <c r="AA421" i="1"/>
  <c r="X421" i="1"/>
  <c r="W421" i="1"/>
  <c r="U421" i="1"/>
  <c r="R421" i="1"/>
  <c r="O421" i="1"/>
  <c r="N421" i="1"/>
  <c r="L421" i="1"/>
  <c r="H421" i="1"/>
  <c r="I421" i="1" s="1"/>
  <c r="F421" i="1"/>
  <c r="C421" i="1"/>
  <c r="AC420" i="1"/>
  <c r="AD420" i="1" s="1"/>
  <c r="AA420" i="1"/>
  <c r="W420" i="1"/>
  <c r="X420" i="1" s="1"/>
  <c r="U420" i="1"/>
  <c r="R420" i="1"/>
  <c r="O420" i="1"/>
  <c r="N420" i="1"/>
  <c r="L420" i="1"/>
  <c r="H420" i="1"/>
  <c r="F420" i="1"/>
  <c r="C420" i="1"/>
  <c r="AC419" i="1"/>
  <c r="AD419" i="1" s="1"/>
  <c r="AA419" i="1"/>
  <c r="X419" i="1"/>
  <c r="W419" i="1"/>
  <c r="U419" i="1"/>
  <c r="R419" i="1"/>
  <c r="O419" i="1"/>
  <c r="N419" i="1"/>
  <c r="L419" i="1"/>
  <c r="H419" i="1"/>
  <c r="I419" i="1" s="1"/>
  <c r="F419" i="1"/>
  <c r="C419" i="1"/>
  <c r="AD418" i="1"/>
  <c r="AC418" i="1"/>
  <c r="AA418" i="1"/>
  <c r="X418" i="1"/>
  <c r="W418" i="1"/>
  <c r="U418" i="1"/>
  <c r="R418" i="1"/>
  <c r="N418" i="1"/>
  <c r="O418" i="1" s="1"/>
  <c r="L418" i="1"/>
  <c r="H418" i="1"/>
  <c r="F418" i="1"/>
  <c r="C418" i="1"/>
  <c r="AC417" i="1"/>
  <c r="AD417" i="1" s="1"/>
  <c r="AA417" i="1"/>
  <c r="X417" i="1"/>
  <c r="W417" i="1"/>
  <c r="U417" i="1"/>
  <c r="R417" i="1"/>
  <c r="O417" i="1"/>
  <c r="N417" i="1"/>
  <c r="L417" i="1"/>
  <c r="I417" i="1"/>
  <c r="H417" i="1"/>
  <c r="F417" i="1"/>
  <c r="C417" i="1"/>
  <c r="AC416" i="1"/>
  <c r="AD416" i="1" s="1"/>
  <c r="AA416" i="1"/>
  <c r="X416" i="1"/>
  <c r="W416" i="1"/>
  <c r="U416" i="1"/>
  <c r="R416" i="1"/>
  <c r="O416" i="1"/>
  <c r="N416" i="1"/>
  <c r="L416" i="1"/>
  <c r="H416" i="1"/>
  <c r="I416" i="1" s="1"/>
  <c r="F416" i="1"/>
  <c r="C416" i="1"/>
  <c r="AC415" i="1"/>
  <c r="AD415" i="1" s="1"/>
  <c r="AA415" i="1"/>
  <c r="X415" i="1"/>
  <c r="W415" i="1"/>
  <c r="U415" i="1"/>
  <c r="R415" i="1"/>
  <c r="O415" i="1"/>
  <c r="N415" i="1"/>
  <c r="L415" i="1"/>
  <c r="H415" i="1"/>
  <c r="I415" i="1" s="1"/>
  <c r="F415" i="1"/>
  <c r="C415" i="1"/>
  <c r="AC414" i="1"/>
  <c r="AD414" i="1" s="1"/>
  <c r="AA414" i="1"/>
  <c r="X414" i="1"/>
  <c r="W414" i="1"/>
  <c r="U414" i="1"/>
  <c r="R414" i="1"/>
  <c r="N414" i="1"/>
  <c r="O414" i="1" s="1"/>
  <c r="L414" i="1"/>
  <c r="H414" i="1"/>
  <c r="I414" i="1" s="1"/>
  <c r="F414" i="1"/>
  <c r="C414" i="1"/>
  <c r="AC413" i="1"/>
  <c r="AD413" i="1" s="1"/>
  <c r="AA413" i="1"/>
  <c r="X413" i="1"/>
  <c r="W413" i="1"/>
  <c r="U413" i="1"/>
  <c r="R413" i="1"/>
  <c r="O413" i="1"/>
  <c r="N413" i="1"/>
  <c r="L413" i="1"/>
  <c r="I413" i="1"/>
  <c r="H413" i="1"/>
  <c r="F413" i="1"/>
  <c r="C413" i="1"/>
  <c r="AC412" i="1"/>
  <c r="AD412" i="1" s="1"/>
  <c r="AA412" i="1"/>
  <c r="X412" i="1"/>
  <c r="W412" i="1"/>
  <c r="U412" i="1"/>
  <c r="R412" i="1"/>
  <c r="O412" i="1"/>
  <c r="N412" i="1"/>
  <c r="L412" i="1"/>
  <c r="H412" i="1"/>
  <c r="I412" i="1" s="1"/>
  <c r="F412" i="1"/>
  <c r="C412" i="1"/>
  <c r="AC411" i="1"/>
  <c r="AD411" i="1" s="1"/>
  <c r="AA411" i="1"/>
  <c r="X411" i="1"/>
  <c r="W411" i="1"/>
  <c r="U411" i="1"/>
  <c r="R411" i="1"/>
  <c r="O411" i="1"/>
  <c r="N411" i="1"/>
  <c r="L411" i="1"/>
  <c r="H411" i="1"/>
  <c r="F411" i="1"/>
  <c r="C411" i="1"/>
  <c r="AC410" i="1"/>
  <c r="AD410" i="1" s="1"/>
  <c r="AA410" i="1"/>
  <c r="X410" i="1"/>
  <c r="W410" i="1"/>
  <c r="U410" i="1"/>
  <c r="R410" i="1"/>
  <c r="N410" i="1"/>
  <c r="O410" i="1" s="1"/>
  <c r="L410" i="1"/>
  <c r="H410" i="1"/>
  <c r="I410" i="1" s="1"/>
  <c r="F410" i="1"/>
  <c r="C410" i="1"/>
  <c r="AC409" i="1"/>
  <c r="AD409" i="1" s="1"/>
  <c r="AA409" i="1"/>
  <c r="X409" i="1"/>
  <c r="W409" i="1"/>
  <c r="U409" i="1"/>
  <c r="R409" i="1"/>
  <c r="O409" i="1"/>
  <c r="N409" i="1"/>
  <c r="L409" i="1"/>
  <c r="H409" i="1"/>
  <c r="I409" i="1" s="1"/>
  <c r="F409" i="1"/>
  <c r="C409" i="1"/>
  <c r="AC408" i="1"/>
  <c r="AD408" i="1" s="1"/>
  <c r="AA408" i="1"/>
  <c r="X408" i="1"/>
  <c r="W408" i="1"/>
  <c r="U408" i="1"/>
  <c r="R408" i="1"/>
  <c r="O408" i="1"/>
  <c r="N408" i="1"/>
  <c r="L408" i="1"/>
  <c r="H408" i="1"/>
  <c r="I408" i="1" s="1"/>
  <c r="F408" i="1"/>
  <c r="C408" i="1"/>
  <c r="AC407" i="1"/>
  <c r="AD407" i="1" s="1"/>
  <c r="AA407" i="1"/>
  <c r="X407" i="1"/>
  <c r="W407" i="1"/>
  <c r="U407" i="1"/>
  <c r="R407" i="1"/>
  <c r="O407" i="1"/>
  <c r="N407" i="1"/>
  <c r="L407" i="1"/>
  <c r="H407" i="1"/>
  <c r="I407" i="1" s="1"/>
  <c r="F407" i="1"/>
  <c r="C407" i="1"/>
  <c r="AD403" i="1"/>
  <c r="Z403" i="1"/>
  <c r="AA403" i="1" s="1"/>
  <c r="X403" i="1"/>
  <c r="W403" i="1"/>
  <c r="U403" i="1"/>
  <c r="T403" i="1"/>
  <c r="R403" i="1"/>
  <c r="Q403" i="1"/>
  <c r="AC403" i="1" s="1"/>
  <c r="K403" i="1"/>
  <c r="L403" i="1" s="1"/>
  <c r="F403" i="1"/>
  <c r="E403" i="1"/>
  <c r="B403" i="1"/>
  <c r="C403" i="1" s="1"/>
  <c r="AC402" i="1"/>
  <c r="AD402" i="1" s="1"/>
  <c r="AA402" i="1"/>
  <c r="W402" i="1"/>
  <c r="X402" i="1" s="1"/>
  <c r="U402" i="1"/>
  <c r="R402" i="1"/>
  <c r="N402" i="1"/>
  <c r="O402" i="1" s="1"/>
  <c r="L402" i="1"/>
  <c r="I402" i="1"/>
  <c r="H402" i="1"/>
  <c r="F402" i="1"/>
  <c r="C402" i="1"/>
  <c r="AC401" i="1"/>
  <c r="AD401" i="1" s="1"/>
  <c r="AA401" i="1"/>
  <c r="X401" i="1"/>
  <c r="W401" i="1"/>
  <c r="U401" i="1"/>
  <c r="R401" i="1"/>
  <c r="N401" i="1"/>
  <c r="O401" i="1" s="1"/>
  <c r="L401" i="1"/>
  <c r="I401" i="1"/>
  <c r="H401" i="1"/>
  <c r="F401" i="1"/>
  <c r="C401" i="1"/>
  <c r="AD400" i="1"/>
  <c r="AC400" i="1"/>
  <c r="AA400" i="1"/>
  <c r="W400" i="1"/>
  <c r="X400" i="1" s="1"/>
  <c r="U400" i="1"/>
  <c r="R400" i="1"/>
  <c r="N400" i="1"/>
  <c r="O400" i="1" s="1"/>
  <c r="L400" i="1"/>
  <c r="H400" i="1"/>
  <c r="I400" i="1" s="1"/>
  <c r="F400" i="1"/>
  <c r="C400" i="1"/>
  <c r="AD399" i="1"/>
  <c r="AC399" i="1"/>
  <c r="AA399" i="1"/>
  <c r="W399" i="1"/>
  <c r="X399" i="1" s="1"/>
  <c r="U399" i="1"/>
  <c r="R399" i="1"/>
  <c r="N399" i="1"/>
  <c r="O399" i="1" s="1"/>
  <c r="L399" i="1"/>
  <c r="I399" i="1"/>
  <c r="H399" i="1"/>
  <c r="F399" i="1"/>
  <c r="C399" i="1"/>
  <c r="AC398" i="1"/>
  <c r="AD398" i="1" s="1"/>
  <c r="AA398" i="1"/>
  <c r="W398" i="1"/>
  <c r="X398" i="1" s="1"/>
  <c r="U398" i="1"/>
  <c r="R398" i="1"/>
  <c r="N398" i="1"/>
  <c r="O398" i="1" s="1"/>
  <c r="L398" i="1"/>
  <c r="I398" i="1"/>
  <c r="H398" i="1"/>
  <c r="F398" i="1"/>
  <c r="C398" i="1"/>
  <c r="AC397" i="1"/>
  <c r="AD397" i="1" s="1"/>
  <c r="AA397" i="1"/>
  <c r="X397" i="1"/>
  <c r="W397" i="1"/>
  <c r="U397" i="1"/>
  <c r="R397" i="1"/>
  <c r="N397" i="1"/>
  <c r="O397" i="1" s="1"/>
  <c r="L397" i="1"/>
  <c r="I397" i="1"/>
  <c r="H397" i="1"/>
  <c r="F397" i="1"/>
  <c r="C397" i="1"/>
  <c r="AD396" i="1"/>
  <c r="Z396" i="1"/>
  <c r="AA396" i="1" s="1"/>
  <c r="W396" i="1"/>
  <c r="X396" i="1" s="1"/>
  <c r="U396" i="1"/>
  <c r="T396" i="1"/>
  <c r="R396" i="1"/>
  <c r="Q396" i="1"/>
  <c r="AC396" i="1" s="1"/>
  <c r="K396" i="1"/>
  <c r="L396" i="1" s="1"/>
  <c r="F396" i="1"/>
  <c r="E396" i="1"/>
  <c r="B396" i="1"/>
  <c r="C396" i="1" s="1"/>
  <c r="AD395" i="1"/>
  <c r="AC395" i="1"/>
  <c r="AA395" i="1"/>
  <c r="W395" i="1"/>
  <c r="X395" i="1" s="1"/>
  <c r="U395" i="1"/>
  <c r="R395" i="1"/>
  <c r="N395" i="1"/>
  <c r="O395" i="1" s="1"/>
  <c r="L395" i="1"/>
  <c r="I395" i="1"/>
  <c r="H395" i="1"/>
  <c r="F395" i="1"/>
  <c r="C395" i="1"/>
  <c r="AC394" i="1"/>
  <c r="AD394" i="1" s="1"/>
  <c r="AA394" i="1"/>
  <c r="X394" i="1"/>
  <c r="W394" i="1"/>
  <c r="U394" i="1"/>
  <c r="R394" i="1"/>
  <c r="N394" i="1"/>
  <c r="O394" i="1" s="1"/>
  <c r="L394" i="1"/>
  <c r="H394" i="1"/>
  <c r="I394" i="1" s="1"/>
  <c r="F394" i="1"/>
  <c r="C394" i="1"/>
  <c r="AD393" i="1"/>
  <c r="Z393" i="1"/>
  <c r="AA393" i="1" s="1"/>
  <c r="W393" i="1"/>
  <c r="X393" i="1" s="1"/>
  <c r="U393" i="1"/>
  <c r="T393" i="1"/>
  <c r="R393" i="1"/>
  <c r="Q393" i="1"/>
  <c r="AC393" i="1" s="1"/>
  <c r="L393" i="1"/>
  <c r="K393" i="1"/>
  <c r="F393" i="1"/>
  <c r="E393" i="1"/>
  <c r="B393" i="1"/>
  <c r="C393" i="1" s="1"/>
  <c r="AD392" i="1"/>
  <c r="AC392" i="1"/>
  <c r="AA392" i="1"/>
  <c r="W392" i="1"/>
  <c r="X392" i="1" s="1"/>
  <c r="U392" i="1"/>
  <c r="R392" i="1"/>
  <c r="N392" i="1"/>
  <c r="O392" i="1" s="1"/>
  <c r="L392" i="1"/>
  <c r="I392" i="1"/>
  <c r="H392" i="1"/>
  <c r="F392" i="1"/>
  <c r="C392" i="1"/>
  <c r="AC391" i="1"/>
  <c r="AD391" i="1" s="1"/>
  <c r="AA391" i="1"/>
  <c r="W391" i="1"/>
  <c r="X391" i="1" s="1"/>
  <c r="U391" i="1"/>
  <c r="R391" i="1"/>
  <c r="N391" i="1"/>
  <c r="O391" i="1" s="1"/>
  <c r="L391" i="1"/>
  <c r="H391" i="1"/>
  <c r="I391" i="1" s="1"/>
  <c r="F391" i="1"/>
  <c r="C391" i="1"/>
  <c r="AD390" i="1"/>
  <c r="AC390" i="1"/>
  <c r="AA390" i="1"/>
  <c r="W390" i="1"/>
  <c r="X390" i="1" s="1"/>
  <c r="U390" i="1"/>
  <c r="R390" i="1"/>
  <c r="N390" i="1"/>
  <c r="O390" i="1" s="1"/>
  <c r="L390" i="1"/>
  <c r="H390" i="1"/>
  <c r="I390" i="1" s="1"/>
  <c r="F390" i="1"/>
  <c r="C390" i="1"/>
  <c r="AD389" i="1"/>
  <c r="AC389" i="1"/>
  <c r="AA389" i="1"/>
  <c r="W389" i="1"/>
  <c r="X389" i="1" s="1"/>
  <c r="U389" i="1"/>
  <c r="R389" i="1"/>
  <c r="N389" i="1"/>
  <c r="O389" i="1" s="1"/>
  <c r="L389" i="1"/>
  <c r="I389" i="1"/>
  <c r="H389" i="1"/>
  <c r="F389" i="1"/>
  <c r="C389" i="1"/>
  <c r="AD388" i="1"/>
  <c r="AC388" i="1"/>
  <c r="AA388" i="1"/>
  <c r="W388" i="1"/>
  <c r="X388" i="1" s="1"/>
  <c r="U388" i="1"/>
  <c r="R388" i="1"/>
  <c r="N388" i="1"/>
  <c r="O388" i="1" s="1"/>
  <c r="L388" i="1"/>
  <c r="I388" i="1"/>
  <c r="H388" i="1"/>
  <c r="F388" i="1"/>
  <c r="C388" i="1"/>
  <c r="AC386" i="1"/>
  <c r="AD386" i="1" s="1"/>
  <c r="AA386" i="1"/>
  <c r="W386" i="1"/>
  <c r="X386" i="1" s="1"/>
  <c r="U386" i="1"/>
  <c r="R386" i="1"/>
  <c r="N386" i="1"/>
  <c r="O386" i="1" s="1"/>
  <c r="L386" i="1"/>
  <c r="H386" i="1"/>
  <c r="I386" i="1" s="1"/>
  <c r="F386" i="1"/>
  <c r="C386" i="1"/>
  <c r="AD385" i="1"/>
  <c r="AC385" i="1"/>
  <c r="AA385" i="1"/>
  <c r="W385" i="1"/>
  <c r="X385" i="1" s="1"/>
  <c r="U385" i="1"/>
  <c r="R385" i="1"/>
  <c r="N385" i="1"/>
  <c r="O385" i="1" s="1"/>
  <c r="L385" i="1"/>
  <c r="H385" i="1"/>
  <c r="I385" i="1" s="1"/>
  <c r="F385" i="1"/>
  <c r="C385" i="1"/>
  <c r="AD383" i="1"/>
  <c r="AC383" i="1"/>
  <c r="AA383" i="1"/>
  <c r="W383" i="1"/>
  <c r="X383" i="1" s="1"/>
  <c r="U383" i="1"/>
  <c r="R383" i="1"/>
  <c r="N383" i="1"/>
  <c r="O383" i="1" s="1"/>
  <c r="L383" i="1"/>
  <c r="I383" i="1"/>
  <c r="H383" i="1"/>
  <c r="F383" i="1"/>
  <c r="C383" i="1"/>
  <c r="AD382" i="1"/>
  <c r="AC382" i="1"/>
  <c r="AA382" i="1"/>
  <c r="W382" i="1"/>
  <c r="X382" i="1" s="1"/>
  <c r="U382" i="1"/>
  <c r="R382" i="1"/>
  <c r="N382" i="1"/>
  <c r="O382" i="1" s="1"/>
  <c r="L382" i="1"/>
  <c r="I382" i="1"/>
  <c r="H382" i="1"/>
  <c r="F382" i="1"/>
  <c r="C382" i="1"/>
  <c r="AC381" i="1"/>
  <c r="AD381" i="1" s="1"/>
  <c r="AA381" i="1"/>
  <c r="W381" i="1"/>
  <c r="X381" i="1" s="1"/>
  <c r="U381" i="1"/>
  <c r="R381" i="1"/>
  <c r="N381" i="1"/>
  <c r="O381" i="1" s="1"/>
  <c r="L381" i="1"/>
  <c r="H381" i="1"/>
  <c r="I381" i="1" s="1"/>
  <c r="F381" i="1"/>
  <c r="C381" i="1"/>
  <c r="AD380" i="1"/>
  <c r="AC380" i="1"/>
  <c r="AA380" i="1"/>
  <c r="W380" i="1"/>
  <c r="X380" i="1" s="1"/>
  <c r="U380" i="1"/>
  <c r="R380" i="1"/>
  <c r="N380" i="1"/>
  <c r="O380" i="1" s="1"/>
  <c r="L380" i="1"/>
  <c r="H380" i="1"/>
  <c r="I380" i="1" s="1"/>
  <c r="F380" i="1"/>
  <c r="C380" i="1"/>
  <c r="AD379" i="1"/>
  <c r="AC379" i="1"/>
  <c r="AA379" i="1"/>
  <c r="W379" i="1"/>
  <c r="X379" i="1" s="1"/>
  <c r="U379" i="1"/>
  <c r="R379" i="1"/>
  <c r="N379" i="1"/>
  <c r="O379" i="1" s="1"/>
  <c r="L379" i="1"/>
  <c r="I379" i="1"/>
  <c r="H379" i="1"/>
  <c r="F379" i="1"/>
  <c r="C379" i="1"/>
  <c r="AD378" i="1"/>
  <c r="AC378" i="1"/>
  <c r="AA378" i="1"/>
  <c r="W378" i="1"/>
  <c r="X378" i="1" s="1"/>
  <c r="U378" i="1"/>
  <c r="R378" i="1"/>
  <c r="N378" i="1"/>
  <c r="O378" i="1" s="1"/>
  <c r="L378" i="1"/>
  <c r="I378" i="1"/>
  <c r="H378" i="1"/>
  <c r="F378" i="1"/>
  <c r="C378" i="1"/>
  <c r="AC377" i="1"/>
  <c r="AD377" i="1" s="1"/>
  <c r="AA377" i="1"/>
  <c r="W377" i="1"/>
  <c r="X377" i="1" s="1"/>
  <c r="U377" i="1"/>
  <c r="R377" i="1"/>
  <c r="N377" i="1"/>
  <c r="O377" i="1" s="1"/>
  <c r="L377" i="1"/>
  <c r="H377" i="1"/>
  <c r="I377" i="1" s="1"/>
  <c r="F377" i="1"/>
  <c r="C377" i="1"/>
  <c r="AD376" i="1"/>
  <c r="AC376" i="1"/>
  <c r="AA376" i="1"/>
  <c r="W376" i="1"/>
  <c r="X376" i="1" s="1"/>
  <c r="U376" i="1"/>
  <c r="R376" i="1"/>
  <c r="N376" i="1"/>
  <c r="O376" i="1" s="1"/>
  <c r="L376" i="1"/>
  <c r="H376" i="1"/>
  <c r="I376" i="1" s="1"/>
  <c r="F376" i="1"/>
  <c r="C376" i="1"/>
  <c r="AD375" i="1"/>
  <c r="AC375" i="1"/>
  <c r="AA375" i="1"/>
  <c r="W375" i="1"/>
  <c r="X375" i="1" s="1"/>
  <c r="U375" i="1"/>
  <c r="R375" i="1"/>
  <c r="N375" i="1"/>
  <c r="O375" i="1" s="1"/>
  <c r="L375" i="1"/>
  <c r="I375" i="1"/>
  <c r="H375" i="1"/>
  <c r="F375" i="1"/>
  <c r="C375" i="1"/>
  <c r="AD374" i="1"/>
  <c r="AC374" i="1"/>
  <c r="AA374" i="1"/>
  <c r="W374" i="1"/>
  <c r="X374" i="1" s="1"/>
  <c r="U374" i="1"/>
  <c r="R374" i="1"/>
  <c r="N374" i="1"/>
  <c r="O374" i="1" s="1"/>
  <c r="L374" i="1"/>
  <c r="I374" i="1"/>
  <c r="H374" i="1"/>
  <c r="F374" i="1"/>
  <c r="C374" i="1"/>
  <c r="AC373" i="1"/>
  <c r="AD373" i="1" s="1"/>
  <c r="AA373" i="1"/>
  <c r="W373" i="1"/>
  <c r="X373" i="1" s="1"/>
  <c r="U373" i="1"/>
  <c r="R373" i="1"/>
  <c r="N373" i="1"/>
  <c r="O373" i="1" s="1"/>
  <c r="L373" i="1"/>
  <c r="H373" i="1"/>
  <c r="I373" i="1" s="1"/>
  <c r="F373" i="1"/>
  <c r="C373" i="1"/>
  <c r="AD372" i="1"/>
  <c r="AC372" i="1"/>
  <c r="AA372" i="1"/>
  <c r="W372" i="1"/>
  <c r="X372" i="1" s="1"/>
  <c r="U372" i="1"/>
  <c r="R372" i="1"/>
  <c r="N372" i="1"/>
  <c r="O372" i="1" s="1"/>
  <c r="L372" i="1"/>
  <c r="H372" i="1"/>
  <c r="I372" i="1" s="1"/>
  <c r="F372" i="1"/>
  <c r="C372" i="1"/>
  <c r="AD371" i="1"/>
  <c r="AC371" i="1"/>
  <c r="AA371" i="1"/>
  <c r="W371" i="1"/>
  <c r="X371" i="1" s="1"/>
  <c r="U371" i="1"/>
  <c r="R371" i="1"/>
  <c r="N371" i="1"/>
  <c r="O371" i="1" s="1"/>
  <c r="L371" i="1"/>
  <c r="I371" i="1"/>
  <c r="H371" i="1"/>
  <c r="F371" i="1"/>
  <c r="C371" i="1"/>
  <c r="AD370" i="1"/>
  <c r="AC370" i="1"/>
  <c r="AA370" i="1"/>
  <c r="W370" i="1"/>
  <c r="X370" i="1" s="1"/>
  <c r="U370" i="1"/>
  <c r="R370" i="1"/>
  <c r="N370" i="1"/>
  <c r="O370" i="1" s="1"/>
  <c r="L370" i="1"/>
  <c r="I370" i="1"/>
  <c r="H370" i="1"/>
  <c r="F370" i="1"/>
  <c r="C370" i="1"/>
  <c r="AC369" i="1"/>
  <c r="AD369" i="1" s="1"/>
  <c r="AA369" i="1"/>
  <c r="W369" i="1"/>
  <c r="X369" i="1" s="1"/>
  <c r="U369" i="1"/>
  <c r="R369" i="1"/>
  <c r="N369" i="1"/>
  <c r="O369" i="1" s="1"/>
  <c r="L369" i="1"/>
  <c r="H369" i="1"/>
  <c r="I369" i="1" s="1"/>
  <c r="F369" i="1"/>
  <c r="C369" i="1"/>
  <c r="Z368" i="1"/>
  <c r="AA368" i="1" s="1"/>
  <c r="X368" i="1"/>
  <c r="W368" i="1"/>
  <c r="U368" i="1"/>
  <c r="T368" i="1"/>
  <c r="R368" i="1"/>
  <c r="Q368" i="1"/>
  <c r="AC368" i="1" s="1"/>
  <c r="AD368" i="1" s="1"/>
  <c r="L368" i="1"/>
  <c r="K368" i="1"/>
  <c r="F368" i="1"/>
  <c r="E368" i="1"/>
  <c r="B368" i="1"/>
  <c r="C368" i="1" s="1"/>
  <c r="AC367" i="1"/>
  <c r="AD367" i="1" s="1"/>
  <c r="AA367" i="1"/>
  <c r="W367" i="1"/>
  <c r="X367" i="1" s="1"/>
  <c r="U367" i="1"/>
  <c r="R367" i="1"/>
  <c r="N367" i="1"/>
  <c r="O367" i="1" s="1"/>
  <c r="L367" i="1"/>
  <c r="I367" i="1"/>
  <c r="H367" i="1"/>
  <c r="F367" i="1"/>
  <c r="C367" i="1"/>
  <c r="AC366" i="1"/>
  <c r="AD366" i="1" s="1"/>
  <c r="AA366" i="1"/>
  <c r="W366" i="1"/>
  <c r="X366" i="1" s="1"/>
  <c r="U366" i="1"/>
  <c r="R366" i="1"/>
  <c r="N366" i="1"/>
  <c r="O366" i="1" s="1"/>
  <c r="L366" i="1"/>
  <c r="I366" i="1"/>
  <c r="H366" i="1"/>
  <c r="F366" i="1"/>
  <c r="C366" i="1"/>
  <c r="AD365" i="1"/>
  <c r="AC365" i="1"/>
  <c r="AA365" i="1"/>
  <c r="W365" i="1"/>
  <c r="X365" i="1" s="1"/>
  <c r="U365" i="1"/>
  <c r="R365" i="1"/>
  <c r="N365" i="1"/>
  <c r="O365" i="1" s="1"/>
  <c r="L365" i="1"/>
  <c r="H365" i="1"/>
  <c r="I365" i="1" s="1"/>
  <c r="F365" i="1"/>
  <c r="C365" i="1"/>
  <c r="AD364" i="1"/>
  <c r="AC364" i="1"/>
  <c r="AA364" i="1"/>
  <c r="W364" i="1"/>
  <c r="X364" i="1" s="1"/>
  <c r="U364" i="1"/>
  <c r="R364" i="1"/>
  <c r="O364" i="1"/>
  <c r="N364" i="1"/>
  <c r="L364" i="1"/>
  <c r="I364" i="1"/>
  <c r="H364" i="1"/>
  <c r="F364" i="1"/>
  <c r="C364" i="1"/>
  <c r="AC363" i="1"/>
  <c r="AD363" i="1" s="1"/>
  <c r="AA363" i="1"/>
  <c r="W363" i="1"/>
  <c r="X363" i="1" s="1"/>
  <c r="U363" i="1"/>
  <c r="R363" i="1"/>
  <c r="N363" i="1"/>
  <c r="O363" i="1" s="1"/>
  <c r="L363" i="1"/>
  <c r="I363" i="1"/>
  <c r="H363" i="1"/>
  <c r="F363" i="1"/>
  <c r="C363" i="1"/>
  <c r="AC362" i="1"/>
  <c r="AD362" i="1" s="1"/>
  <c r="AA362" i="1"/>
  <c r="W362" i="1"/>
  <c r="X362" i="1" s="1"/>
  <c r="U362" i="1"/>
  <c r="R362" i="1"/>
  <c r="N362" i="1"/>
  <c r="O362" i="1" s="1"/>
  <c r="L362" i="1"/>
  <c r="I362" i="1"/>
  <c r="H362" i="1"/>
  <c r="F362" i="1"/>
  <c r="C362" i="1"/>
  <c r="AD361" i="1"/>
  <c r="AC361" i="1"/>
  <c r="AA361" i="1"/>
  <c r="W361" i="1"/>
  <c r="X361" i="1" s="1"/>
  <c r="U361" i="1"/>
  <c r="R361" i="1"/>
  <c r="N361" i="1"/>
  <c r="O361" i="1" s="1"/>
  <c r="L361" i="1"/>
  <c r="H361" i="1"/>
  <c r="I361" i="1" s="1"/>
  <c r="F361" i="1"/>
  <c r="C361" i="1"/>
  <c r="AD360" i="1"/>
  <c r="AC360" i="1"/>
  <c r="AA360" i="1"/>
  <c r="W360" i="1"/>
  <c r="X360" i="1" s="1"/>
  <c r="U360" i="1"/>
  <c r="R360" i="1"/>
  <c r="O360" i="1"/>
  <c r="N360" i="1"/>
  <c r="L360" i="1"/>
  <c r="I360" i="1"/>
  <c r="H360" i="1"/>
  <c r="F360" i="1"/>
  <c r="C360" i="1"/>
  <c r="AC358" i="1"/>
  <c r="AD358" i="1" s="1"/>
  <c r="AA358" i="1"/>
  <c r="Z358" i="1"/>
  <c r="X358" i="1"/>
  <c r="T358" i="1"/>
  <c r="U358" i="1" s="1"/>
  <c r="Q358" i="1"/>
  <c r="W358" i="1" s="1"/>
  <c r="O358" i="1"/>
  <c r="L358" i="1"/>
  <c r="K358" i="1"/>
  <c r="E358" i="1"/>
  <c r="H358" i="1" s="1"/>
  <c r="I358" i="1" s="1"/>
  <c r="C358" i="1"/>
  <c r="B358" i="1"/>
  <c r="N358" i="1" s="1"/>
  <c r="AD357" i="1"/>
  <c r="AC357" i="1"/>
  <c r="AA357" i="1"/>
  <c r="W357" i="1"/>
  <c r="X357" i="1" s="1"/>
  <c r="U357" i="1"/>
  <c r="R357" i="1"/>
  <c r="N357" i="1"/>
  <c r="O357" i="1" s="1"/>
  <c r="L357" i="1"/>
  <c r="H357" i="1"/>
  <c r="I357" i="1" s="1"/>
  <c r="F357" i="1"/>
  <c r="C357" i="1"/>
  <c r="AD356" i="1"/>
  <c r="AC356" i="1"/>
  <c r="AA356" i="1"/>
  <c r="W356" i="1"/>
  <c r="X356" i="1" s="1"/>
  <c r="U356" i="1"/>
  <c r="R356" i="1"/>
  <c r="N356" i="1"/>
  <c r="O356" i="1" s="1"/>
  <c r="L356" i="1"/>
  <c r="I356" i="1"/>
  <c r="H356" i="1"/>
  <c r="F356" i="1"/>
  <c r="C356" i="1"/>
  <c r="AC355" i="1"/>
  <c r="AD355" i="1" s="1"/>
  <c r="AA355" i="1"/>
  <c r="W355" i="1"/>
  <c r="X355" i="1" s="1"/>
  <c r="U355" i="1"/>
  <c r="R355" i="1"/>
  <c r="N355" i="1"/>
  <c r="O355" i="1" s="1"/>
  <c r="L355" i="1"/>
  <c r="I355" i="1"/>
  <c r="H355" i="1"/>
  <c r="F355" i="1"/>
  <c r="C355" i="1"/>
  <c r="AC354" i="1"/>
  <c r="AD354" i="1" s="1"/>
  <c r="AA354" i="1"/>
  <c r="W354" i="1"/>
  <c r="X354" i="1" s="1"/>
  <c r="U354" i="1"/>
  <c r="R354" i="1"/>
  <c r="N354" i="1"/>
  <c r="O354" i="1" s="1"/>
  <c r="L354" i="1"/>
  <c r="H354" i="1"/>
  <c r="I354" i="1" s="1"/>
  <c r="F354" i="1"/>
  <c r="C354" i="1"/>
  <c r="AD353" i="1"/>
  <c r="AC353" i="1"/>
  <c r="AA353" i="1"/>
  <c r="W353" i="1"/>
  <c r="X353" i="1" s="1"/>
  <c r="U353" i="1"/>
  <c r="R353" i="1"/>
  <c r="N353" i="1"/>
  <c r="O353" i="1" s="1"/>
  <c r="L353" i="1"/>
  <c r="H353" i="1"/>
  <c r="I353" i="1" s="1"/>
  <c r="F353" i="1"/>
  <c r="C353" i="1"/>
  <c r="AD352" i="1"/>
  <c r="AC352" i="1"/>
  <c r="AA352" i="1"/>
  <c r="W352" i="1"/>
  <c r="X352" i="1" s="1"/>
  <c r="U352" i="1"/>
  <c r="R352" i="1"/>
  <c r="N352" i="1"/>
  <c r="O352" i="1" s="1"/>
  <c r="L352" i="1"/>
  <c r="I352" i="1"/>
  <c r="H352" i="1"/>
  <c r="F352" i="1"/>
  <c r="C352" i="1"/>
  <c r="AC351" i="1"/>
  <c r="AD351" i="1" s="1"/>
  <c r="AA351" i="1"/>
  <c r="W351" i="1"/>
  <c r="X351" i="1" s="1"/>
  <c r="U351" i="1"/>
  <c r="R351" i="1"/>
  <c r="N351" i="1"/>
  <c r="O351" i="1" s="1"/>
  <c r="L351" i="1"/>
  <c r="I351" i="1"/>
  <c r="H351" i="1"/>
  <c r="F351" i="1"/>
  <c r="C351" i="1"/>
  <c r="AC350" i="1"/>
  <c r="AD350" i="1" s="1"/>
  <c r="AA350" i="1"/>
  <c r="W350" i="1"/>
  <c r="X350" i="1" s="1"/>
  <c r="U350" i="1"/>
  <c r="R350" i="1"/>
  <c r="N350" i="1"/>
  <c r="O350" i="1" s="1"/>
  <c r="L350" i="1"/>
  <c r="H350" i="1"/>
  <c r="I350" i="1" s="1"/>
  <c r="F350" i="1"/>
  <c r="C350" i="1"/>
  <c r="AD349" i="1"/>
  <c r="AC349" i="1"/>
  <c r="AA349" i="1"/>
  <c r="W349" i="1"/>
  <c r="X349" i="1" s="1"/>
  <c r="U349" i="1"/>
  <c r="R349" i="1"/>
  <c r="N349" i="1"/>
  <c r="O349" i="1" s="1"/>
  <c r="L349" i="1"/>
  <c r="H349" i="1"/>
  <c r="I349" i="1" s="1"/>
  <c r="F349" i="1"/>
  <c r="C349" i="1"/>
  <c r="AD347" i="1"/>
  <c r="AC347" i="1"/>
  <c r="AA347" i="1"/>
  <c r="W347" i="1"/>
  <c r="X347" i="1" s="1"/>
  <c r="U347" i="1"/>
  <c r="R347" i="1"/>
  <c r="N347" i="1"/>
  <c r="O347" i="1" s="1"/>
  <c r="L347" i="1"/>
  <c r="I347" i="1"/>
  <c r="H347" i="1"/>
  <c r="F347" i="1"/>
  <c r="C347" i="1"/>
  <c r="Z344" i="1"/>
  <c r="AA344" i="1" s="1"/>
  <c r="X344" i="1"/>
  <c r="W344" i="1"/>
  <c r="U344" i="1"/>
  <c r="T344" i="1"/>
  <c r="R344" i="1"/>
  <c r="Q344" i="1"/>
  <c r="AC344" i="1" s="1"/>
  <c r="AD344" i="1" s="1"/>
  <c r="L344" i="1"/>
  <c r="K344" i="1"/>
  <c r="F344" i="1"/>
  <c r="E344" i="1"/>
  <c r="B344" i="1"/>
  <c r="C344" i="1" s="1"/>
  <c r="AC343" i="1"/>
  <c r="AD343" i="1" s="1"/>
  <c r="AA343" i="1"/>
  <c r="Z343" i="1"/>
  <c r="X343" i="1"/>
  <c r="T343" i="1"/>
  <c r="U343" i="1" s="1"/>
  <c r="Q343" i="1"/>
  <c r="W343" i="1" s="1"/>
  <c r="O343" i="1"/>
  <c r="L343" i="1"/>
  <c r="K343" i="1"/>
  <c r="E343" i="1"/>
  <c r="H343" i="1" s="1"/>
  <c r="I343" i="1" s="1"/>
  <c r="C343" i="1"/>
  <c r="B343" i="1"/>
  <c r="N343" i="1" s="1"/>
  <c r="AD342" i="1"/>
  <c r="Z342" i="1"/>
  <c r="AA342" i="1" s="1"/>
  <c r="X342" i="1"/>
  <c r="W342" i="1"/>
  <c r="U342" i="1"/>
  <c r="T342" i="1"/>
  <c r="R342" i="1"/>
  <c r="Q342" i="1"/>
  <c r="AC342" i="1" s="1"/>
  <c r="K342" i="1"/>
  <c r="L342" i="1" s="1"/>
  <c r="F342" i="1"/>
  <c r="E342" i="1"/>
  <c r="B342" i="1"/>
  <c r="C342" i="1" s="1"/>
  <c r="AC341" i="1"/>
  <c r="AD341" i="1" s="1"/>
  <c r="AA341" i="1"/>
  <c r="W341" i="1"/>
  <c r="X341" i="1" s="1"/>
  <c r="U341" i="1"/>
  <c r="R341" i="1"/>
  <c r="N341" i="1"/>
  <c r="O341" i="1" s="1"/>
  <c r="L341" i="1"/>
  <c r="I341" i="1"/>
  <c r="H341" i="1"/>
  <c r="F341" i="1"/>
  <c r="C341" i="1"/>
  <c r="AC340" i="1"/>
  <c r="AD340" i="1" s="1"/>
  <c r="AA340" i="1"/>
  <c r="W340" i="1"/>
  <c r="X340" i="1" s="1"/>
  <c r="U340" i="1"/>
  <c r="R340" i="1"/>
  <c r="N340" i="1"/>
  <c r="O340" i="1" s="1"/>
  <c r="L340" i="1"/>
  <c r="I340" i="1"/>
  <c r="H340" i="1"/>
  <c r="F340" i="1"/>
  <c r="C340" i="1"/>
  <c r="AD339" i="1"/>
  <c r="AC339" i="1"/>
  <c r="AA339" i="1"/>
  <c r="W339" i="1"/>
  <c r="X339" i="1" s="1"/>
  <c r="U339" i="1"/>
  <c r="R339" i="1"/>
  <c r="N339" i="1"/>
  <c r="O339" i="1" s="1"/>
  <c r="L339" i="1"/>
  <c r="H339" i="1"/>
  <c r="I339" i="1" s="1"/>
  <c r="F339" i="1"/>
  <c r="C339" i="1"/>
  <c r="AD338" i="1"/>
  <c r="AC338" i="1"/>
  <c r="AA338" i="1"/>
  <c r="W338" i="1"/>
  <c r="X338" i="1" s="1"/>
  <c r="U338" i="1"/>
  <c r="R338" i="1"/>
  <c r="N338" i="1"/>
  <c r="O338" i="1" s="1"/>
  <c r="L338" i="1"/>
  <c r="I338" i="1"/>
  <c r="H338" i="1"/>
  <c r="F338" i="1"/>
  <c r="C338" i="1"/>
  <c r="AC337" i="1"/>
  <c r="AD337" i="1" s="1"/>
  <c r="AA337" i="1"/>
  <c r="W337" i="1"/>
  <c r="X337" i="1" s="1"/>
  <c r="U337" i="1"/>
  <c r="R337" i="1"/>
  <c r="N337" i="1"/>
  <c r="O337" i="1" s="1"/>
  <c r="L337" i="1"/>
  <c r="I337" i="1"/>
  <c r="H337" i="1"/>
  <c r="F337" i="1"/>
  <c r="C337" i="1"/>
  <c r="AC335" i="1"/>
  <c r="AD335" i="1" s="1"/>
  <c r="AA335" i="1"/>
  <c r="W335" i="1"/>
  <c r="X335" i="1" s="1"/>
  <c r="U335" i="1"/>
  <c r="R335" i="1"/>
  <c r="N335" i="1"/>
  <c r="O335" i="1" s="1"/>
  <c r="L335" i="1"/>
  <c r="I335" i="1"/>
  <c r="H335" i="1"/>
  <c r="F335" i="1"/>
  <c r="C335" i="1"/>
  <c r="AD334" i="1"/>
  <c r="AC334" i="1"/>
  <c r="AA334" i="1"/>
  <c r="W334" i="1"/>
  <c r="X334" i="1" s="1"/>
  <c r="U334" i="1"/>
  <c r="R334" i="1"/>
  <c r="N334" i="1"/>
  <c r="O334" i="1" s="1"/>
  <c r="L334" i="1"/>
  <c r="H334" i="1"/>
  <c r="I334" i="1" s="1"/>
  <c r="F334" i="1"/>
  <c r="C334" i="1"/>
  <c r="AD333" i="1"/>
  <c r="AC333" i="1"/>
  <c r="AA333" i="1"/>
  <c r="W333" i="1"/>
  <c r="X333" i="1" s="1"/>
  <c r="U333" i="1"/>
  <c r="R333" i="1"/>
  <c r="N333" i="1"/>
  <c r="O333" i="1" s="1"/>
  <c r="L333" i="1"/>
  <c r="I333" i="1"/>
  <c r="H333" i="1"/>
  <c r="F333" i="1"/>
  <c r="C333" i="1"/>
  <c r="AC332" i="1"/>
  <c r="AD332" i="1" s="1"/>
  <c r="AA332" i="1"/>
  <c r="W332" i="1"/>
  <c r="X332" i="1" s="1"/>
  <c r="U332" i="1"/>
  <c r="R332" i="1"/>
  <c r="N332" i="1"/>
  <c r="O332" i="1" s="1"/>
  <c r="L332" i="1"/>
  <c r="I332" i="1"/>
  <c r="H332" i="1"/>
  <c r="F332" i="1"/>
  <c r="C332" i="1"/>
  <c r="AC331" i="1"/>
  <c r="AD331" i="1" s="1"/>
  <c r="AA331" i="1"/>
  <c r="W331" i="1"/>
  <c r="X331" i="1" s="1"/>
  <c r="U331" i="1"/>
  <c r="R331" i="1"/>
  <c r="N331" i="1"/>
  <c r="O331" i="1" s="1"/>
  <c r="L331" i="1"/>
  <c r="I331" i="1"/>
  <c r="H331" i="1"/>
  <c r="F331" i="1"/>
  <c r="C331" i="1"/>
  <c r="AD330" i="1"/>
  <c r="AC330" i="1"/>
  <c r="AA330" i="1"/>
  <c r="W330" i="1"/>
  <c r="X330" i="1" s="1"/>
  <c r="U330" i="1"/>
  <c r="R330" i="1"/>
  <c r="N330" i="1"/>
  <c r="O330" i="1" s="1"/>
  <c r="L330" i="1"/>
  <c r="H330" i="1"/>
  <c r="I330" i="1" s="1"/>
  <c r="F330" i="1"/>
  <c r="C330" i="1"/>
  <c r="AD329" i="1"/>
  <c r="AC329" i="1"/>
  <c r="AA329" i="1"/>
  <c r="W329" i="1"/>
  <c r="X329" i="1" s="1"/>
  <c r="U329" i="1"/>
  <c r="R329" i="1"/>
  <c r="N329" i="1"/>
  <c r="O329" i="1" s="1"/>
  <c r="L329" i="1"/>
  <c r="I329" i="1"/>
  <c r="H329" i="1"/>
  <c r="F329" i="1"/>
  <c r="C329" i="1"/>
  <c r="AC328" i="1"/>
  <c r="AD328" i="1" s="1"/>
  <c r="AA328" i="1"/>
  <c r="W328" i="1"/>
  <c r="X328" i="1" s="1"/>
  <c r="U328" i="1"/>
  <c r="R328" i="1"/>
  <c r="N328" i="1"/>
  <c r="O328" i="1" s="1"/>
  <c r="L328" i="1"/>
  <c r="I328" i="1"/>
  <c r="H328" i="1"/>
  <c r="F328" i="1"/>
  <c r="C328" i="1"/>
  <c r="AA325" i="1"/>
  <c r="Z325" i="1"/>
  <c r="U325" i="1"/>
  <c r="T325" i="1"/>
  <c r="Q325" i="1"/>
  <c r="R325" i="1" s="1"/>
  <c r="N325" i="1"/>
  <c r="O325" i="1" s="1"/>
  <c r="L325" i="1"/>
  <c r="K325" i="1"/>
  <c r="I325" i="1"/>
  <c r="E325" i="1"/>
  <c r="F325" i="1" s="1"/>
  <c r="B325" i="1"/>
  <c r="H325" i="1" s="1"/>
  <c r="AD324" i="1"/>
  <c r="AA324" i="1"/>
  <c r="Z324" i="1"/>
  <c r="U324" i="1"/>
  <c r="T324" i="1"/>
  <c r="W324" i="1" s="1"/>
  <c r="X324" i="1" s="1"/>
  <c r="R324" i="1"/>
  <c r="Q324" i="1"/>
  <c r="AC324" i="1" s="1"/>
  <c r="O324" i="1"/>
  <c r="K324" i="1"/>
  <c r="L324" i="1" s="1"/>
  <c r="H324" i="1"/>
  <c r="I324" i="1" s="1"/>
  <c r="F324" i="1"/>
  <c r="E324" i="1"/>
  <c r="C324" i="1"/>
  <c r="B324" i="1"/>
  <c r="N324" i="1" s="1"/>
  <c r="AC323" i="1"/>
  <c r="AD323" i="1" s="1"/>
  <c r="AA323" i="1"/>
  <c r="W323" i="1"/>
  <c r="X323" i="1" s="1"/>
  <c r="U323" i="1"/>
  <c r="R323" i="1"/>
  <c r="N323" i="1"/>
  <c r="O323" i="1" s="1"/>
  <c r="L323" i="1"/>
  <c r="H323" i="1"/>
  <c r="I323" i="1" s="1"/>
  <c r="F323" i="1"/>
  <c r="C323" i="1"/>
  <c r="AD322" i="1"/>
  <c r="AC322" i="1"/>
  <c r="AA322" i="1"/>
  <c r="W322" i="1"/>
  <c r="X322" i="1" s="1"/>
  <c r="U322" i="1"/>
  <c r="R322" i="1"/>
  <c r="N322" i="1"/>
  <c r="O322" i="1" s="1"/>
  <c r="L322" i="1"/>
  <c r="H322" i="1"/>
  <c r="I322" i="1" s="1"/>
  <c r="F322" i="1"/>
  <c r="C322" i="1"/>
  <c r="AD321" i="1"/>
  <c r="AC321" i="1"/>
  <c r="AA321" i="1"/>
  <c r="W321" i="1"/>
  <c r="X321" i="1" s="1"/>
  <c r="U321" i="1"/>
  <c r="R321" i="1"/>
  <c r="N321" i="1"/>
  <c r="O321" i="1" s="1"/>
  <c r="L321" i="1"/>
  <c r="I321" i="1"/>
  <c r="H321" i="1"/>
  <c r="F321" i="1"/>
  <c r="C321" i="1"/>
  <c r="AD320" i="1"/>
  <c r="AC320" i="1"/>
  <c r="AA320" i="1"/>
  <c r="W320" i="1"/>
  <c r="X320" i="1" s="1"/>
  <c r="U320" i="1"/>
  <c r="R320" i="1"/>
  <c r="N320" i="1"/>
  <c r="O320" i="1" s="1"/>
  <c r="L320" i="1"/>
  <c r="I320" i="1"/>
  <c r="H320" i="1"/>
  <c r="F320" i="1"/>
  <c r="C320" i="1"/>
  <c r="AC319" i="1"/>
  <c r="AD319" i="1" s="1"/>
  <c r="AA319" i="1"/>
  <c r="W319" i="1"/>
  <c r="X319" i="1" s="1"/>
  <c r="U319" i="1"/>
  <c r="R319" i="1"/>
  <c r="N319" i="1"/>
  <c r="O319" i="1" s="1"/>
  <c r="L319" i="1"/>
  <c r="H319" i="1"/>
  <c r="I319" i="1" s="1"/>
  <c r="F319" i="1"/>
  <c r="C319" i="1"/>
  <c r="AD318" i="1"/>
  <c r="AC318" i="1"/>
  <c r="AA318" i="1"/>
  <c r="W318" i="1"/>
  <c r="X318" i="1" s="1"/>
  <c r="U318" i="1"/>
  <c r="R318" i="1"/>
  <c r="N318" i="1"/>
  <c r="O318" i="1" s="1"/>
  <c r="L318" i="1"/>
  <c r="H318" i="1"/>
  <c r="I318" i="1" s="1"/>
  <c r="F318" i="1"/>
  <c r="C318" i="1"/>
  <c r="AD317" i="1"/>
  <c r="AC317" i="1"/>
  <c r="AA317" i="1"/>
  <c r="W317" i="1"/>
  <c r="X317" i="1" s="1"/>
  <c r="U317" i="1"/>
  <c r="R317" i="1"/>
  <c r="N317" i="1"/>
  <c r="O317" i="1" s="1"/>
  <c r="L317" i="1"/>
  <c r="I317" i="1"/>
  <c r="H317" i="1"/>
  <c r="F317" i="1"/>
  <c r="C317" i="1"/>
  <c r="AD316" i="1"/>
  <c r="AC316" i="1"/>
  <c r="AA316" i="1"/>
  <c r="W316" i="1"/>
  <c r="X316" i="1" s="1"/>
  <c r="U316" i="1"/>
  <c r="R316" i="1"/>
  <c r="N316" i="1"/>
  <c r="O316" i="1" s="1"/>
  <c r="L316" i="1"/>
  <c r="I316" i="1"/>
  <c r="H316" i="1"/>
  <c r="F316" i="1"/>
  <c r="C316" i="1"/>
  <c r="AC315" i="1"/>
  <c r="AD315" i="1" s="1"/>
  <c r="AA315" i="1"/>
  <c r="W315" i="1"/>
  <c r="X315" i="1" s="1"/>
  <c r="U315" i="1"/>
  <c r="R315" i="1"/>
  <c r="N315" i="1"/>
  <c r="O315" i="1" s="1"/>
  <c r="L315" i="1"/>
  <c r="H315" i="1"/>
  <c r="I315" i="1" s="1"/>
  <c r="F315" i="1"/>
  <c r="C315" i="1"/>
  <c r="AD314" i="1"/>
  <c r="AC314" i="1"/>
  <c r="AA314" i="1"/>
  <c r="W314" i="1"/>
  <c r="X314" i="1" s="1"/>
  <c r="U314" i="1"/>
  <c r="R314" i="1"/>
  <c r="N314" i="1"/>
  <c r="O314" i="1" s="1"/>
  <c r="L314" i="1"/>
  <c r="H314" i="1"/>
  <c r="I314" i="1" s="1"/>
  <c r="F314" i="1"/>
  <c r="C314" i="1"/>
  <c r="AD313" i="1"/>
  <c r="AC313" i="1"/>
  <c r="AA313" i="1"/>
  <c r="W313" i="1"/>
  <c r="X313" i="1" s="1"/>
  <c r="U313" i="1"/>
  <c r="R313" i="1"/>
  <c r="N313" i="1"/>
  <c r="O313" i="1" s="1"/>
  <c r="L313" i="1"/>
  <c r="I313" i="1"/>
  <c r="H313" i="1"/>
  <c r="F313" i="1"/>
  <c r="C313" i="1"/>
  <c r="AD312" i="1"/>
  <c r="AC312" i="1"/>
  <c r="AA312" i="1"/>
  <c r="W312" i="1"/>
  <c r="X312" i="1" s="1"/>
  <c r="U312" i="1"/>
  <c r="R312" i="1"/>
  <c r="N312" i="1"/>
  <c r="O312" i="1" s="1"/>
  <c r="L312" i="1"/>
  <c r="I312" i="1"/>
  <c r="H312" i="1"/>
  <c r="F312" i="1"/>
  <c r="C312" i="1"/>
  <c r="AC311" i="1"/>
  <c r="AD311" i="1" s="1"/>
  <c r="AA311" i="1"/>
  <c r="W311" i="1"/>
  <c r="X311" i="1" s="1"/>
  <c r="U311" i="1"/>
  <c r="R311" i="1"/>
  <c r="N311" i="1"/>
  <c r="O311" i="1" s="1"/>
  <c r="L311" i="1"/>
  <c r="H311" i="1"/>
  <c r="I311" i="1" s="1"/>
  <c r="F311" i="1"/>
  <c r="C311" i="1"/>
  <c r="AD310" i="1"/>
  <c r="AC310" i="1"/>
  <c r="AA310" i="1"/>
  <c r="W310" i="1"/>
  <c r="X310" i="1" s="1"/>
  <c r="U310" i="1"/>
  <c r="R310" i="1"/>
  <c r="N310" i="1"/>
  <c r="O310" i="1" s="1"/>
  <c r="L310" i="1"/>
  <c r="H310" i="1"/>
  <c r="I310" i="1" s="1"/>
  <c r="F310" i="1"/>
  <c r="C310" i="1"/>
  <c r="AD309" i="1"/>
  <c r="AC309" i="1"/>
  <c r="AA309" i="1"/>
  <c r="W309" i="1"/>
  <c r="X309" i="1" s="1"/>
  <c r="U309" i="1"/>
  <c r="R309" i="1"/>
  <c r="N309" i="1"/>
  <c r="O309" i="1" s="1"/>
  <c r="L309" i="1"/>
  <c r="I309" i="1"/>
  <c r="H309" i="1"/>
  <c r="F309" i="1"/>
  <c r="C309" i="1"/>
  <c r="AD308" i="1"/>
  <c r="AC308" i="1"/>
  <c r="AA308" i="1"/>
  <c r="W308" i="1"/>
  <c r="X308" i="1" s="1"/>
  <c r="U308" i="1"/>
  <c r="R308" i="1"/>
  <c r="N308" i="1"/>
  <c r="O308" i="1" s="1"/>
  <c r="L308" i="1"/>
  <c r="I308" i="1"/>
  <c r="H308" i="1"/>
  <c r="F308" i="1"/>
  <c r="C308" i="1"/>
  <c r="AC307" i="1"/>
  <c r="AD307" i="1" s="1"/>
  <c r="AA307" i="1"/>
  <c r="W307" i="1"/>
  <c r="X307" i="1" s="1"/>
  <c r="U307" i="1"/>
  <c r="R307" i="1"/>
  <c r="N307" i="1"/>
  <c r="O307" i="1" s="1"/>
  <c r="L307" i="1"/>
  <c r="H307" i="1"/>
  <c r="I307" i="1" s="1"/>
  <c r="F307" i="1"/>
  <c r="C307" i="1"/>
  <c r="AD306" i="1"/>
  <c r="AC306" i="1"/>
  <c r="AA306" i="1"/>
  <c r="W306" i="1"/>
  <c r="X306" i="1" s="1"/>
  <c r="U306" i="1"/>
  <c r="R306" i="1"/>
  <c r="N306" i="1"/>
  <c r="O306" i="1" s="1"/>
  <c r="L306" i="1"/>
  <c r="H306" i="1"/>
  <c r="I306" i="1" s="1"/>
  <c r="F306" i="1"/>
  <c r="C306" i="1"/>
  <c r="AD305" i="1"/>
  <c r="AC305" i="1"/>
  <c r="AA305" i="1"/>
  <c r="W305" i="1"/>
  <c r="X305" i="1" s="1"/>
  <c r="U305" i="1"/>
  <c r="R305" i="1"/>
  <c r="N305" i="1"/>
  <c r="O305" i="1" s="1"/>
  <c r="L305" i="1"/>
  <c r="I305" i="1"/>
  <c r="H305" i="1"/>
  <c r="F305" i="1"/>
  <c r="C305" i="1"/>
  <c r="AD304" i="1"/>
  <c r="AC304" i="1"/>
  <c r="AA304" i="1"/>
  <c r="W304" i="1"/>
  <c r="X304" i="1" s="1"/>
  <c r="U304" i="1"/>
  <c r="R304" i="1"/>
  <c r="N304" i="1"/>
  <c r="O304" i="1" s="1"/>
  <c r="L304" i="1"/>
  <c r="I304" i="1"/>
  <c r="H304" i="1"/>
  <c r="F304" i="1"/>
  <c r="C304" i="1"/>
  <c r="AC303" i="1"/>
  <c r="AD303" i="1" s="1"/>
  <c r="AA303" i="1"/>
  <c r="W303" i="1"/>
  <c r="X303" i="1" s="1"/>
  <c r="U303" i="1"/>
  <c r="R303" i="1"/>
  <c r="N303" i="1"/>
  <c r="O303" i="1" s="1"/>
  <c r="L303" i="1"/>
  <c r="H303" i="1"/>
  <c r="I303" i="1" s="1"/>
  <c r="F303" i="1"/>
  <c r="C303" i="1"/>
  <c r="AD302" i="1"/>
  <c r="AC302" i="1"/>
  <c r="AA302" i="1"/>
  <c r="W302" i="1"/>
  <c r="X302" i="1" s="1"/>
  <c r="U302" i="1"/>
  <c r="R302" i="1"/>
  <c r="N302" i="1"/>
  <c r="O302" i="1" s="1"/>
  <c r="L302" i="1"/>
  <c r="H302" i="1"/>
  <c r="I302" i="1" s="1"/>
  <c r="F302" i="1"/>
  <c r="C302" i="1"/>
  <c r="AD301" i="1"/>
  <c r="AC301" i="1"/>
  <c r="AA301" i="1"/>
  <c r="W301" i="1"/>
  <c r="X301" i="1" s="1"/>
  <c r="U301" i="1"/>
  <c r="R301" i="1"/>
  <c r="N301" i="1"/>
  <c r="O301" i="1" s="1"/>
  <c r="L301" i="1"/>
  <c r="I301" i="1"/>
  <c r="H301" i="1"/>
  <c r="F301" i="1"/>
  <c r="C301" i="1"/>
  <c r="AD300" i="1"/>
  <c r="AC300" i="1"/>
  <c r="AA300" i="1"/>
  <c r="W300" i="1"/>
  <c r="X300" i="1" s="1"/>
  <c r="U300" i="1"/>
  <c r="R300" i="1"/>
  <c r="N300" i="1"/>
  <c r="O300" i="1" s="1"/>
  <c r="L300" i="1"/>
  <c r="I300" i="1"/>
  <c r="H300" i="1"/>
  <c r="F300" i="1"/>
  <c r="C300" i="1"/>
  <c r="AC299" i="1"/>
  <c r="AD299" i="1" s="1"/>
  <c r="AA299" i="1"/>
  <c r="W299" i="1"/>
  <c r="X299" i="1" s="1"/>
  <c r="U299" i="1"/>
  <c r="R299" i="1"/>
  <c r="N299" i="1"/>
  <c r="O299" i="1" s="1"/>
  <c r="L299" i="1"/>
  <c r="H299" i="1"/>
  <c r="I299" i="1" s="1"/>
  <c r="F299" i="1"/>
  <c r="C299" i="1"/>
  <c r="AD298" i="1"/>
  <c r="AC298" i="1"/>
  <c r="AA298" i="1"/>
  <c r="W298" i="1"/>
  <c r="X298" i="1" s="1"/>
  <c r="U298" i="1"/>
  <c r="R298" i="1"/>
  <c r="N298" i="1"/>
  <c r="O298" i="1" s="1"/>
  <c r="L298" i="1"/>
  <c r="H298" i="1"/>
  <c r="I298" i="1" s="1"/>
  <c r="F298" i="1"/>
  <c r="C298" i="1"/>
  <c r="AD297" i="1"/>
  <c r="AC297" i="1"/>
  <c r="AA297" i="1"/>
  <c r="W297" i="1"/>
  <c r="X297" i="1" s="1"/>
  <c r="U297" i="1"/>
  <c r="R297" i="1"/>
  <c r="N297" i="1"/>
  <c r="O297" i="1" s="1"/>
  <c r="L297" i="1"/>
  <c r="I297" i="1"/>
  <c r="H297" i="1"/>
  <c r="F297" i="1"/>
  <c r="C297" i="1"/>
  <c r="AA295" i="1"/>
  <c r="Z295" i="1"/>
  <c r="T295" i="1"/>
  <c r="U295" i="1" s="1"/>
  <c r="Q295" i="1"/>
  <c r="W295" i="1" s="1"/>
  <c r="X295" i="1" s="1"/>
  <c r="O295" i="1"/>
  <c r="L295" i="1"/>
  <c r="K295" i="1"/>
  <c r="E295" i="1"/>
  <c r="H295" i="1" s="1"/>
  <c r="I295" i="1" s="1"/>
  <c r="C295" i="1"/>
  <c r="B295" i="1"/>
  <c r="N295" i="1" s="1"/>
  <c r="AD294" i="1"/>
  <c r="AC294" i="1"/>
  <c r="AA294" i="1"/>
  <c r="W294" i="1"/>
  <c r="X294" i="1" s="1"/>
  <c r="U294" i="1"/>
  <c r="R294" i="1"/>
  <c r="N294" i="1"/>
  <c r="O294" i="1" s="1"/>
  <c r="L294" i="1"/>
  <c r="H294" i="1"/>
  <c r="I294" i="1" s="1"/>
  <c r="F294" i="1"/>
  <c r="C294" i="1"/>
  <c r="AD293" i="1"/>
  <c r="AC293" i="1"/>
  <c r="AA293" i="1"/>
  <c r="W293" i="1"/>
  <c r="X293" i="1" s="1"/>
  <c r="U293" i="1"/>
  <c r="R293" i="1"/>
  <c r="O293" i="1"/>
  <c r="N293" i="1"/>
  <c r="L293" i="1"/>
  <c r="I293" i="1"/>
  <c r="H293" i="1"/>
  <c r="F293" i="1"/>
  <c r="C293" i="1"/>
  <c r="AD292" i="1"/>
  <c r="AC292" i="1"/>
  <c r="AA292" i="1"/>
  <c r="W292" i="1"/>
  <c r="X292" i="1" s="1"/>
  <c r="U292" i="1"/>
  <c r="R292" i="1"/>
  <c r="N292" i="1"/>
  <c r="O292" i="1" s="1"/>
  <c r="L292" i="1"/>
  <c r="I292" i="1"/>
  <c r="H292" i="1"/>
  <c r="F292" i="1"/>
  <c r="C292" i="1"/>
  <c r="AC291" i="1"/>
  <c r="AD291" i="1" s="1"/>
  <c r="AA291" i="1"/>
  <c r="W291" i="1"/>
  <c r="X291" i="1" s="1"/>
  <c r="U291" i="1"/>
  <c r="R291" i="1"/>
  <c r="N291" i="1"/>
  <c r="O291" i="1" s="1"/>
  <c r="L291" i="1"/>
  <c r="H291" i="1"/>
  <c r="I291" i="1" s="1"/>
  <c r="F291" i="1"/>
  <c r="C291" i="1"/>
  <c r="AD290" i="1"/>
  <c r="AC290" i="1"/>
  <c r="AA290" i="1"/>
  <c r="W290" i="1"/>
  <c r="X290" i="1" s="1"/>
  <c r="U290" i="1"/>
  <c r="R290" i="1"/>
  <c r="N290" i="1"/>
  <c r="O290" i="1" s="1"/>
  <c r="L290" i="1"/>
  <c r="H290" i="1"/>
  <c r="I290" i="1" s="1"/>
  <c r="F290" i="1"/>
  <c r="C290" i="1"/>
  <c r="AD289" i="1"/>
  <c r="AC289" i="1"/>
  <c r="AA289" i="1"/>
  <c r="W289" i="1"/>
  <c r="X289" i="1" s="1"/>
  <c r="U289" i="1"/>
  <c r="R289" i="1"/>
  <c r="O289" i="1"/>
  <c r="N289" i="1"/>
  <c r="L289" i="1"/>
  <c r="I289" i="1"/>
  <c r="H289" i="1"/>
  <c r="F289" i="1"/>
  <c r="C289" i="1"/>
  <c r="AD288" i="1"/>
  <c r="AC288" i="1"/>
  <c r="AA288" i="1"/>
  <c r="W288" i="1"/>
  <c r="X288" i="1" s="1"/>
  <c r="U288" i="1"/>
  <c r="R288" i="1"/>
  <c r="N288" i="1"/>
  <c r="O288" i="1" s="1"/>
  <c r="L288" i="1"/>
  <c r="I288" i="1"/>
  <c r="H288" i="1"/>
  <c r="F288" i="1"/>
  <c r="C288" i="1"/>
  <c r="AC287" i="1"/>
  <c r="AD287" i="1" s="1"/>
  <c r="AA287" i="1"/>
  <c r="W287" i="1"/>
  <c r="X287" i="1" s="1"/>
  <c r="U287" i="1"/>
  <c r="R287" i="1"/>
  <c r="N287" i="1"/>
  <c r="O287" i="1" s="1"/>
  <c r="L287" i="1"/>
  <c r="H287" i="1"/>
  <c r="I287" i="1" s="1"/>
  <c r="F287" i="1"/>
  <c r="C287" i="1"/>
  <c r="AD286" i="1"/>
  <c r="AC286" i="1"/>
  <c r="AA286" i="1"/>
  <c r="W286" i="1"/>
  <c r="X286" i="1" s="1"/>
  <c r="U286" i="1"/>
  <c r="R286" i="1"/>
  <c r="N286" i="1"/>
  <c r="O286" i="1" s="1"/>
  <c r="L286" i="1"/>
  <c r="H286" i="1"/>
  <c r="I286" i="1" s="1"/>
  <c r="F286" i="1"/>
  <c r="C286" i="1"/>
  <c r="AD284" i="1"/>
  <c r="AA284" i="1"/>
  <c r="Z284" i="1"/>
  <c r="T284" i="1"/>
  <c r="W284" i="1" s="1"/>
  <c r="X284" i="1" s="1"/>
  <c r="R284" i="1"/>
  <c r="Q284" i="1"/>
  <c r="AC284" i="1" s="1"/>
  <c r="K284" i="1"/>
  <c r="L284" i="1" s="1"/>
  <c r="H284" i="1"/>
  <c r="I284" i="1" s="1"/>
  <c r="F284" i="1"/>
  <c r="E284" i="1"/>
  <c r="C284" i="1"/>
  <c r="B284" i="1"/>
  <c r="N284" i="1" s="1"/>
  <c r="O284" i="1" s="1"/>
  <c r="AC283" i="1"/>
  <c r="AD283" i="1" s="1"/>
  <c r="AA283" i="1"/>
  <c r="W283" i="1"/>
  <c r="X283" i="1" s="1"/>
  <c r="U283" i="1"/>
  <c r="R283" i="1"/>
  <c r="N283" i="1"/>
  <c r="O283" i="1" s="1"/>
  <c r="L283" i="1"/>
  <c r="H283" i="1"/>
  <c r="I283" i="1" s="1"/>
  <c r="F283" i="1"/>
  <c r="C283" i="1"/>
  <c r="AD282" i="1"/>
  <c r="AC282" i="1"/>
  <c r="AA282" i="1"/>
  <c r="W282" i="1"/>
  <c r="X282" i="1" s="1"/>
  <c r="U282" i="1"/>
  <c r="R282" i="1"/>
  <c r="N282" i="1"/>
  <c r="O282" i="1" s="1"/>
  <c r="L282" i="1"/>
  <c r="H282" i="1"/>
  <c r="I282" i="1" s="1"/>
  <c r="F282" i="1"/>
  <c r="C282" i="1"/>
  <c r="AD281" i="1"/>
  <c r="AC281" i="1"/>
  <c r="AA281" i="1"/>
  <c r="W281" i="1"/>
  <c r="X281" i="1" s="1"/>
  <c r="U281" i="1"/>
  <c r="R281" i="1"/>
  <c r="N281" i="1"/>
  <c r="O281" i="1" s="1"/>
  <c r="L281" i="1"/>
  <c r="I281" i="1"/>
  <c r="H281" i="1"/>
  <c r="F281" i="1"/>
  <c r="C281" i="1"/>
  <c r="AC280" i="1"/>
  <c r="AD280" i="1" s="1"/>
  <c r="AA280" i="1"/>
  <c r="W280" i="1"/>
  <c r="X280" i="1" s="1"/>
  <c r="U280" i="1"/>
  <c r="R280" i="1"/>
  <c r="N280" i="1"/>
  <c r="O280" i="1" s="1"/>
  <c r="L280" i="1"/>
  <c r="I280" i="1"/>
  <c r="H280" i="1"/>
  <c r="F280" i="1"/>
  <c r="C280" i="1"/>
  <c r="AC279" i="1"/>
  <c r="AD279" i="1" s="1"/>
  <c r="AA279" i="1"/>
  <c r="W279" i="1"/>
  <c r="X279" i="1" s="1"/>
  <c r="U279" i="1"/>
  <c r="R279" i="1"/>
  <c r="N279" i="1"/>
  <c r="O279" i="1" s="1"/>
  <c r="L279" i="1"/>
  <c r="H279" i="1"/>
  <c r="I279" i="1" s="1"/>
  <c r="F279" i="1"/>
  <c r="C279" i="1"/>
  <c r="AD278" i="1"/>
  <c r="AC278" i="1"/>
  <c r="AA278" i="1"/>
  <c r="W278" i="1"/>
  <c r="X278" i="1" s="1"/>
  <c r="U278" i="1"/>
  <c r="R278" i="1"/>
  <c r="N278" i="1"/>
  <c r="O278" i="1" s="1"/>
  <c r="L278" i="1"/>
  <c r="H278" i="1"/>
  <c r="I278" i="1" s="1"/>
  <c r="F278" i="1"/>
  <c r="C278" i="1"/>
  <c r="AD277" i="1"/>
  <c r="AC277" i="1"/>
  <c r="AA277" i="1"/>
  <c r="W277" i="1"/>
  <c r="X277" i="1" s="1"/>
  <c r="U277" i="1"/>
  <c r="R277" i="1"/>
  <c r="N277" i="1"/>
  <c r="O277" i="1" s="1"/>
  <c r="L277" i="1"/>
  <c r="I277" i="1"/>
  <c r="H277" i="1"/>
  <c r="F277" i="1"/>
  <c r="C277" i="1"/>
  <c r="AC276" i="1"/>
  <c r="AD276" i="1" s="1"/>
  <c r="AA276" i="1"/>
  <c r="W276" i="1"/>
  <c r="X276" i="1" s="1"/>
  <c r="U276" i="1"/>
  <c r="R276" i="1"/>
  <c r="N276" i="1"/>
  <c r="O276" i="1" s="1"/>
  <c r="L276" i="1"/>
  <c r="I276" i="1"/>
  <c r="H276" i="1"/>
  <c r="F276" i="1"/>
  <c r="C276" i="1"/>
  <c r="AC275" i="1"/>
  <c r="AD275" i="1" s="1"/>
  <c r="AA275" i="1"/>
  <c r="W275" i="1"/>
  <c r="X275" i="1" s="1"/>
  <c r="U275" i="1"/>
  <c r="R275" i="1"/>
  <c r="N275" i="1"/>
  <c r="O275" i="1" s="1"/>
  <c r="L275" i="1"/>
  <c r="H275" i="1"/>
  <c r="I275" i="1" s="1"/>
  <c r="F275" i="1"/>
  <c r="C275" i="1"/>
  <c r="AD273" i="1"/>
  <c r="Z273" i="1"/>
  <c r="AA273" i="1" s="1"/>
  <c r="X273" i="1"/>
  <c r="W273" i="1"/>
  <c r="U273" i="1"/>
  <c r="T273" i="1"/>
  <c r="R273" i="1"/>
  <c r="Q273" i="1"/>
  <c r="AC273" i="1" s="1"/>
  <c r="K273" i="1"/>
  <c r="L273" i="1" s="1"/>
  <c r="F273" i="1"/>
  <c r="E273" i="1"/>
  <c r="B273" i="1"/>
  <c r="C273" i="1" s="1"/>
  <c r="AC272" i="1"/>
  <c r="AD272" i="1" s="1"/>
  <c r="AA272" i="1"/>
  <c r="W272" i="1"/>
  <c r="X272" i="1" s="1"/>
  <c r="U272" i="1"/>
  <c r="R272" i="1"/>
  <c r="N272" i="1"/>
  <c r="O272" i="1" s="1"/>
  <c r="L272" i="1"/>
  <c r="I272" i="1"/>
  <c r="H272" i="1"/>
  <c r="F272" i="1"/>
  <c r="C272" i="1"/>
  <c r="AC271" i="1"/>
  <c r="AD271" i="1" s="1"/>
  <c r="AA271" i="1"/>
  <c r="W271" i="1"/>
  <c r="X271" i="1" s="1"/>
  <c r="U271" i="1"/>
  <c r="R271" i="1"/>
  <c r="N271" i="1"/>
  <c r="O271" i="1" s="1"/>
  <c r="L271" i="1"/>
  <c r="I271" i="1"/>
  <c r="H271" i="1"/>
  <c r="F271" i="1"/>
  <c r="C271" i="1"/>
  <c r="AD270" i="1"/>
  <c r="AC270" i="1"/>
  <c r="AA270" i="1"/>
  <c r="W270" i="1"/>
  <c r="X270" i="1" s="1"/>
  <c r="U270" i="1"/>
  <c r="R270" i="1"/>
  <c r="N270" i="1"/>
  <c r="O270" i="1" s="1"/>
  <c r="L270" i="1"/>
  <c r="H270" i="1"/>
  <c r="I270" i="1" s="1"/>
  <c r="F270" i="1"/>
  <c r="C270" i="1"/>
  <c r="AD269" i="1"/>
  <c r="AC269" i="1"/>
  <c r="AA269" i="1"/>
  <c r="W269" i="1"/>
  <c r="X269" i="1" s="1"/>
  <c r="U269" i="1"/>
  <c r="R269" i="1"/>
  <c r="N269" i="1"/>
  <c r="O269" i="1" s="1"/>
  <c r="L269" i="1"/>
  <c r="I269" i="1"/>
  <c r="H269" i="1"/>
  <c r="F269" i="1"/>
  <c r="C269" i="1"/>
  <c r="AA267" i="1"/>
  <c r="Z267" i="1"/>
  <c r="T267" i="1"/>
  <c r="U267" i="1" s="1"/>
  <c r="Q267" i="1"/>
  <c r="W267" i="1" s="1"/>
  <c r="X267" i="1" s="1"/>
  <c r="L267" i="1"/>
  <c r="K267" i="1"/>
  <c r="E267" i="1"/>
  <c r="H267" i="1" s="1"/>
  <c r="I267" i="1" s="1"/>
  <c r="C267" i="1"/>
  <c r="B267" i="1"/>
  <c r="N267" i="1" s="1"/>
  <c r="O267" i="1" s="1"/>
  <c r="AD266" i="1"/>
  <c r="AC266" i="1"/>
  <c r="AA266" i="1"/>
  <c r="W266" i="1"/>
  <c r="X266" i="1" s="1"/>
  <c r="U266" i="1"/>
  <c r="R266" i="1"/>
  <c r="N266" i="1"/>
  <c r="O266" i="1" s="1"/>
  <c r="L266" i="1"/>
  <c r="H266" i="1"/>
  <c r="I266" i="1" s="1"/>
  <c r="F266" i="1"/>
  <c r="C266" i="1"/>
  <c r="AD265" i="1"/>
  <c r="AC265" i="1"/>
  <c r="AA265" i="1"/>
  <c r="W265" i="1"/>
  <c r="X265" i="1" s="1"/>
  <c r="U265" i="1"/>
  <c r="R265" i="1"/>
  <c r="N265" i="1"/>
  <c r="O265" i="1" s="1"/>
  <c r="L265" i="1"/>
  <c r="I265" i="1"/>
  <c r="H265" i="1"/>
  <c r="F265" i="1"/>
  <c r="C265" i="1"/>
  <c r="AA263" i="1"/>
  <c r="Z263" i="1"/>
  <c r="X263" i="1"/>
  <c r="T263" i="1"/>
  <c r="U263" i="1" s="1"/>
  <c r="R263" i="1"/>
  <c r="Q263" i="1"/>
  <c r="W263" i="1" s="1"/>
  <c r="O263" i="1"/>
  <c r="L263" i="1"/>
  <c r="K263" i="1"/>
  <c r="E263" i="1"/>
  <c r="H263" i="1" s="1"/>
  <c r="I263" i="1" s="1"/>
  <c r="C263" i="1"/>
  <c r="B263" i="1"/>
  <c r="N263" i="1" s="1"/>
  <c r="Z262" i="1"/>
  <c r="AA262" i="1" s="1"/>
  <c r="W262" i="1"/>
  <c r="X262" i="1" s="1"/>
  <c r="U262" i="1"/>
  <c r="T262" i="1"/>
  <c r="R262" i="1"/>
  <c r="Q262" i="1"/>
  <c r="AC262" i="1" s="1"/>
  <c r="AD262" i="1" s="1"/>
  <c r="K262" i="1"/>
  <c r="L262" i="1" s="1"/>
  <c r="F262" i="1"/>
  <c r="E262" i="1"/>
  <c r="B262" i="1"/>
  <c r="C262" i="1" s="1"/>
  <c r="AD261" i="1"/>
  <c r="AC261" i="1"/>
  <c r="AA261" i="1"/>
  <c r="W261" i="1"/>
  <c r="X261" i="1" s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W260" i="1"/>
  <c r="X260" i="1" s="1"/>
  <c r="U260" i="1"/>
  <c r="R260" i="1"/>
  <c r="N260" i="1"/>
  <c r="O260" i="1" s="1"/>
  <c r="L260" i="1"/>
  <c r="H260" i="1"/>
  <c r="I260" i="1" s="1"/>
  <c r="F260" i="1"/>
  <c r="C260" i="1"/>
  <c r="AD259" i="1"/>
  <c r="AC259" i="1"/>
  <c r="AA259" i="1"/>
  <c r="W259" i="1"/>
  <c r="X259" i="1" s="1"/>
  <c r="U259" i="1"/>
  <c r="R259" i="1"/>
  <c r="N259" i="1"/>
  <c r="O259" i="1" s="1"/>
  <c r="L259" i="1"/>
  <c r="H259" i="1"/>
  <c r="I259" i="1" s="1"/>
  <c r="F259" i="1"/>
  <c r="C259" i="1"/>
  <c r="AD258" i="1"/>
  <c r="AC258" i="1"/>
  <c r="AA258" i="1"/>
  <c r="W258" i="1"/>
  <c r="X258" i="1" s="1"/>
  <c r="U258" i="1"/>
  <c r="R258" i="1"/>
  <c r="O258" i="1"/>
  <c r="N258" i="1"/>
  <c r="L258" i="1"/>
  <c r="I258" i="1"/>
  <c r="H258" i="1"/>
  <c r="F258" i="1"/>
  <c r="C258" i="1"/>
  <c r="AD257" i="1"/>
  <c r="AC257" i="1"/>
  <c r="AA257" i="1"/>
  <c r="W257" i="1"/>
  <c r="X257" i="1" s="1"/>
  <c r="U257" i="1"/>
  <c r="R257" i="1"/>
  <c r="N257" i="1"/>
  <c r="O257" i="1" s="1"/>
  <c r="L257" i="1"/>
  <c r="I257" i="1"/>
  <c r="H257" i="1"/>
  <c r="F257" i="1"/>
  <c r="C257" i="1"/>
  <c r="AC256" i="1"/>
  <c r="AD256" i="1" s="1"/>
  <c r="AA256" i="1"/>
  <c r="W256" i="1"/>
  <c r="X256" i="1" s="1"/>
  <c r="U256" i="1"/>
  <c r="R256" i="1"/>
  <c r="N256" i="1"/>
  <c r="O256" i="1" s="1"/>
  <c r="L256" i="1"/>
  <c r="H256" i="1"/>
  <c r="I256" i="1" s="1"/>
  <c r="F256" i="1"/>
  <c r="C256" i="1"/>
  <c r="AD255" i="1"/>
  <c r="AC255" i="1"/>
  <c r="AA255" i="1"/>
  <c r="W255" i="1"/>
  <c r="X255" i="1" s="1"/>
  <c r="U255" i="1"/>
  <c r="R255" i="1"/>
  <c r="N255" i="1"/>
  <c r="O255" i="1" s="1"/>
  <c r="L255" i="1"/>
  <c r="H255" i="1"/>
  <c r="I255" i="1" s="1"/>
  <c r="F255" i="1"/>
  <c r="C255" i="1"/>
  <c r="AD254" i="1"/>
  <c r="AC254" i="1"/>
  <c r="AA254" i="1"/>
  <c r="W254" i="1"/>
  <c r="X254" i="1" s="1"/>
  <c r="U254" i="1"/>
  <c r="R254" i="1"/>
  <c r="O254" i="1"/>
  <c r="N254" i="1"/>
  <c r="L254" i="1"/>
  <c r="I254" i="1"/>
  <c r="H254" i="1"/>
  <c r="F254" i="1"/>
  <c r="C254" i="1"/>
  <c r="AD253" i="1"/>
  <c r="AC253" i="1"/>
  <c r="AA253" i="1"/>
  <c r="W253" i="1"/>
  <c r="X253" i="1" s="1"/>
  <c r="U253" i="1"/>
  <c r="R253" i="1"/>
  <c r="N253" i="1"/>
  <c r="O253" i="1" s="1"/>
  <c r="L253" i="1"/>
  <c r="I253" i="1"/>
  <c r="H253" i="1"/>
  <c r="F253" i="1"/>
  <c r="C253" i="1"/>
  <c r="AC252" i="1"/>
  <c r="AD252" i="1" s="1"/>
  <c r="AA252" i="1"/>
  <c r="W252" i="1"/>
  <c r="X252" i="1" s="1"/>
  <c r="U252" i="1"/>
  <c r="R252" i="1"/>
  <c r="N252" i="1"/>
  <c r="O252" i="1" s="1"/>
  <c r="L252" i="1"/>
  <c r="H252" i="1"/>
  <c r="I252" i="1" s="1"/>
  <c r="F252" i="1"/>
  <c r="C252" i="1"/>
  <c r="AD251" i="1"/>
  <c r="AC251" i="1"/>
  <c r="AA251" i="1"/>
  <c r="W251" i="1"/>
  <c r="X251" i="1" s="1"/>
  <c r="U251" i="1"/>
  <c r="R251" i="1"/>
  <c r="N251" i="1"/>
  <c r="O251" i="1" s="1"/>
  <c r="L251" i="1"/>
  <c r="H251" i="1"/>
  <c r="I251" i="1" s="1"/>
  <c r="F251" i="1"/>
  <c r="C251" i="1"/>
  <c r="AD250" i="1"/>
  <c r="AC250" i="1"/>
  <c r="AA250" i="1"/>
  <c r="W250" i="1"/>
  <c r="X250" i="1" s="1"/>
  <c r="U250" i="1"/>
  <c r="R250" i="1"/>
  <c r="O250" i="1"/>
  <c r="N250" i="1"/>
  <c r="L250" i="1"/>
  <c r="I250" i="1"/>
  <c r="H250" i="1"/>
  <c r="F250" i="1"/>
  <c r="C250" i="1"/>
  <c r="AD249" i="1"/>
  <c r="AC249" i="1"/>
  <c r="AA249" i="1"/>
  <c r="W249" i="1"/>
  <c r="X249" i="1" s="1"/>
  <c r="U249" i="1"/>
  <c r="R249" i="1"/>
  <c r="N249" i="1"/>
  <c r="O249" i="1" s="1"/>
  <c r="L249" i="1"/>
  <c r="I249" i="1"/>
  <c r="H249" i="1"/>
  <c r="F249" i="1"/>
  <c r="C249" i="1"/>
  <c r="AC248" i="1"/>
  <c r="AD248" i="1" s="1"/>
  <c r="AA248" i="1"/>
  <c r="W248" i="1"/>
  <c r="X248" i="1" s="1"/>
  <c r="U248" i="1"/>
  <c r="R248" i="1"/>
  <c r="N248" i="1"/>
  <c r="O248" i="1" s="1"/>
  <c r="L248" i="1"/>
  <c r="H248" i="1"/>
  <c r="I248" i="1" s="1"/>
  <c r="F248" i="1"/>
  <c r="C248" i="1"/>
  <c r="AD247" i="1"/>
  <c r="AC247" i="1"/>
  <c r="AA247" i="1"/>
  <c r="W247" i="1"/>
  <c r="X247" i="1" s="1"/>
  <c r="U247" i="1"/>
  <c r="R247" i="1"/>
  <c r="N247" i="1"/>
  <c r="O247" i="1" s="1"/>
  <c r="L247" i="1"/>
  <c r="H247" i="1"/>
  <c r="I247" i="1" s="1"/>
  <c r="F247" i="1"/>
  <c r="C247" i="1"/>
  <c r="AD246" i="1"/>
  <c r="AC246" i="1"/>
  <c r="AA246" i="1"/>
  <c r="W246" i="1"/>
  <c r="X246" i="1" s="1"/>
  <c r="U246" i="1"/>
  <c r="R246" i="1"/>
  <c r="O246" i="1"/>
  <c r="N246" i="1"/>
  <c r="L246" i="1"/>
  <c r="I246" i="1"/>
  <c r="H246" i="1"/>
  <c r="F246" i="1"/>
  <c r="C246" i="1"/>
  <c r="AD245" i="1"/>
  <c r="AC245" i="1"/>
  <c r="AA245" i="1"/>
  <c r="W245" i="1"/>
  <c r="X245" i="1" s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W244" i="1"/>
  <c r="X244" i="1" s="1"/>
  <c r="U244" i="1"/>
  <c r="R244" i="1"/>
  <c r="N244" i="1"/>
  <c r="O244" i="1" s="1"/>
  <c r="L244" i="1"/>
  <c r="H244" i="1"/>
  <c r="I244" i="1" s="1"/>
  <c r="F244" i="1"/>
  <c r="C244" i="1"/>
  <c r="AD243" i="1"/>
  <c r="AC243" i="1"/>
  <c r="AA243" i="1"/>
  <c r="W243" i="1"/>
  <c r="X243" i="1" s="1"/>
  <c r="U243" i="1"/>
  <c r="R243" i="1"/>
  <c r="N243" i="1"/>
  <c r="O243" i="1" s="1"/>
  <c r="L243" i="1"/>
  <c r="H243" i="1"/>
  <c r="I243" i="1" s="1"/>
  <c r="F243" i="1"/>
  <c r="C243" i="1"/>
  <c r="AD242" i="1"/>
  <c r="AC242" i="1"/>
  <c r="AA242" i="1"/>
  <c r="W242" i="1"/>
  <c r="X242" i="1" s="1"/>
  <c r="U242" i="1"/>
  <c r="R242" i="1"/>
  <c r="O242" i="1"/>
  <c r="N242" i="1"/>
  <c r="L242" i="1"/>
  <c r="I242" i="1"/>
  <c r="H242" i="1"/>
  <c r="F242" i="1"/>
  <c r="C242" i="1"/>
  <c r="AD241" i="1"/>
  <c r="AC241" i="1"/>
  <c r="AA241" i="1"/>
  <c r="W241" i="1"/>
  <c r="X241" i="1" s="1"/>
  <c r="U241" i="1"/>
  <c r="R241" i="1"/>
  <c r="N241" i="1"/>
  <c r="O241" i="1" s="1"/>
  <c r="L241" i="1"/>
  <c r="I241" i="1"/>
  <c r="H241" i="1"/>
  <c r="F241" i="1"/>
  <c r="C241" i="1"/>
  <c r="AC240" i="1"/>
  <c r="AD240" i="1" s="1"/>
  <c r="AA240" i="1"/>
  <c r="W240" i="1"/>
  <c r="X240" i="1" s="1"/>
  <c r="U240" i="1"/>
  <c r="R240" i="1"/>
  <c r="N240" i="1"/>
  <c r="O240" i="1" s="1"/>
  <c r="L240" i="1"/>
  <c r="H240" i="1"/>
  <c r="I240" i="1" s="1"/>
  <c r="F240" i="1"/>
  <c r="C240" i="1"/>
  <c r="AD238" i="1"/>
  <c r="AC238" i="1"/>
  <c r="AA238" i="1"/>
  <c r="W238" i="1"/>
  <c r="X238" i="1" s="1"/>
  <c r="U238" i="1"/>
  <c r="R238" i="1"/>
  <c r="N238" i="1"/>
  <c r="O238" i="1" s="1"/>
  <c r="L238" i="1"/>
  <c r="H238" i="1"/>
  <c r="I238" i="1" s="1"/>
  <c r="F238" i="1"/>
  <c r="C238" i="1"/>
  <c r="AD236" i="1"/>
  <c r="AA236" i="1"/>
  <c r="Z236" i="1"/>
  <c r="T236" i="1"/>
  <c r="W236" i="1" s="1"/>
  <c r="X236" i="1" s="1"/>
  <c r="R236" i="1"/>
  <c r="Q236" i="1"/>
  <c r="AC236" i="1" s="1"/>
  <c r="K236" i="1"/>
  <c r="L236" i="1" s="1"/>
  <c r="H236" i="1"/>
  <c r="I236" i="1" s="1"/>
  <c r="F236" i="1"/>
  <c r="E236" i="1"/>
  <c r="C236" i="1"/>
  <c r="B236" i="1"/>
  <c r="N236" i="1" s="1"/>
  <c r="O236" i="1" s="1"/>
  <c r="AC235" i="1"/>
  <c r="AD235" i="1" s="1"/>
  <c r="AA235" i="1"/>
  <c r="W235" i="1"/>
  <c r="X235" i="1" s="1"/>
  <c r="U235" i="1"/>
  <c r="R235" i="1"/>
  <c r="N235" i="1"/>
  <c r="O235" i="1" s="1"/>
  <c r="L235" i="1"/>
  <c r="H235" i="1"/>
  <c r="I235" i="1" s="1"/>
  <c r="F235" i="1"/>
  <c r="C235" i="1"/>
  <c r="AD234" i="1"/>
  <c r="AC234" i="1"/>
  <c r="AA234" i="1"/>
  <c r="W234" i="1"/>
  <c r="X234" i="1" s="1"/>
  <c r="U234" i="1"/>
  <c r="R234" i="1"/>
  <c r="N234" i="1"/>
  <c r="O234" i="1" s="1"/>
  <c r="L234" i="1"/>
  <c r="H234" i="1"/>
  <c r="I234" i="1" s="1"/>
  <c r="F234" i="1"/>
  <c r="C234" i="1"/>
  <c r="AD233" i="1"/>
  <c r="AC233" i="1"/>
  <c r="AA233" i="1"/>
  <c r="W233" i="1"/>
  <c r="X233" i="1" s="1"/>
  <c r="U233" i="1"/>
  <c r="R233" i="1"/>
  <c r="N233" i="1"/>
  <c r="O233" i="1" s="1"/>
  <c r="L233" i="1"/>
  <c r="I233" i="1"/>
  <c r="H233" i="1"/>
  <c r="F233" i="1"/>
  <c r="C233" i="1"/>
  <c r="AC232" i="1"/>
  <c r="AD232" i="1" s="1"/>
  <c r="AA232" i="1"/>
  <c r="W232" i="1"/>
  <c r="X232" i="1" s="1"/>
  <c r="U232" i="1"/>
  <c r="R232" i="1"/>
  <c r="N232" i="1"/>
  <c r="O232" i="1" s="1"/>
  <c r="L232" i="1"/>
  <c r="I232" i="1"/>
  <c r="H232" i="1"/>
  <c r="F232" i="1"/>
  <c r="C232" i="1"/>
  <c r="AC231" i="1"/>
  <c r="AD231" i="1" s="1"/>
  <c r="AA231" i="1"/>
  <c r="W231" i="1"/>
  <c r="X231" i="1" s="1"/>
  <c r="U231" i="1"/>
  <c r="R231" i="1"/>
  <c r="N231" i="1"/>
  <c r="O231" i="1" s="1"/>
  <c r="L231" i="1"/>
  <c r="H231" i="1"/>
  <c r="I231" i="1" s="1"/>
  <c r="F231" i="1"/>
  <c r="C231" i="1"/>
  <c r="AD230" i="1"/>
  <c r="AC230" i="1"/>
  <c r="AA230" i="1"/>
  <c r="W230" i="1"/>
  <c r="X230" i="1" s="1"/>
  <c r="U230" i="1"/>
  <c r="R230" i="1"/>
  <c r="N230" i="1"/>
  <c r="O230" i="1" s="1"/>
  <c r="L230" i="1"/>
  <c r="H230" i="1"/>
  <c r="I230" i="1" s="1"/>
  <c r="F230" i="1"/>
  <c r="C230" i="1"/>
  <c r="AD229" i="1"/>
  <c r="AC229" i="1"/>
  <c r="AA229" i="1"/>
  <c r="W229" i="1"/>
  <c r="X229" i="1" s="1"/>
  <c r="U229" i="1"/>
  <c r="R229" i="1"/>
  <c r="N229" i="1"/>
  <c r="O229" i="1" s="1"/>
  <c r="L229" i="1"/>
  <c r="I229" i="1"/>
  <c r="H229" i="1"/>
  <c r="F229" i="1"/>
  <c r="C229" i="1"/>
  <c r="AC227" i="1"/>
  <c r="AD227" i="1" s="1"/>
  <c r="AA227" i="1"/>
  <c r="Z227" i="1"/>
  <c r="X227" i="1"/>
  <c r="T227" i="1"/>
  <c r="U227" i="1" s="1"/>
  <c r="Q227" i="1"/>
  <c r="W227" i="1" s="1"/>
  <c r="O227" i="1"/>
  <c r="L227" i="1"/>
  <c r="K227" i="1"/>
  <c r="F227" i="1"/>
  <c r="E227" i="1"/>
  <c r="H227" i="1" s="1"/>
  <c r="I227" i="1" s="1"/>
  <c r="C227" i="1"/>
  <c r="B227" i="1"/>
  <c r="N227" i="1" s="1"/>
  <c r="AD226" i="1"/>
  <c r="AC226" i="1"/>
  <c r="AA226" i="1"/>
  <c r="W226" i="1"/>
  <c r="X226" i="1" s="1"/>
  <c r="U226" i="1"/>
  <c r="R226" i="1"/>
  <c r="N226" i="1"/>
  <c r="O226" i="1" s="1"/>
  <c r="L226" i="1"/>
  <c r="H226" i="1"/>
  <c r="I226" i="1" s="1"/>
  <c r="F226" i="1"/>
  <c r="C226" i="1"/>
  <c r="AD225" i="1"/>
  <c r="AC225" i="1"/>
  <c r="AA225" i="1"/>
  <c r="W225" i="1"/>
  <c r="X225" i="1" s="1"/>
  <c r="U225" i="1"/>
  <c r="R225" i="1"/>
  <c r="N225" i="1"/>
  <c r="O225" i="1" s="1"/>
  <c r="L225" i="1"/>
  <c r="I225" i="1"/>
  <c r="H225" i="1"/>
  <c r="F225" i="1"/>
  <c r="C225" i="1"/>
  <c r="AC224" i="1"/>
  <c r="AD224" i="1" s="1"/>
  <c r="AA224" i="1"/>
  <c r="W224" i="1"/>
  <c r="X224" i="1" s="1"/>
  <c r="U224" i="1"/>
  <c r="R224" i="1"/>
  <c r="N224" i="1"/>
  <c r="O224" i="1" s="1"/>
  <c r="L224" i="1"/>
  <c r="I224" i="1"/>
  <c r="H224" i="1"/>
  <c r="F224" i="1"/>
  <c r="C224" i="1"/>
  <c r="AC223" i="1"/>
  <c r="AD223" i="1" s="1"/>
  <c r="AA223" i="1"/>
  <c r="X223" i="1"/>
  <c r="W223" i="1"/>
  <c r="U223" i="1"/>
  <c r="R223" i="1"/>
  <c r="N223" i="1"/>
  <c r="O223" i="1" s="1"/>
  <c r="L223" i="1"/>
  <c r="I223" i="1"/>
  <c r="H223" i="1"/>
  <c r="F223" i="1"/>
  <c r="C223" i="1"/>
  <c r="AD222" i="1"/>
  <c r="AC222" i="1"/>
  <c r="AA222" i="1"/>
  <c r="W222" i="1"/>
  <c r="X222" i="1" s="1"/>
  <c r="U222" i="1"/>
  <c r="R222" i="1"/>
  <c r="N222" i="1"/>
  <c r="O222" i="1" s="1"/>
  <c r="L222" i="1"/>
  <c r="H222" i="1"/>
  <c r="I222" i="1" s="1"/>
  <c r="F222" i="1"/>
  <c r="C222" i="1"/>
  <c r="AD221" i="1"/>
  <c r="AC221" i="1"/>
  <c r="AA221" i="1"/>
  <c r="W221" i="1"/>
  <c r="X221" i="1" s="1"/>
  <c r="U221" i="1"/>
  <c r="R221" i="1"/>
  <c r="N221" i="1"/>
  <c r="O221" i="1" s="1"/>
  <c r="L221" i="1"/>
  <c r="I221" i="1"/>
  <c r="H221" i="1"/>
  <c r="F221" i="1"/>
  <c r="C221" i="1"/>
  <c r="AC220" i="1"/>
  <c r="AD220" i="1" s="1"/>
  <c r="AA220" i="1"/>
  <c r="W220" i="1"/>
  <c r="X220" i="1" s="1"/>
  <c r="U220" i="1"/>
  <c r="R220" i="1"/>
  <c r="N220" i="1"/>
  <c r="O220" i="1" s="1"/>
  <c r="L220" i="1"/>
  <c r="I220" i="1"/>
  <c r="H220" i="1"/>
  <c r="F220" i="1"/>
  <c r="C220" i="1"/>
  <c r="AC219" i="1"/>
  <c r="AD219" i="1" s="1"/>
  <c r="AA219" i="1"/>
  <c r="X219" i="1"/>
  <c r="W219" i="1"/>
  <c r="U219" i="1"/>
  <c r="R219" i="1"/>
  <c r="N219" i="1"/>
  <c r="O219" i="1" s="1"/>
  <c r="L219" i="1"/>
  <c r="I219" i="1"/>
  <c r="H219" i="1"/>
  <c r="F219" i="1"/>
  <c r="C219" i="1"/>
  <c r="AD218" i="1"/>
  <c r="Z218" i="1"/>
  <c r="AA218" i="1" s="1"/>
  <c r="W218" i="1"/>
  <c r="X218" i="1" s="1"/>
  <c r="U218" i="1"/>
  <c r="T218" i="1"/>
  <c r="R218" i="1"/>
  <c r="Q218" i="1"/>
  <c r="AC218" i="1" s="1"/>
  <c r="K218" i="1"/>
  <c r="L218" i="1" s="1"/>
  <c r="F218" i="1"/>
  <c r="E218" i="1"/>
  <c r="B218" i="1"/>
  <c r="C218" i="1" s="1"/>
  <c r="AD217" i="1"/>
  <c r="AC217" i="1"/>
  <c r="AA217" i="1"/>
  <c r="W217" i="1"/>
  <c r="X217" i="1" s="1"/>
  <c r="U217" i="1"/>
  <c r="R217" i="1"/>
  <c r="N217" i="1"/>
  <c r="O217" i="1" s="1"/>
  <c r="L217" i="1"/>
  <c r="I217" i="1"/>
  <c r="H217" i="1"/>
  <c r="F217" i="1"/>
  <c r="C217" i="1"/>
  <c r="AC216" i="1"/>
  <c r="AD216" i="1" s="1"/>
  <c r="AA216" i="1"/>
  <c r="X216" i="1"/>
  <c r="W216" i="1"/>
  <c r="U216" i="1"/>
  <c r="R216" i="1"/>
  <c r="N216" i="1"/>
  <c r="O216" i="1" s="1"/>
  <c r="L216" i="1"/>
  <c r="H216" i="1"/>
  <c r="I216" i="1" s="1"/>
  <c r="F216" i="1"/>
  <c r="C216" i="1"/>
  <c r="AD215" i="1"/>
  <c r="AC215" i="1"/>
  <c r="AA215" i="1"/>
  <c r="W215" i="1"/>
  <c r="X215" i="1" s="1"/>
  <c r="U215" i="1"/>
  <c r="R215" i="1"/>
  <c r="N215" i="1"/>
  <c r="O215" i="1" s="1"/>
  <c r="L215" i="1"/>
  <c r="H215" i="1"/>
  <c r="I215" i="1" s="1"/>
  <c r="F215" i="1"/>
  <c r="C215" i="1"/>
  <c r="AD214" i="1"/>
  <c r="AC214" i="1"/>
  <c r="AA214" i="1"/>
  <c r="W214" i="1"/>
  <c r="X214" i="1" s="1"/>
  <c r="U214" i="1"/>
  <c r="R214" i="1"/>
  <c r="N214" i="1"/>
  <c r="O214" i="1" s="1"/>
  <c r="L214" i="1"/>
  <c r="I214" i="1"/>
  <c r="H214" i="1"/>
  <c r="F214" i="1"/>
  <c r="C214" i="1"/>
  <c r="AD213" i="1"/>
  <c r="AC213" i="1"/>
  <c r="AA213" i="1"/>
  <c r="W213" i="1"/>
  <c r="X213" i="1" s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X211" i="1"/>
  <c r="W211" i="1"/>
  <c r="U211" i="1"/>
  <c r="R211" i="1"/>
  <c r="N211" i="1"/>
  <c r="O211" i="1" s="1"/>
  <c r="L211" i="1"/>
  <c r="H211" i="1"/>
  <c r="I211" i="1" s="1"/>
  <c r="F211" i="1"/>
  <c r="C211" i="1"/>
  <c r="AD209" i="1"/>
  <c r="Z209" i="1"/>
  <c r="AA209" i="1" s="1"/>
  <c r="W209" i="1"/>
  <c r="X209" i="1" s="1"/>
  <c r="U209" i="1"/>
  <c r="T209" i="1"/>
  <c r="R209" i="1"/>
  <c r="Q209" i="1"/>
  <c r="AC209" i="1" s="1"/>
  <c r="L209" i="1"/>
  <c r="K209" i="1"/>
  <c r="F209" i="1"/>
  <c r="E209" i="1"/>
  <c r="B209" i="1"/>
  <c r="C209" i="1" s="1"/>
  <c r="AD208" i="1"/>
  <c r="AC208" i="1"/>
  <c r="AA208" i="1"/>
  <c r="W208" i="1"/>
  <c r="X208" i="1" s="1"/>
  <c r="U208" i="1"/>
  <c r="R208" i="1"/>
  <c r="N208" i="1"/>
  <c r="O208" i="1" s="1"/>
  <c r="L208" i="1"/>
  <c r="I208" i="1"/>
  <c r="H208" i="1"/>
  <c r="F208" i="1"/>
  <c r="C208" i="1"/>
  <c r="AC207" i="1"/>
  <c r="AD207" i="1" s="1"/>
  <c r="AA207" i="1"/>
  <c r="W207" i="1"/>
  <c r="X207" i="1" s="1"/>
  <c r="U207" i="1"/>
  <c r="R207" i="1"/>
  <c r="N207" i="1"/>
  <c r="O207" i="1" s="1"/>
  <c r="L207" i="1"/>
  <c r="H207" i="1"/>
  <c r="I207" i="1" s="1"/>
  <c r="F207" i="1"/>
  <c r="C207" i="1"/>
  <c r="AD206" i="1"/>
  <c r="AC206" i="1"/>
  <c r="AA206" i="1"/>
  <c r="W206" i="1"/>
  <c r="X206" i="1" s="1"/>
  <c r="U206" i="1"/>
  <c r="R206" i="1"/>
  <c r="N206" i="1"/>
  <c r="O206" i="1" s="1"/>
  <c r="L206" i="1"/>
  <c r="H206" i="1"/>
  <c r="I206" i="1" s="1"/>
  <c r="F206" i="1"/>
  <c r="C206" i="1"/>
  <c r="AD205" i="1"/>
  <c r="AC205" i="1"/>
  <c r="AA205" i="1"/>
  <c r="W205" i="1"/>
  <c r="X205" i="1" s="1"/>
  <c r="U205" i="1"/>
  <c r="R205" i="1"/>
  <c r="N205" i="1"/>
  <c r="O205" i="1" s="1"/>
  <c r="L205" i="1"/>
  <c r="I205" i="1"/>
  <c r="H205" i="1"/>
  <c r="F205" i="1"/>
  <c r="C205" i="1"/>
  <c r="AD204" i="1"/>
  <c r="AC204" i="1"/>
  <c r="AA204" i="1"/>
  <c r="W204" i="1"/>
  <c r="X204" i="1" s="1"/>
  <c r="U204" i="1"/>
  <c r="R204" i="1"/>
  <c r="N204" i="1"/>
  <c r="O204" i="1" s="1"/>
  <c r="L204" i="1"/>
  <c r="I204" i="1"/>
  <c r="H204" i="1"/>
  <c r="F204" i="1"/>
  <c r="C204" i="1"/>
  <c r="AC203" i="1"/>
  <c r="AD203" i="1" s="1"/>
  <c r="AA203" i="1"/>
  <c r="W203" i="1"/>
  <c r="X203" i="1" s="1"/>
  <c r="U203" i="1"/>
  <c r="R203" i="1"/>
  <c r="N203" i="1"/>
  <c r="O203" i="1" s="1"/>
  <c r="L203" i="1"/>
  <c r="H203" i="1"/>
  <c r="I203" i="1" s="1"/>
  <c r="F203" i="1"/>
  <c r="C203" i="1"/>
  <c r="AD202" i="1"/>
  <c r="AC202" i="1"/>
  <c r="AA202" i="1"/>
  <c r="W202" i="1"/>
  <c r="X202" i="1" s="1"/>
  <c r="U202" i="1"/>
  <c r="R202" i="1"/>
  <c r="N202" i="1"/>
  <c r="O202" i="1" s="1"/>
  <c r="L202" i="1"/>
  <c r="H202" i="1"/>
  <c r="I202" i="1" s="1"/>
  <c r="F202" i="1"/>
  <c r="C202" i="1"/>
  <c r="AD201" i="1"/>
  <c r="AC201" i="1"/>
  <c r="AA201" i="1"/>
  <c r="W201" i="1"/>
  <c r="X201" i="1" s="1"/>
  <c r="U201" i="1"/>
  <c r="R201" i="1"/>
  <c r="N201" i="1"/>
  <c r="O201" i="1" s="1"/>
  <c r="L201" i="1"/>
  <c r="I201" i="1"/>
  <c r="H201" i="1"/>
  <c r="F201" i="1"/>
  <c r="C201" i="1"/>
  <c r="L198" i="1"/>
  <c r="Z197" i="1"/>
  <c r="AA197" i="1" s="1"/>
  <c r="W197" i="1"/>
  <c r="X197" i="1" s="1"/>
  <c r="U197" i="1"/>
  <c r="T197" i="1"/>
  <c r="R197" i="1"/>
  <c r="Q197" i="1"/>
  <c r="AC197" i="1" s="1"/>
  <c r="AD197" i="1" s="1"/>
  <c r="K197" i="1"/>
  <c r="L197" i="1" s="1"/>
  <c r="F197" i="1"/>
  <c r="E197" i="1"/>
  <c r="B197" i="1"/>
  <c r="C197" i="1" s="1"/>
  <c r="AC196" i="1"/>
  <c r="AD196" i="1" s="1"/>
  <c r="AA196" i="1"/>
  <c r="Z196" i="1"/>
  <c r="T196" i="1"/>
  <c r="U196" i="1" s="1"/>
  <c r="R196" i="1"/>
  <c r="Q196" i="1"/>
  <c r="W196" i="1" s="1"/>
  <c r="X196" i="1" s="1"/>
  <c r="L196" i="1"/>
  <c r="K196" i="1"/>
  <c r="E196" i="1"/>
  <c r="H196" i="1" s="1"/>
  <c r="I196" i="1" s="1"/>
  <c r="C196" i="1"/>
  <c r="B196" i="1"/>
  <c r="N196" i="1" s="1"/>
  <c r="O196" i="1" s="1"/>
  <c r="AD195" i="1"/>
  <c r="AC195" i="1"/>
  <c r="AA195" i="1"/>
  <c r="W195" i="1"/>
  <c r="X195" i="1" s="1"/>
  <c r="U195" i="1"/>
  <c r="R195" i="1"/>
  <c r="N195" i="1"/>
  <c r="O195" i="1" s="1"/>
  <c r="L195" i="1"/>
  <c r="H195" i="1"/>
  <c r="I195" i="1" s="1"/>
  <c r="F195" i="1"/>
  <c r="C195" i="1"/>
  <c r="AD194" i="1"/>
  <c r="AC194" i="1"/>
  <c r="AA194" i="1"/>
  <c r="X194" i="1"/>
  <c r="W194" i="1"/>
  <c r="U194" i="1"/>
  <c r="R194" i="1"/>
  <c r="O194" i="1"/>
  <c r="N194" i="1"/>
  <c r="L194" i="1"/>
  <c r="I194" i="1"/>
  <c r="H194" i="1"/>
  <c r="F194" i="1"/>
  <c r="C194" i="1"/>
  <c r="AC193" i="1"/>
  <c r="AD193" i="1" s="1"/>
  <c r="AA193" i="1"/>
  <c r="Z193" i="1"/>
  <c r="T193" i="1"/>
  <c r="U193" i="1" s="1"/>
  <c r="R193" i="1"/>
  <c r="Q193" i="1"/>
  <c r="W193" i="1" s="1"/>
  <c r="X193" i="1" s="1"/>
  <c r="L193" i="1"/>
  <c r="K193" i="1"/>
  <c r="E193" i="1"/>
  <c r="H193" i="1" s="1"/>
  <c r="I193" i="1" s="1"/>
  <c r="C193" i="1"/>
  <c r="B193" i="1"/>
  <c r="N193" i="1" s="1"/>
  <c r="O193" i="1" s="1"/>
  <c r="AD192" i="1"/>
  <c r="AC192" i="1"/>
  <c r="AA192" i="1"/>
  <c r="W192" i="1"/>
  <c r="X192" i="1" s="1"/>
  <c r="U192" i="1"/>
  <c r="R192" i="1"/>
  <c r="N192" i="1"/>
  <c r="O192" i="1" s="1"/>
  <c r="L192" i="1"/>
  <c r="H192" i="1"/>
  <c r="I192" i="1" s="1"/>
  <c r="F192" i="1"/>
  <c r="C192" i="1"/>
  <c r="AD191" i="1"/>
  <c r="AC191" i="1"/>
  <c r="AA191" i="1"/>
  <c r="X191" i="1"/>
  <c r="W191" i="1"/>
  <c r="U191" i="1"/>
  <c r="R191" i="1"/>
  <c r="O191" i="1"/>
  <c r="N191" i="1"/>
  <c r="L191" i="1"/>
  <c r="I191" i="1"/>
  <c r="H191" i="1"/>
  <c r="F191" i="1"/>
  <c r="C191" i="1"/>
  <c r="AC190" i="1"/>
  <c r="AD190" i="1" s="1"/>
  <c r="AA190" i="1"/>
  <c r="W190" i="1"/>
  <c r="X190" i="1" s="1"/>
  <c r="U190" i="1"/>
  <c r="R190" i="1"/>
  <c r="N190" i="1"/>
  <c r="O190" i="1" s="1"/>
  <c r="L190" i="1"/>
  <c r="I190" i="1"/>
  <c r="H190" i="1"/>
  <c r="F190" i="1"/>
  <c r="C190" i="1"/>
  <c r="AC189" i="1"/>
  <c r="AD189" i="1" s="1"/>
  <c r="AA189" i="1"/>
  <c r="X189" i="1"/>
  <c r="W189" i="1"/>
  <c r="U189" i="1"/>
  <c r="R189" i="1"/>
  <c r="O189" i="1"/>
  <c r="N189" i="1"/>
  <c r="L189" i="1"/>
  <c r="H189" i="1"/>
  <c r="I189" i="1" s="1"/>
  <c r="F189" i="1"/>
  <c r="C189" i="1"/>
  <c r="AD188" i="1"/>
  <c r="AC188" i="1"/>
  <c r="AA188" i="1"/>
  <c r="W188" i="1"/>
  <c r="X188" i="1" s="1"/>
  <c r="U188" i="1"/>
  <c r="R188" i="1"/>
  <c r="N188" i="1"/>
  <c r="O188" i="1" s="1"/>
  <c r="L188" i="1"/>
  <c r="H188" i="1"/>
  <c r="I188" i="1" s="1"/>
  <c r="F188" i="1"/>
  <c r="C188" i="1"/>
  <c r="AD187" i="1"/>
  <c r="AC187" i="1"/>
  <c r="AA187" i="1"/>
  <c r="X187" i="1"/>
  <c r="W187" i="1"/>
  <c r="U187" i="1"/>
  <c r="R187" i="1"/>
  <c r="N187" i="1"/>
  <c r="O187" i="1" s="1"/>
  <c r="L187" i="1"/>
  <c r="I187" i="1"/>
  <c r="H187" i="1"/>
  <c r="F187" i="1"/>
  <c r="C187" i="1"/>
  <c r="AC186" i="1"/>
  <c r="AD186" i="1" s="1"/>
  <c r="AA186" i="1"/>
  <c r="W186" i="1"/>
  <c r="X186" i="1" s="1"/>
  <c r="U186" i="1"/>
  <c r="R186" i="1"/>
  <c r="N186" i="1"/>
  <c r="O186" i="1" s="1"/>
  <c r="L186" i="1"/>
  <c r="I186" i="1"/>
  <c r="H186" i="1"/>
  <c r="F186" i="1"/>
  <c r="C186" i="1"/>
  <c r="AC184" i="1"/>
  <c r="AD184" i="1" s="1"/>
  <c r="AA184" i="1"/>
  <c r="W184" i="1"/>
  <c r="X184" i="1" s="1"/>
  <c r="U184" i="1"/>
  <c r="R184" i="1"/>
  <c r="O184" i="1"/>
  <c r="N184" i="1"/>
  <c r="L184" i="1"/>
  <c r="I184" i="1"/>
  <c r="H184" i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AD182" i="1"/>
  <c r="AA182" i="1"/>
  <c r="Z182" i="1"/>
  <c r="U182" i="1"/>
  <c r="T182" i="1"/>
  <c r="W182" i="1" s="1"/>
  <c r="X182" i="1" s="1"/>
  <c r="R182" i="1"/>
  <c r="Q182" i="1"/>
  <c r="AC182" i="1" s="1"/>
  <c r="O182" i="1"/>
  <c r="K182" i="1"/>
  <c r="L182" i="1" s="1"/>
  <c r="I182" i="1"/>
  <c r="H182" i="1"/>
  <c r="F182" i="1"/>
  <c r="E182" i="1"/>
  <c r="C182" i="1"/>
  <c r="B182" i="1"/>
  <c r="N182" i="1" s="1"/>
  <c r="AC181" i="1"/>
  <c r="AD181" i="1" s="1"/>
  <c r="AA181" i="1"/>
  <c r="X181" i="1"/>
  <c r="W181" i="1"/>
  <c r="U181" i="1"/>
  <c r="R181" i="1"/>
  <c r="O181" i="1"/>
  <c r="N181" i="1"/>
  <c r="L181" i="1"/>
  <c r="I181" i="1"/>
  <c r="H181" i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H180" i="1"/>
  <c r="I180" i="1" s="1"/>
  <c r="F180" i="1"/>
  <c r="C180" i="1"/>
  <c r="AD179" i="1"/>
  <c r="AC179" i="1"/>
  <c r="AA179" i="1"/>
  <c r="X179" i="1"/>
  <c r="W179" i="1"/>
  <c r="U179" i="1"/>
  <c r="R179" i="1"/>
  <c r="N179" i="1"/>
  <c r="O179" i="1" s="1"/>
  <c r="L179" i="1"/>
  <c r="I179" i="1"/>
  <c r="H179" i="1"/>
  <c r="F179" i="1"/>
  <c r="C179" i="1"/>
  <c r="AC178" i="1"/>
  <c r="AD178" i="1" s="1"/>
  <c r="AA178" i="1"/>
  <c r="W178" i="1"/>
  <c r="X178" i="1" s="1"/>
  <c r="U178" i="1"/>
  <c r="R178" i="1"/>
  <c r="N178" i="1"/>
  <c r="O178" i="1" s="1"/>
  <c r="L178" i="1"/>
  <c r="I178" i="1"/>
  <c r="H178" i="1"/>
  <c r="F178" i="1"/>
  <c r="C178" i="1"/>
  <c r="AC177" i="1"/>
  <c r="AD177" i="1" s="1"/>
  <c r="AA177" i="1"/>
  <c r="X177" i="1"/>
  <c r="W177" i="1"/>
  <c r="U177" i="1"/>
  <c r="R177" i="1"/>
  <c r="O177" i="1"/>
  <c r="N177" i="1"/>
  <c r="L177" i="1"/>
  <c r="H177" i="1"/>
  <c r="I177" i="1" s="1"/>
  <c r="F177" i="1"/>
  <c r="C177" i="1"/>
  <c r="AD175" i="1"/>
  <c r="AC175" i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U172" i="1"/>
  <c r="T172" i="1"/>
  <c r="T198" i="1" s="1"/>
  <c r="K172" i="1"/>
  <c r="K198" i="1" s="1"/>
  <c r="K345" i="1" s="1"/>
  <c r="K404" i="1" s="1"/>
  <c r="Z171" i="1"/>
  <c r="AA171" i="1" s="1"/>
  <c r="U171" i="1"/>
  <c r="T171" i="1"/>
  <c r="Q171" i="1"/>
  <c r="R171" i="1" s="1"/>
  <c r="N171" i="1"/>
  <c r="O171" i="1" s="1"/>
  <c r="L171" i="1"/>
  <c r="K171" i="1"/>
  <c r="E171" i="1"/>
  <c r="F171" i="1" s="1"/>
  <c r="C171" i="1"/>
  <c r="B171" i="1"/>
  <c r="H171" i="1" s="1"/>
  <c r="I171" i="1" s="1"/>
  <c r="AA170" i="1"/>
  <c r="Z170" i="1"/>
  <c r="T170" i="1"/>
  <c r="W170" i="1" s="1"/>
  <c r="X170" i="1" s="1"/>
  <c r="R170" i="1"/>
  <c r="Q170" i="1"/>
  <c r="AC170" i="1" s="1"/>
  <c r="AD170" i="1" s="1"/>
  <c r="K170" i="1"/>
  <c r="L170" i="1" s="1"/>
  <c r="I170" i="1"/>
  <c r="H170" i="1"/>
  <c r="F170" i="1"/>
  <c r="E170" i="1"/>
  <c r="C170" i="1"/>
  <c r="B170" i="1"/>
  <c r="N170" i="1" s="1"/>
  <c r="O170" i="1" s="1"/>
  <c r="AC169" i="1"/>
  <c r="AD169" i="1" s="1"/>
  <c r="AA169" i="1"/>
  <c r="X169" i="1"/>
  <c r="W169" i="1"/>
  <c r="U169" i="1"/>
  <c r="R169" i="1"/>
  <c r="O169" i="1"/>
  <c r="N169" i="1"/>
  <c r="L169" i="1"/>
  <c r="H169" i="1"/>
  <c r="I169" i="1" s="1"/>
  <c r="F169" i="1"/>
  <c r="C169" i="1"/>
  <c r="AD168" i="1"/>
  <c r="AC168" i="1"/>
  <c r="AA168" i="1"/>
  <c r="W168" i="1"/>
  <c r="X168" i="1" s="1"/>
  <c r="U168" i="1"/>
  <c r="R168" i="1"/>
  <c r="N168" i="1"/>
  <c r="O168" i="1" s="1"/>
  <c r="L168" i="1"/>
  <c r="H168" i="1"/>
  <c r="I168" i="1" s="1"/>
  <c r="F168" i="1"/>
  <c r="C168" i="1"/>
  <c r="AD167" i="1"/>
  <c r="AC167" i="1"/>
  <c r="AA167" i="1"/>
  <c r="X167" i="1"/>
  <c r="W167" i="1"/>
  <c r="U167" i="1"/>
  <c r="R167" i="1"/>
  <c r="O167" i="1"/>
  <c r="N167" i="1"/>
  <c r="L167" i="1"/>
  <c r="I167" i="1"/>
  <c r="H167" i="1"/>
  <c r="F167" i="1"/>
  <c r="C167" i="1"/>
  <c r="AC166" i="1"/>
  <c r="AD166" i="1" s="1"/>
  <c r="AA166" i="1"/>
  <c r="Z166" i="1"/>
  <c r="X166" i="1"/>
  <c r="T166" i="1"/>
  <c r="U166" i="1" s="1"/>
  <c r="Q166" i="1"/>
  <c r="W166" i="1" s="1"/>
  <c r="O166" i="1"/>
  <c r="L166" i="1"/>
  <c r="K166" i="1"/>
  <c r="E166" i="1"/>
  <c r="H166" i="1" s="1"/>
  <c r="I166" i="1" s="1"/>
  <c r="C166" i="1"/>
  <c r="B166" i="1"/>
  <c r="N166" i="1" s="1"/>
  <c r="AD165" i="1"/>
  <c r="AC165" i="1"/>
  <c r="AA165" i="1"/>
  <c r="W165" i="1"/>
  <c r="X165" i="1" s="1"/>
  <c r="U165" i="1"/>
  <c r="R165" i="1"/>
  <c r="N165" i="1"/>
  <c r="O165" i="1" s="1"/>
  <c r="L165" i="1"/>
  <c r="H165" i="1"/>
  <c r="I165" i="1" s="1"/>
  <c r="F165" i="1"/>
  <c r="C165" i="1"/>
  <c r="AD164" i="1"/>
  <c r="AC164" i="1"/>
  <c r="AA164" i="1"/>
  <c r="X164" i="1"/>
  <c r="W164" i="1"/>
  <c r="U164" i="1"/>
  <c r="R164" i="1"/>
  <c r="O164" i="1"/>
  <c r="N164" i="1"/>
  <c r="L164" i="1"/>
  <c r="I164" i="1"/>
  <c r="H164" i="1"/>
  <c r="F164" i="1"/>
  <c r="C164" i="1"/>
  <c r="AC163" i="1"/>
  <c r="AD163" i="1" s="1"/>
  <c r="AA163" i="1"/>
  <c r="W163" i="1"/>
  <c r="X163" i="1" s="1"/>
  <c r="U163" i="1"/>
  <c r="R163" i="1"/>
  <c r="N163" i="1"/>
  <c r="O163" i="1" s="1"/>
  <c r="L163" i="1"/>
  <c r="I163" i="1"/>
  <c r="H163" i="1"/>
  <c r="F163" i="1"/>
  <c r="C163" i="1"/>
  <c r="AC162" i="1"/>
  <c r="AD162" i="1" s="1"/>
  <c r="AA162" i="1"/>
  <c r="W162" i="1"/>
  <c r="X162" i="1" s="1"/>
  <c r="U162" i="1"/>
  <c r="R162" i="1"/>
  <c r="O162" i="1"/>
  <c r="N162" i="1"/>
  <c r="L162" i="1"/>
  <c r="H162" i="1"/>
  <c r="I162" i="1" s="1"/>
  <c r="F162" i="1"/>
  <c r="C162" i="1"/>
  <c r="AD161" i="1"/>
  <c r="AC161" i="1"/>
  <c r="AA161" i="1"/>
  <c r="W161" i="1"/>
  <c r="X161" i="1" s="1"/>
  <c r="U161" i="1"/>
  <c r="R161" i="1"/>
  <c r="N161" i="1"/>
  <c r="O161" i="1" s="1"/>
  <c r="L161" i="1"/>
  <c r="H161" i="1"/>
  <c r="I161" i="1" s="1"/>
  <c r="F161" i="1"/>
  <c r="C161" i="1"/>
  <c r="AD160" i="1"/>
  <c r="AC160" i="1"/>
  <c r="AA160" i="1"/>
  <c r="X160" i="1"/>
  <c r="W160" i="1"/>
  <c r="U160" i="1"/>
  <c r="R160" i="1"/>
  <c r="N160" i="1"/>
  <c r="O160" i="1" s="1"/>
  <c r="L160" i="1"/>
  <c r="I160" i="1"/>
  <c r="H160" i="1"/>
  <c r="F160" i="1"/>
  <c r="C160" i="1"/>
  <c r="AA158" i="1"/>
  <c r="Z158" i="1"/>
  <c r="T158" i="1"/>
  <c r="U158" i="1" s="1"/>
  <c r="Q158" i="1"/>
  <c r="W158" i="1" s="1"/>
  <c r="X158" i="1" s="1"/>
  <c r="O158" i="1"/>
  <c r="L158" i="1"/>
  <c r="K158" i="1"/>
  <c r="E158" i="1"/>
  <c r="H158" i="1" s="1"/>
  <c r="I158" i="1" s="1"/>
  <c r="C158" i="1"/>
  <c r="B158" i="1"/>
  <c r="N158" i="1" s="1"/>
  <c r="AD157" i="1"/>
  <c r="AC157" i="1"/>
  <c r="AA157" i="1"/>
  <c r="W157" i="1"/>
  <c r="X157" i="1" s="1"/>
  <c r="U157" i="1"/>
  <c r="R157" i="1"/>
  <c r="N157" i="1"/>
  <c r="O157" i="1" s="1"/>
  <c r="L157" i="1"/>
  <c r="H157" i="1"/>
  <c r="I157" i="1" s="1"/>
  <c r="F157" i="1"/>
  <c r="C157" i="1"/>
  <c r="AD156" i="1"/>
  <c r="AC156" i="1"/>
  <c r="AA156" i="1"/>
  <c r="X156" i="1"/>
  <c r="W156" i="1"/>
  <c r="U156" i="1"/>
  <c r="R156" i="1"/>
  <c r="N156" i="1"/>
  <c r="O156" i="1" s="1"/>
  <c r="L156" i="1"/>
  <c r="I156" i="1"/>
  <c r="H156" i="1"/>
  <c r="F156" i="1"/>
  <c r="C156" i="1"/>
  <c r="AD155" i="1"/>
  <c r="AC155" i="1"/>
  <c r="AA155" i="1"/>
  <c r="W155" i="1"/>
  <c r="X155" i="1" s="1"/>
  <c r="U155" i="1"/>
  <c r="R155" i="1"/>
  <c r="N155" i="1"/>
  <c r="O155" i="1" s="1"/>
  <c r="L155" i="1"/>
  <c r="I155" i="1"/>
  <c r="H155" i="1"/>
  <c r="F155" i="1"/>
  <c r="C155" i="1"/>
  <c r="AC154" i="1"/>
  <c r="AD154" i="1" s="1"/>
  <c r="AA154" i="1"/>
  <c r="W154" i="1"/>
  <c r="X154" i="1" s="1"/>
  <c r="U154" i="1"/>
  <c r="R154" i="1"/>
  <c r="O154" i="1"/>
  <c r="N154" i="1"/>
  <c r="L154" i="1"/>
  <c r="H154" i="1"/>
  <c r="I154" i="1" s="1"/>
  <c r="F154" i="1"/>
  <c r="C154" i="1"/>
  <c r="AD153" i="1"/>
  <c r="AC153" i="1"/>
  <c r="AA153" i="1"/>
  <c r="W153" i="1"/>
  <c r="X153" i="1" s="1"/>
  <c r="U153" i="1"/>
  <c r="R153" i="1"/>
  <c r="N153" i="1"/>
  <c r="O153" i="1" s="1"/>
  <c r="L153" i="1"/>
  <c r="H153" i="1"/>
  <c r="I153" i="1" s="1"/>
  <c r="F153" i="1"/>
  <c r="C153" i="1"/>
  <c r="AD151" i="1"/>
  <c r="AC151" i="1"/>
  <c r="AA151" i="1"/>
  <c r="X151" i="1"/>
  <c r="W151" i="1"/>
  <c r="U151" i="1"/>
  <c r="R151" i="1"/>
  <c r="N151" i="1"/>
  <c r="O151" i="1" s="1"/>
  <c r="L151" i="1"/>
  <c r="I151" i="1"/>
  <c r="H151" i="1"/>
  <c r="F151" i="1"/>
  <c r="C151" i="1"/>
  <c r="AA149" i="1"/>
  <c r="Z149" i="1"/>
  <c r="X149" i="1"/>
  <c r="T149" i="1"/>
  <c r="U149" i="1" s="1"/>
  <c r="R149" i="1"/>
  <c r="Q149" i="1"/>
  <c r="W149" i="1" s="1"/>
  <c r="O149" i="1"/>
  <c r="L149" i="1"/>
  <c r="K149" i="1"/>
  <c r="E149" i="1"/>
  <c r="H149" i="1" s="1"/>
  <c r="I149" i="1" s="1"/>
  <c r="C149" i="1"/>
  <c r="B149" i="1"/>
  <c r="N149" i="1" s="1"/>
  <c r="Z148" i="1"/>
  <c r="AA148" i="1" s="1"/>
  <c r="W148" i="1"/>
  <c r="X148" i="1" s="1"/>
  <c r="U148" i="1"/>
  <c r="T148" i="1"/>
  <c r="R148" i="1"/>
  <c r="Q148" i="1"/>
  <c r="AC148" i="1" s="1"/>
  <c r="AD148" i="1" s="1"/>
  <c r="K148" i="1"/>
  <c r="L148" i="1" s="1"/>
  <c r="F148" i="1"/>
  <c r="E148" i="1"/>
  <c r="B148" i="1"/>
  <c r="C148" i="1" s="1"/>
  <c r="AD147" i="1"/>
  <c r="AC147" i="1"/>
  <c r="AA147" i="1"/>
  <c r="W147" i="1"/>
  <c r="X147" i="1" s="1"/>
  <c r="U147" i="1"/>
  <c r="R147" i="1"/>
  <c r="N147" i="1"/>
  <c r="O147" i="1" s="1"/>
  <c r="L147" i="1"/>
  <c r="I147" i="1"/>
  <c r="H147" i="1"/>
  <c r="F147" i="1"/>
  <c r="C147" i="1"/>
  <c r="AC146" i="1"/>
  <c r="AD146" i="1" s="1"/>
  <c r="AA146" i="1"/>
  <c r="W146" i="1"/>
  <c r="X146" i="1" s="1"/>
  <c r="U146" i="1"/>
  <c r="R146" i="1"/>
  <c r="O146" i="1"/>
  <c r="N146" i="1"/>
  <c r="L146" i="1"/>
  <c r="H146" i="1"/>
  <c r="I146" i="1" s="1"/>
  <c r="F146" i="1"/>
  <c r="C146" i="1"/>
  <c r="AD145" i="1"/>
  <c r="AC145" i="1"/>
  <c r="AA145" i="1"/>
  <c r="W145" i="1"/>
  <c r="X145" i="1" s="1"/>
  <c r="U145" i="1"/>
  <c r="R145" i="1"/>
  <c r="N145" i="1"/>
  <c r="O145" i="1" s="1"/>
  <c r="L145" i="1"/>
  <c r="H145" i="1"/>
  <c r="I145" i="1" s="1"/>
  <c r="F145" i="1"/>
  <c r="C145" i="1"/>
  <c r="AD144" i="1"/>
  <c r="AC144" i="1"/>
  <c r="AA144" i="1"/>
  <c r="X144" i="1"/>
  <c r="W144" i="1"/>
  <c r="U144" i="1"/>
  <c r="R144" i="1"/>
  <c r="O144" i="1"/>
  <c r="N144" i="1"/>
  <c r="L144" i="1"/>
  <c r="I144" i="1"/>
  <c r="H144" i="1"/>
  <c r="F144" i="1"/>
  <c r="C144" i="1"/>
  <c r="AC143" i="1"/>
  <c r="AD143" i="1" s="1"/>
  <c r="AA143" i="1"/>
  <c r="W143" i="1"/>
  <c r="X143" i="1" s="1"/>
  <c r="U143" i="1"/>
  <c r="R143" i="1"/>
  <c r="N143" i="1"/>
  <c r="O143" i="1" s="1"/>
  <c r="L143" i="1"/>
  <c r="I143" i="1"/>
  <c r="H143" i="1"/>
  <c r="F143" i="1"/>
  <c r="C143" i="1"/>
  <c r="Z141" i="1"/>
  <c r="AA141" i="1" s="1"/>
  <c r="U141" i="1"/>
  <c r="T141" i="1"/>
  <c r="Q141" i="1"/>
  <c r="R141" i="1" s="1"/>
  <c r="L141" i="1"/>
  <c r="K141" i="1"/>
  <c r="E141" i="1"/>
  <c r="F141" i="1" s="1"/>
  <c r="B141" i="1"/>
  <c r="H141" i="1" s="1"/>
  <c r="I141" i="1" s="1"/>
  <c r="AD140" i="1"/>
  <c r="AC140" i="1"/>
  <c r="AA140" i="1"/>
  <c r="X140" i="1"/>
  <c r="W140" i="1"/>
  <c r="U140" i="1"/>
  <c r="R140" i="1"/>
  <c r="O140" i="1"/>
  <c r="N140" i="1"/>
  <c r="L140" i="1"/>
  <c r="I140" i="1"/>
  <c r="H140" i="1"/>
  <c r="F140" i="1"/>
  <c r="C140" i="1"/>
  <c r="AC139" i="1"/>
  <c r="AD139" i="1" s="1"/>
  <c r="AA139" i="1"/>
  <c r="W139" i="1"/>
  <c r="X139" i="1" s="1"/>
  <c r="U139" i="1"/>
  <c r="R139" i="1"/>
  <c r="N139" i="1"/>
  <c r="O139" i="1" s="1"/>
  <c r="L139" i="1"/>
  <c r="I139" i="1"/>
  <c r="H139" i="1"/>
  <c r="F139" i="1"/>
  <c r="C139" i="1"/>
  <c r="AC138" i="1"/>
  <c r="AD138" i="1" s="1"/>
  <c r="AA138" i="1"/>
  <c r="X138" i="1"/>
  <c r="W138" i="1"/>
  <c r="U138" i="1"/>
  <c r="R138" i="1"/>
  <c r="O138" i="1"/>
  <c r="N138" i="1"/>
  <c r="L138" i="1"/>
  <c r="H138" i="1"/>
  <c r="I138" i="1" s="1"/>
  <c r="F138" i="1"/>
  <c r="C138" i="1"/>
  <c r="AD137" i="1"/>
  <c r="AC137" i="1"/>
  <c r="AA137" i="1"/>
  <c r="W137" i="1"/>
  <c r="X137" i="1" s="1"/>
  <c r="U137" i="1"/>
  <c r="R137" i="1"/>
  <c r="N137" i="1"/>
  <c r="O137" i="1" s="1"/>
  <c r="L137" i="1"/>
  <c r="H137" i="1"/>
  <c r="I137" i="1" s="1"/>
  <c r="F137" i="1"/>
  <c r="C137" i="1"/>
  <c r="AD136" i="1"/>
  <c r="AC136" i="1"/>
  <c r="AA136" i="1"/>
  <c r="X136" i="1"/>
  <c r="W136" i="1"/>
  <c r="U136" i="1"/>
  <c r="R136" i="1"/>
  <c r="N136" i="1"/>
  <c r="O136" i="1" s="1"/>
  <c r="L136" i="1"/>
  <c r="I136" i="1"/>
  <c r="H136" i="1"/>
  <c r="F136" i="1"/>
  <c r="C136" i="1"/>
  <c r="AC135" i="1"/>
  <c r="AD135" i="1" s="1"/>
  <c r="AA135" i="1"/>
  <c r="W135" i="1"/>
  <c r="X135" i="1" s="1"/>
  <c r="U135" i="1"/>
  <c r="R135" i="1"/>
  <c r="N135" i="1"/>
  <c r="O135" i="1" s="1"/>
  <c r="L135" i="1"/>
  <c r="I135" i="1"/>
  <c r="H135" i="1"/>
  <c r="F135" i="1"/>
  <c r="C135" i="1"/>
  <c r="AC134" i="1"/>
  <c r="AD134" i="1" s="1"/>
  <c r="AA134" i="1"/>
  <c r="W134" i="1"/>
  <c r="X134" i="1" s="1"/>
  <c r="U134" i="1"/>
  <c r="R134" i="1"/>
  <c r="O134" i="1"/>
  <c r="N134" i="1"/>
  <c r="L134" i="1"/>
  <c r="I134" i="1"/>
  <c r="H134" i="1"/>
  <c r="F134" i="1"/>
  <c r="C134" i="1"/>
  <c r="AD133" i="1"/>
  <c r="AC133" i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D132" i="1"/>
  <c r="AC132" i="1"/>
  <c r="AA132" i="1"/>
  <c r="X132" i="1"/>
  <c r="W132" i="1"/>
  <c r="U132" i="1"/>
  <c r="R132" i="1"/>
  <c r="N132" i="1"/>
  <c r="O132" i="1" s="1"/>
  <c r="L132" i="1"/>
  <c r="I132" i="1"/>
  <c r="H132" i="1"/>
  <c r="F132" i="1"/>
  <c r="C132" i="1"/>
  <c r="AC131" i="1"/>
  <c r="AD131" i="1" s="1"/>
  <c r="AA131" i="1"/>
  <c r="W131" i="1"/>
  <c r="X131" i="1" s="1"/>
  <c r="U131" i="1"/>
  <c r="R131" i="1"/>
  <c r="N131" i="1"/>
  <c r="O131" i="1" s="1"/>
  <c r="L131" i="1"/>
  <c r="I131" i="1"/>
  <c r="H131" i="1"/>
  <c r="F131" i="1"/>
  <c r="C131" i="1"/>
  <c r="AC130" i="1"/>
  <c r="AD130" i="1" s="1"/>
  <c r="AA130" i="1"/>
  <c r="W130" i="1"/>
  <c r="X130" i="1" s="1"/>
  <c r="U130" i="1"/>
  <c r="R130" i="1"/>
  <c r="O130" i="1"/>
  <c r="N130" i="1"/>
  <c r="L130" i="1"/>
  <c r="I130" i="1"/>
  <c r="H130" i="1"/>
  <c r="F130" i="1"/>
  <c r="C130" i="1"/>
  <c r="AD129" i="1"/>
  <c r="AC129" i="1"/>
  <c r="AA129" i="1"/>
  <c r="W129" i="1"/>
  <c r="X129" i="1" s="1"/>
  <c r="U129" i="1"/>
  <c r="R129" i="1"/>
  <c r="N129" i="1"/>
  <c r="O129" i="1" s="1"/>
  <c r="L129" i="1"/>
  <c r="H129" i="1"/>
  <c r="I129" i="1" s="1"/>
  <c r="F129" i="1"/>
  <c r="C129" i="1"/>
  <c r="AD127" i="1"/>
  <c r="AC127" i="1"/>
  <c r="AA127" i="1"/>
  <c r="X127" i="1"/>
  <c r="W127" i="1"/>
  <c r="U127" i="1"/>
  <c r="R127" i="1"/>
  <c r="O127" i="1"/>
  <c r="N127" i="1"/>
  <c r="L127" i="1"/>
  <c r="I127" i="1"/>
  <c r="H127" i="1"/>
  <c r="F127" i="1"/>
  <c r="C127" i="1"/>
  <c r="AD124" i="1"/>
  <c r="AC124" i="1"/>
  <c r="AA124" i="1"/>
  <c r="Z124" i="1"/>
  <c r="Z172" i="1" s="1"/>
  <c r="Z198" i="1" s="1"/>
  <c r="Z345" i="1" s="1"/>
  <c r="Z404" i="1" s="1"/>
  <c r="Z443" i="1" s="1"/>
  <c r="AA443" i="1" s="1"/>
  <c r="T124" i="1"/>
  <c r="U124" i="1" s="1"/>
  <c r="Q124" i="1"/>
  <c r="L124" i="1"/>
  <c r="K124" i="1"/>
  <c r="F124" i="1"/>
  <c r="E124" i="1"/>
  <c r="C124" i="1"/>
  <c r="B124" i="1"/>
  <c r="AD123" i="1"/>
  <c r="AC123" i="1"/>
  <c r="AA123" i="1"/>
  <c r="W123" i="1"/>
  <c r="X123" i="1" s="1"/>
  <c r="U123" i="1"/>
  <c r="R123" i="1"/>
  <c r="N123" i="1"/>
  <c r="O123" i="1" s="1"/>
  <c r="L123" i="1"/>
  <c r="H123" i="1"/>
  <c r="I123" i="1" s="1"/>
  <c r="F123" i="1"/>
  <c r="C123" i="1"/>
  <c r="AA122" i="1"/>
  <c r="Z122" i="1"/>
  <c r="T122" i="1"/>
  <c r="W122" i="1" s="1"/>
  <c r="X122" i="1" s="1"/>
  <c r="R122" i="1"/>
  <c r="Q122" i="1"/>
  <c r="AC122" i="1" s="1"/>
  <c r="AD122" i="1" s="1"/>
  <c r="K122" i="1"/>
  <c r="L122" i="1" s="1"/>
  <c r="I122" i="1"/>
  <c r="H122" i="1"/>
  <c r="F122" i="1"/>
  <c r="E122" i="1"/>
  <c r="C122" i="1"/>
  <c r="B122" i="1"/>
  <c r="N122" i="1" s="1"/>
  <c r="O122" i="1" s="1"/>
  <c r="AC121" i="1"/>
  <c r="AD121" i="1" s="1"/>
  <c r="AA121" i="1"/>
  <c r="X121" i="1"/>
  <c r="W121" i="1"/>
  <c r="U121" i="1"/>
  <c r="R121" i="1"/>
  <c r="O121" i="1"/>
  <c r="N121" i="1"/>
  <c r="L121" i="1"/>
  <c r="H121" i="1"/>
  <c r="I121" i="1" s="1"/>
  <c r="F121" i="1"/>
  <c r="C121" i="1"/>
  <c r="AD120" i="1"/>
  <c r="AC120" i="1"/>
  <c r="AA120" i="1"/>
  <c r="W120" i="1"/>
  <c r="X120" i="1" s="1"/>
  <c r="U120" i="1"/>
  <c r="R120" i="1"/>
  <c r="N120" i="1"/>
  <c r="O120" i="1" s="1"/>
  <c r="L120" i="1"/>
  <c r="H120" i="1"/>
  <c r="I120" i="1" s="1"/>
  <c r="F120" i="1"/>
  <c r="C120" i="1"/>
  <c r="AD119" i="1"/>
  <c r="AC119" i="1"/>
  <c r="AA119" i="1"/>
  <c r="X119" i="1"/>
  <c r="W119" i="1"/>
  <c r="U119" i="1"/>
  <c r="R119" i="1"/>
  <c r="O119" i="1"/>
  <c r="N119" i="1"/>
  <c r="L119" i="1"/>
  <c r="I119" i="1"/>
  <c r="H119" i="1"/>
  <c r="F119" i="1"/>
  <c r="C119" i="1"/>
  <c r="AC118" i="1"/>
  <c r="AD118" i="1" s="1"/>
  <c r="AA118" i="1"/>
  <c r="Z118" i="1"/>
  <c r="X118" i="1"/>
  <c r="T118" i="1"/>
  <c r="U118" i="1" s="1"/>
  <c r="Q118" i="1"/>
  <c r="W118" i="1" s="1"/>
  <c r="O118" i="1"/>
  <c r="L118" i="1"/>
  <c r="K118" i="1"/>
  <c r="E118" i="1"/>
  <c r="H118" i="1" s="1"/>
  <c r="I118" i="1" s="1"/>
  <c r="C118" i="1"/>
  <c r="B118" i="1"/>
  <c r="N118" i="1" s="1"/>
  <c r="AD117" i="1"/>
  <c r="AC117" i="1"/>
  <c r="AA117" i="1"/>
  <c r="W117" i="1"/>
  <c r="X117" i="1" s="1"/>
  <c r="U117" i="1"/>
  <c r="R117" i="1"/>
  <c r="N117" i="1"/>
  <c r="O117" i="1" s="1"/>
  <c r="L117" i="1"/>
  <c r="H117" i="1"/>
  <c r="I117" i="1" s="1"/>
  <c r="F117" i="1"/>
  <c r="C117" i="1"/>
  <c r="AD116" i="1"/>
  <c r="AC116" i="1"/>
  <c r="AA116" i="1"/>
  <c r="X116" i="1"/>
  <c r="W116" i="1"/>
  <c r="U116" i="1"/>
  <c r="R116" i="1"/>
  <c r="O116" i="1"/>
  <c r="N116" i="1"/>
  <c r="L116" i="1"/>
  <c r="I116" i="1"/>
  <c r="H116" i="1"/>
  <c r="F116" i="1"/>
  <c r="C116" i="1"/>
  <c r="AC115" i="1"/>
  <c r="AD115" i="1" s="1"/>
  <c r="AA115" i="1"/>
  <c r="W115" i="1"/>
  <c r="X115" i="1" s="1"/>
  <c r="U115" i="1"/>
  <c r="R115" i="1"/>
  <c r="N115" i="1"/>
  <c r="O115" i="1" s="1"/>
  <c r="L115" i="1"/>
  <c r="I115" i="1"/>
  <c r="H115" i="1"/>
  <c r="F115" i="1"/>
  <c r="C115" i="1"/>
  <c r="AC114" i="1"/>
  <c r="AD114" i="1" s="1"/>
  <c r="AA114" i="1"/>
  <c r="W114" i="1"/>
  <c r="X114" i="1" s="1"/>
  <c r="U114" i="1"/>
  <c r="R114" i="1"/>
  <c r="O114" i="1"/>
  <c r="N114" i="1"/>
  <c r="L114" i="1"/>
  <c r="H114" i="1"/>
  <c r="I114" i="1" s="1"/>
  <c r="F114" i="1"/>
  <c r="C114" i="1"/>
  <c r="AD113" i="1"/>
  <c r="AC113" i="1"/>
  <c r="AA113" i="1"/>
  <c r="W113" i="1"/>
  <c r="X113" i="1" s="1"/>
  <c r="U113" i="1"/>
  <c r="R113" i="1"/>
  <c r="N113" i="1"/>
  <c r="O113" i="1" s="1"/>
  <c r="L113" i="1"/>
  <c r="H113" i="1"/>
  <c r="I113" i="1" s="1"/>
  <c r="F113" i="1"/>
  <c r="C113" i="1"/>
  <c r="AD112" i="1"/>
  <c r="AC112" i="1"/>
  <c r="AA112" i="1"/>
  <c r="X112" i="1"/>
  <c r="W112" i="1"/>
  <c r="U112" i="1"/>
  <c r="R112" i="1"/>
  <c r="N112" i="1"/>
  <c r="O112" i="1" s="1"/>
  <c r="L112" i="1"/>
  <c r="I112" i="1"/>
  <c r="H112" i="1"/>
  <c r="F112" i="1"/>
  <c r="C112" i="1"/>
  <c r="AD111" i="1"/>
  <c r="AC111" i="1"/>
  <c r="AA111" i="1"/>
  <c r="W111" i="1"/>
  <c r="X111" i="1" s="1"/>
  <c r="U111" i="1"/>
  <c r="R111" i="1"/>
  <c r="N111" i="1"/>
  <c r="O111" i="1" s="1"/>
  <c r="L111" i="1"/>
  <c r="I111" i="1"/>
  <c r="H111" i="1"/>
  <c r="F111" i="1"/>
  <c r="C111" i="1"/>
  <c r="AC110" i="1"/>
  <c r="AD110" i="1" s="1"/>
  <c r="AA110" i="1"/>
  <c r="W110" i="1"/>
  <c r="X110" i="1" s="1"/>
  <c r="U110" i="1"/>
  <c r="R110" i="1"/>
  <c r="O110" i="1"/>
  <c r="N110" i="1"/>
  <c r="L110" i="1"/>
  <c r="H110" i="1"/>
  <c r="I110" i="1" s="1"/>
  <c r="F110" i="1"/>
  <c r="C110" i="1"/>
  <c r="AD109" i="1"/>
  <c r="AC109" i="1"/>
  <c r="AA109" i="1"/>
  <c r="W109" i="1"/>
  <c r="X109" i="1" s="1"/>
  <c r="U109" i="1"/>
  <c r="R109" i="1"/>
  <c r="N109" i="1"/>
  <c r="O109" i="1" s="1"/>
  <c r="L109" i="1"/>
  <c r="H109" i="1"/>
  <c r="I109" i="1" s="1"/>
  <c r="F109" i="1"/>
  <c r="C109" i="1"/>
  <c r="AD108" i="1"/>
  <c r="AC108" i="1"/>
  <c r="AA108" i="1"/>
  <c r="X108" i="1"/>
  <c r="W108" i="1"/>
  <c r="U108" i="1"/>
  <c r="R108" i="1"/>
  <c r="N108" i="1"/>
  <c r="O108" i="1" s="1"/>
  <c r="L108" i="1"/>
  <c r="I108" i="1"/>
  <c r="H108" i="1"/>
  <c r="F108" i="1"/>
  <c r="C108" i="1"/>
  <c r="AD107" i="1"/>
  <c r="AC107" i="1"/>
  <c r="AA107" i="1"/>
  <c r="W107" i="1"/>
  <c r="X107" i="1" s="1"/>
  <c r="U107" i="1"/>
  <c r="R107" i="1"/>
  <c r="N107" i="1"/>
  <c r="O107" i="1" s="1"/>
  <c r="L107" i="1"/>
  <c r="I107" i="1"/>
  <c r="H107" i="1"/>
  <c r="F107" i="1"/>
  <c r="C107" i="1"/>
  <c r="AC106" i="1"/>
  <c r="AD106" i="1" s="1"/>
  <c r="AA106" i="1"/>
  <c r="X106" i="1"/>
  <c r="W106" i="1"/>
  <c r="U106" i="1"/>
  <c r="R106" i="1"/>
  <c r="O106" i="1"/>
  <c r="N106" i="1"/>
  <c r="L106" i="1"/>
  <c r="I106" i="1"/>
  <c r="H106" i="1"/>
  <c r="F106" i="1"/>
  <c r="C106" i="1"/>
  <c r="AD105" i="1"/>
  <c r="AC105" i="1"/>
  <c r="AA105" i="1"/>
  <c r="W105" i="1"/>
  <c r="X105" i="1" s="1"/>
  <c r="U105" i="1"/>
  <c r="R105" i="1"/>
  <c r="N105" i="1"/>
  <c r="O105" i="1" s="1"/>
  <c r="L105" i="1"/>
  <c r="H105" i="1"/>
  <c r="I105" i="1" s="1"/>
  <c r="F105" i="1"/>
  <c r="C105" i="1"/>
  <c r="AD104" i="1"/>
  <c r="AC104" i="1"/>
  <c r="AA104" i="1"/>
  <c r="X104" i="1"/>
  <c r="W104" i="1"/>
  <c r="U104" i="1"/>
  <c r="R104" i="1"/>
  <c r="N104" i="1"/>
  <c r="O104" i="1" s="1"/>
  <c r="L104" i="1"/>
  <c r="I104" i="1"/>
  <c r="H104" i="1"/>
  <c r="F104" i="1"/>
  <c r="C104" i="1"/>
  <c r="AC103" i="1"/>
  <c r="AD103" i="1" s="1"/>
  <c r="AA103" i="1"/>
  <c r="W103" i="1"/>
  <c r="X103" i="1" s="1"/>
  <c r="U103" i="1"/>
  <c r="R103" i="1"/>
  <c r="N103" i="1"/>
  <c r="O103" i="1" s="1"/>
  <c r="L103" i="1"/>
  <c r="I103" i="1"/>
  <c r="H103" i="1"/>
  <c r="F103" i="1"/>
  <c r="C103" i="1"/>
  <c r="AC102" i="1"/>
  <c r="AD102" i="1" s="1"/>
  <c r="AA102" i="1"/>
  <c r="X102" i="1"/>
  <c r="W102" i="1"/>
  <c r="U102" i="1"/>
  <c r="R102" i="1"/>
  <c r="O102" i="1"/>
  <c r="N102" i="1"/>
  <c r="L102" i="1"/>
  <c r="H102" i="1"/>
  <c r="I102" i="1" s="1"/>
  <c r="F102" i="1"/>
  <c r="C102" i="1"/>
  <c r="AD101" i="1"/>
  <c r="AC101" i="1"/>
  <c r="AA101" i="1"/>
  <c r="W101" i="1"/>
  <c r="X101" i="1" s="1"/>
  <c r="U101" i="1"/>
  <c r="R101" i="1"/>
  <c r="N101" i="1"/>
  <c r="O101" i="1" s="1"/>
  <c r="L101" i="1"/>
  <c r="H101" i="1"/>
  <c r="I101" i="1" s="1"/>
  <c r="F101" i="1"/>
  <c r="C101" i="1"/>
  <c r="AD100" i="1"/>
  <c r="AC100" i="1"/>
  <c r="AA100" i="1"/>
  <c r="X100" i="1"/>
  <c r="W100" i="1"/>
  <c r="U100" i="1"/>
  <c r="R100" i="1"/>
  <c r="O100" i="1"/>
  <c r="N100" i="1"/>
  <c r="L100" i="1"/>
  <c r="I100" i="1"/>
  <c r="H100" i="1"/>
  <c r="F100" i="1"/>
  <c r="C100" i="1"/>
  <c r="AC99" i="1"/>
  <c r="AD99" i="1" s="1"/>
  <c r="AA99" i="1"/>
  <c r="W99" i="1"/>
  <c r="X99" i="1" s="1"/>
  <c r="U99" i="1"/>
  <c r="R99" i="1"/>
  <c r="N99" i="1"/>
  <c r="O99" i="1" s="1"/>
  <c r="L99" i="1"/>
  <c r="I99" i="1"/>
  <c r="H99" i="1"/>
  <c r="F99" i="1"/>
  <c r="C99" i="1"/>
  <c r="AC98" i="1"/>
  <c r="AD98" i="1" s="1"/>
  <c r="AA98" i="1"/>
  <c r="W98" i="1"/>
  <c r="X98" i="1" s="1"/>
  <c r="U98" i="1"/>
  <c r="R98" i="1"/>
  <c r="O98" i="1"/>
  <c r="N98" i="1"/>
  <c r="L98" i="1"/>
  <c r="H98" i="1"/>
  <c r="I98" i="1" s="1"/>
  <c r="F98" i="1"/>
  <c r="C98" i="1"/>
  <c r="AD97" i="1"/>
  <c r="AC97" i="1"/>
  <c r="AA97" i="1"/>
  <c r="W97" i="1"/>
  <c r="X97" i="1" s="1"/>
  <c r="U97" i="1"/>
  <c r="R97" i="1"/>
  <c r="N97" i="1"/>
  <c r="O97" i="1" s="1"/>
  <c r="L97" i="1"/>
  <c r="H97" i="1"/>
  <c r="I97" i="1" s="1"/>
  <c r="F97" i="1"/>
  <c r="C97" i="1"/>
  <c r="AD96" i="1"/>
  <c r="AC96" i="1"/>
  <c r="AA96" i="1"/>
  <c r="X96" i="1"/>
  <c r="W96" i="1"/>
  <c r="U96" i="1"/>
  <c r="R96" i="1"/>
  <c r="N96" i="1"/>
  <c r="O96" i="1" s="1"/>
  <c r="L96" i="1"/>
  <c r="I96" i="1"/>
  <c r="H96" i="1"/>
  <c r="F96" i="1"/>
  <c r="C96" i="1"/>
  <c r="AD95" i="1"/>
  <c r="AC95" i="1"/>
  <c r="AA95" i="1"/>
  <c r="W95" i="1"/>
  <c r="X95" i="1" s="1"/>
  <c r="U95" i="1"/>
  <c r="R95" i="1"/>
  <c r="N95" i="1"/>
  <c r="O95" i="1" s="1"/>
  <c r="L95" i="1"/>
  <c r="I95" i="1"/>
  <c r="H95" i="1"/>
  <c r="F95" i="1"/>
  <c r="C95" i="1"/>
  <c r="AC94" i="1"/>
  <c r="AD94" i="1" s="1"/>
  <c r="AA94" i="1"/>
  <c r="W94" i="1"/>
  <c r="X94" i="1" s="1"/>
  <c r="U94" i="1"/>
  <c r="R94" i="1"/>
  <c r="O94" i="1"/>
  <c r="N94" i="1"/>
  <c r="L94" i="1"/>
  <c r="H94" i="1"/>
  <c r="I94" i="1" s="1"/>
  <c r="F94" i="1"/>
  <c r="C94" i="1"/>
  <c r="AD92" i="1"/>
  <c r="AC92" i="1"/>
  <c r="AA92" i="1"/>
  <c r="W92" i="1"/>
  <c r="X92" i="1" s="1"/>
  <c r="U92" i="1"/>
  <c r="R92" i="1"/>
  <c r="N92" i="1"/>
  <c r="O92" i="1" s="1"/>
  <c r="L92" i="1"/>
  <c r="H92" i="1"/>
  <c r="I92" i="1" s="1"/>
  <c r="F92" i="1"/>
  <c r="C92" i="1"/>
  <c r="AD91" i="1"/>
  <c r="AC91" i="1"/>
  <c r="AA91" i="1"/>
  <c r="X91" i="1"/>
  <c r="W91" i="1"/>
  <c r="U91" i="1"/>
  <c r="R91" i="1"/>
  <c r="N91" i="1"/>
  <c r="O91" i="1" s="1"/>
  <c r="L91" i="1"/>
  <c r="I91" i="1"/>
  <c r="H91" i="1"/>
  <c r="F91" i="1"/>
  <c r="C91" i="1"/>
  <c r="AD90" i="1"/>
  <c r="AC90" i="1"/>
  <c r="AA90" i="1"/>
  <c r="W90" i="1"/>
  <c r="X90" i="1" s="1"/>
  <c r="U90" i="1"/>
  <c r="R90" i="1"/>
  <c r="N90" i="1"/>
  <c r="O90" i="1" s="1"/>
  <c r="L90" i="1"/>
  <c r="I90" i="1"/>
  <c r="H90" i="1"/>
  <c r="F90" i="1"/>
  <c r="C90" i="1"/>
  <c r="AC89" i="1"/>
  <c r="AD89" i="1" s="1"/>
  <c r="AA89" i="1"/>
  <c r="X89" i="1"/>
  <c r="W89" i="1"/>
  <c r="U89" i="1"/>
  <c r="R89" i="1"/>
  <c r="O89" i="1"/>
  <c r="N89" i="1"/>
  <c r="L89" i="1"/>
  <c r="I89" i="1"/>
  <c r="H89" i="1"/>
  <c r="F89" i="1"/>
  <c r="C89" i="1"/>
  <c r="Z88" i="1"/>
  <c r="AA88" i="1" s="1"/>
  <c r="W88" i="1"/>
  <c r="X88" i="1" s="1"/>
  <c r="U88" i="1"/>
  <c r="T88" i="1"/>
  <c r="R88" i="1"/>
  <c r="Q88" i="1"/>
  <c r="AC88" i="1" s="1"/>
  <c r="AD88" i="1" s="1"/>
  <c r="K88" i="1"/>
  <c r="L88" i="1" s="1"/>
  <c r="F88" i="1"/>
  <c r="E88" i="1"/>
  <c r="B88" i="1"/>
  <c r="C88" i="1" s="1"/>
  <c r="AC87" i="1"/>
  <c r="AD87" i="1" s="1"/>
  <c r="AA87" i="1"/>
  <c r="W87" i="1"/>
  <c r="X87" i="1" s="1"/>
  <c r="U87" i="1"/>
  <c r="R87" i="1"/>
  <c r="N87" i="1"/>
  <c r="O87" i="1" s="1"/>
  <c r="L87" i="1"/>
  <c r="I87" i="1"/>
  <c r="H87" i="1"/>
  <c r="F87" i="1"/>
  <c r="C87" i="1"/>
  <c r="AC86" i="1"/>
  <c r="AD86" i="1" s="1"/>
  <c r="AA86" i="1"/>
  <c r="X86" i="1"/>
  <c r="W86" i="1"/>
  <c r="U86" i="1"/>
  <c r="R86" i="1"/>
  <c r="O86" i="1"/>
  <c r="N86" i="1"/>
  <c r="L86" i="1"/>
  <c r="H86" i="1"/>
  <c r="I86" i="1" s="1"/>
  <c r="F86" i="1"/>
  <c r="C86" i="1"/>
  <c r="AD85" i="1"/>
  <c r="AC85" i="1"/>
  <c r="AA85" i="1"/>
  <c r="W85" i="1"/>
  <c r="X85" i="1" s="1"/>
  <c r="U85" i="1"/>
  <c r="R85" i="1"/>
  <c r="N85" i="1"/>
  <c r="O85" i="1" s="1"/>
  <c r="L85" i="1"/>
  <c r="H85" i="1"/>
  <c r="I85" i="1" s="1"/>
  <c r="F85" i="1"/>
  <c r="C85" i="1"/>
  <c r="AD84" i="1"/>
  <c r="AC84" i="1"/>
  <c r="AA84" i="1"/>
  <c r="X84" i="1"/>
  <c r="W84" i="1"/>
  <c r="U84" i="1"/>
  <c r="R84" i="1"/>
  <c r="N84" i="1"/>
  <c r="O84" i="1" s="1"/>
  <c r="L84" i="1"/>
  <c r="I84" i="1"/>
  <c r="H84" i="1"/>
  <c r="F84" i="1"/>
  <c r="C84" i="1"/>
  <c r="AC83" i="1"/>
  <c r="AD83" i="1" s="1"/>
  <c r="AA83" i="1"/>
  <c r="W83" i="1"/>
  <c r="X83" i="1" s="1"/>
  <c r="U83" i="1"/>
  <c r="R83" i="1"/>
  <c r="N83" i="1"/>
  <c r="O83" i="1" s="1"/>
  <c r="L83" i="1"/>
  <c r="I83" i="1"/>
  <c r="H83" i="1"/>
  <c r="F83" i="1"/>
  <c r="C83" i="1"/>
  <c r="AC82" i="1"/>
  <c r="AD82" i="1" s="1"/>
  <c r="AA82" i="1"/>
  <c r="W82" i="1"/>
  <c r="X82" i="1" s="1"/>
  <c r="U82" i="1"/>
  <c r="R82" i="1"/>
  <c r="O82" i="1"/>
  <c r="N82" i="1"/>
  <c r="L82" i="1"/>
  <c r="I82" i="1"/>
  <c r="H82" i="1"/>
  <c r="F82" i="1"/>
  <c r="C82" i="1"/>
  <c r="AD81" i="1"/>
  <c r="AC81" i="1"/>
  <c r="AA81" i="1"/>
  <c r="W81" i="1"/>
  <c r="X81" i="1" s="1"/>
  <c r="U81" i="1"/>
  <c r="R81" i="1"/>
  <c r="N81" i="1"/>
  <c r="O81" i="1" s="1"/>
  <c r="L81" i="1"/>
  <c r="H81" i="1"/>
  <c r="I81" i="1" s="1"/>
  <c r="F81" i="1"/>
  <c r="C81" i="1"/>
  <c r="AD80" i="1"/>
  <c r="AC80" i="1"/>
  <c r="AA80" i="1"/>
  <c r="X80" i="1"/>
  <c r="W80" i="1"/>
  <c r="U80" i="1"/>
  <c r="R80" i="1"/>
  <c r="N80" i="1"/>
  <c r="O80" i="1" s="1"/>
  <c r="L80" i="1"/>
  <c r="I80" i="1"/>
  <c r="H80" i="1"/>
  <c r="F80" i="1"/>
  <c r="C80" i="1"/>
  <c r="AC79" i="1"/>
  <c r="AD79" i="1" s="1"/>
  <c r="AA79" i="1"/>
  <c r="W79" i="1"/>
  <c r="X79" i="1" s="1"/>
  <c r="U79" i="1"/>
  <c r="R79" i="1"/>
  <c r="N79" i="1"/>
  <c r="O79" i="1" s="1"/>
  <c r="L79" i="1"/>
  <c r="I79" i="1"/>
  <c r="H79" i="1"/>
  <c r="F79" i="1"/>
  <c r="C79" i="1"/>
  <c r="AC78" i="1"/>
  <c r="AD78" i="1" s="1"/>
  <c r="AA78" i="1"/>
  <c r="W78" i="1"/>
  <c r="X78" i="1" s="1"/>
  <c r="U78" i="1"/>
  <c r="R78" i="1"/>
  <c r="O78" i="1"/>
  <c r="N78" i="1"/>
  <c r="L78" i="1"/>
  <c r="I78" i="1"/>
  <c r="H78" i="1"/>
  <c r="F78" i="1"/>
  <c r="C78" i="1"/>
  <c r="AD77" i="1"/>
  <c r="AC77" i="1"/>
  <c r="AA77" i="1"/>
  <c r="W77" i="1"/>
  <c r="X77" i="1" s="1"/>
  <c r="U77" i="1"/>
  <c r="R77" i="1"/>
  <c r="N77" i="1"/>
  <c r="O77" i="1" s="1"/>
  <c r="L77" i="1"/>
  <c r="H77" i="1"/>
  <c r="I77" i="1" s="1"/>
  <c r="F77" i="1"/>
  <c r="C77" i="1"/>
  <c r="AD76" i="1"/>
  <c r="AC76" i="1"/>
  <c r="AA76" i="1"/>
  <c r="X76" i="1"/>
  <c r="W76" i="1"/>
  <c r="U76" i="1"/>
  <c r="R76" i="1"/>
  <c r="O76" i="1"/>
  <c r="N76" i="1"/>
  <c r="L76" i="1"/>
  <c r="I76" i="1"/>
  <c r="H76" i="1"/>
  <c r="F76" i="1"/>
  <c r="C76" i="1"/>
  <c r="AD75" i="1"/>
  <c r="AC75" i="1"/>
  <c r="AA75" i="1"/>
  <c r="W75" i="1"/>
  <c r="X75" i="1" s="1"/>
  <c r="U75" i="1"/>
  <c r="R75" i="1"/>
  <c r="N75" i="1"/>
  <c r="O75" i="1" s="1"/>
  <c r="L75" i="1"/>
  <c r="I75" i="1"/>
  <c r="H75" i="1"/>
  <c r="F75" i="1"/>
  <c r="C75" i="1"/>
  <c r="Z73" i="1"/>
  <c r="AA73" i="1" s="1"/>
  <c r="U73" i="1"/>
  <c r="T73" i="1"/>
  <c r="Q73" i="1"/>
  <c r="R73" i="1" s="1"/>
  <c r="N73" i="1"/>
  <c r="O73" i="1" s="1"/>
  <c r="L73" i="1"/>
  <c r="K73" i="1"/>
  <c r="E73" i="1"/>
  <c r="F73" i="1" s="1"/>
  <c r="C73" i="1"/>
  <c r="B73" i="1"/>
  <c r="H73" i="1" s="1"/>
  <c r="I73" i="1" s="1"/>
  <c r="AD72" i="1"/>
  <c r="AC72" i="1"/>
  <c r="AA72" i="1"/>
  <c r="X72" i="1"/>
  <c r="W72" i="1"/>
  <c r="U72" i="1"/>
  <c r="R72" i="1"/>
  <c r="O72" i="1"/>
  <c r="N72" i="1"/>
  <c r="L72" i="1"/>
  <c r="I72" i="1"/>
  <c r="H72" i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W70" i="1"/>
  <c r="X70" i="1" s="1"/>
  <c r="U70" i="1"/>
  <c r="R70" i="1"/>
  <c r="O70" i="1"/>
  <c r="N70" i="1"/>
  <c r="L70" i="1"/>
  <c r="H70" i="1"/>
  <c r="I70" i="1" s="1"/>
  <c r="F70" i="1"/>
  <c r="C70" i="1"/>
  <c r="AD69" i="1"/>
  <c r="AC69" i="1"/>
  <c r="AA69" i="1"/>
  <c r="W69" i="1"/>
  <c r="X69" i="1" s="1"/>
  <c r="U69" i="1"/>
  <c r="R69" i="1"/>
  <c r="N69" i="1"/>
  <c r="O69" i="1" s="1"/>
  <c r="L69" i="1"/>
  <c r="H69" i="1"/>
  <c r="I69" i="1" s="1"/>
  <c r="F69" i="1"/>
  <c r="C69" i="1"/>
  <c r="AD68" i="1"/>
  <c r="AC68" i="1"/>
  <c r="AA68" i="1"/>
  <c r="X68" i="1"/>
  <c r="W68" i="1"/>
  <c r="U68" i="1"/>
  <c r="R68" i="1"/>
  <c r="O68" i="1"/>
  <c r="N68" i="1"/>
  <c r="L68" i="1"/>
  <c r="I68" i="1"/>
  <c r="H68" i="1"/>
  <c r="F68" i="1"/>
  <c r="C68" i="1"/>
  <c r="AC67" i="1"/>
  <c r="AD67" i="1" s="1"/>
  <c r="AA67" i="1"/>
  <c r="W67" i="1"/>
  <c r="X67" i="1" s="1"/>
  <c r="U67" i="1"/>
  <c r="R67" i="1"/>
  <c r="N67" i="1"/>
  <c r="O67" i="1" s="1"/>
  <c r="L67" i="1"/>
  <c r="I67" i="1"/>
  <c r="H67" i="1"/>
  <c r="F67" i="1"/>
  <c r="C67" i="1"/>
  <c r="AC66" i="1"/>
  <c r="AD66" i="1" s="1"/>
  <c r="AA66" i="1"/>
  <c r="X66" i="1"/>
  <c r="W66" i="1"/>
  <c r="U66" i="1"/>
  <c r="R66" i="1"/>
  <c r="O66" i="1"/>
  <c r="N66" i="1"/>
  <c r="L66" i="1"/>
  <c r="H66" i="1"/>
  <c r="I66" i="1" s="1"/>
  <c r="F66" i="1"/>
  <c r="C66" i="1"/>
  <c r="AD65" i="1"/>
  <c r="AC65" i="1"/>
  <c r="AA65" i="1"/>
  <c r="W65" i="1"/>
  <c r="X65" i="1" s="1"/>
  <c r="U65" i="1"/>
  <c r="R65" i="1"/>
  <c r="N65" i="1"/>
  <c r="O65" i="1" s="1"/>
  <c r="L65" i="1"/>
  <c r="H65" i="1"/>
  <c r="I65" i="1" s="1"/>
  <c r="F65" i="1"/>
  <c r="C65" i="1"/>
  <c r="AD64" i="1"/>
  <c r="AC64" i="1"/>
  <c r="AA64" i="1"/>
  <c r="X64" i="1"/>
  <c r="W64" i="1"/>
  <c r="U64" i="1"/>
  <c r="R64" i="1"/>
  <c r="N64" i="1"/>
  <c r="O64" i="1" s="1"/>
  <c r="L64" i="1"/>
  <c r="I64" i="1"/>
  <c r="H64" i="1"/>
  <c r="F64" i="1"/>
  <c r="C64" i="1"/>
  <c r="AA62" i="1"/>
  <c r="Z62" i="1"/>
  <c r="T62" i="1"/>
  <c r="U62" i="1" s="1"/>
  <c r="Q62" i="1"/>
  <c r="W62" i="1" s="1"/>
  <c r="X62" i="1" s="1"/>
  <c r="L62" i="1"/>
  <c r="K62" i="1"/>
  <c r="E62" i="1"/>
  <c r="H62" i="1" s="1"/>
  <c r="I62" i="1" s="1"/>
  <c r="C62" i="1"/>
  <c r="B62" i="1"/>
  <c r="N62" i="1" s="1"/>
  <c r="O62" i="1" s="1"/>
  <c r="AD61" i="1"/>
  <c r="Z61" i="1"/>
  <c r="AA61" i="1" s="1"/>
  <c r="W61" i="1"/>
  <c r="X61" i="1" s="1"/>
  <c r="U61" i="1"/>
  <c r="T61" i="1"/>
  <c r="R61" i="1"/>
  <c r="Q61" i="1"/>
  <c r="AC61" i="1" s="1"/>
  <c r="L61" i="1"/>
  <c r="K61" i="1"/>
  <c r="F61" i="1"/>
  <c r="E61" i="1"/>
  <c r="B61" i="1"/>
  <c r="C61" i="1" s="1"/>
  <c r="AD60" i="1"/>
  <c r="AC60" i="1"/>
  <c r="AA60" i="1"/>
  <c r="W60" i="1"/>
  <c r="X60" i="1" s="1"/>
  <c r="U60" i="1"/>
  <c r="R60" i="1"/>
  <c r="N60" i="1"/>
  <c r="O60" i="1" s="1"/>
  <c r="L60" i="1"/>
  <c r="I60" i="1"/>
  <c r="H60" i="1"/>
  <c r="F60" i="1"/>
  <c r="C60" i="1"/>
  <c r="AC59" i="1"/>
  <c r="AD59" i="1" s="1"/>
  <c r="AA59" i="1"/>
  <c r="W59" i="1"/>
  <c r="X59" i="1" s="1"/>
  <c r="U59" i="1"/>
  <c r="R59" i="1"/>
  <c r="O59" i="1"/>
  <c r="N59" i="1"/>
  <c r="L59" i="1"/>
  <c r="H59" i="1"/>
  <c r="I59" i="1" s="1"/>
  <c r="F59" i="1"/>
  <c r="C59" i="1"/>
  <c r="AD58" i="1"/>
  <c r="AC58" i="1"/>
  <c r="AA58" i="1"/>
  <c r="W58" i="1"/>
  <c r="X58" i="1" s="1"/>
  <c r="U58" i="1"/>
  <c r="R58" i="1"/>
  <c r="N58" i="1"/>
  <c r="O58" i="1" s="1"/>
  <c r="L58" i="1"/>
  <c r="H58" i="1"/>
  <c r="I58" i="1" s="1"/>
  <c r="F58" i="1"/>
  <c r="C58" i="1"/>
  <c r="AD57" i="1"/>
  <c r="AC57" i="1"/>
  <c r="AA57" i="1"/>
  <c r="X57" i="1"/>
  <c r="W57" i="1"/>
  <c r="U57" i="1"/>
  <c r="R57" i="1"/>
  <c r="N57" i="1"/>
  <c r="O57" i="1" s="1"/>
  <c r="L57" i="1"/>
  <c r="I57" i="1"/>
  <c r="H57" i="1"/>
  <c r="F57" i="1"/>
  <c r="C57" i="1"/>
  <c r="AD56" i="1"/>
  <c r="AC56" i="1"/>
  <c r="AA56" i="1"/>
  <c r="W56" i="1"/>
  <c r="X56" i="1" s="1"/>
  <c r="U56" i="1"/>
  <c r="R56" i="1"/>
  <c r="N56" i="1"/>
  <c r="O56" i="1" s="1"/>
  <c r="L56" i="1"/>
  <c r="I56" i="1"/>
  <c r="H56" i="1"/>
  <c r="F56" i="1"/>
  <c r="C56" i="1"/>
  <c r="AC55" i="1"/>
  <c r="AD55" i="1" s="1"/>
  <c r="AA55" i="1"/>
  <c r="X55" i="1"/>
  <c r="W55" i="1"/>
  <c r="U55" i="1"/>
  <c r="R55" i="1"/>
  <c r="O55" i="1"/>
  <c r="N55" i="1"/>
  <c r="L55" i="1"/>
  <c r="I55" i="1"/>
  <c r="H55" i="1"/>
  <c r="F55" i="1"/>
  <c r="C55" i="1"/>
  <c r="AD54" i="1"/>
  <c r="AC54" i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D53" i="1"/>
  <c r="AC53" i="1"/>
  <c r="AA53" i="1"/>
  <c r="X53" i="1"/>
  <c r="W53" i="1"/>
  <c r="U53" i="1"/>
  <c r="R53" i="1"/>
  <c r="N53" i="1"/>
  <c r="O53" i="1" s="1"/>
  <c r="L53" i="1"/>
  <c r="I53" i="1"/>
  <c r="H53" i="1"/>
  <c r="F53" i="1"/>
  <c r="C53" i="1"/>
  <c r="AC52" i="1"/>
  <c r="AD52" i="1" s="1"/>
  <c r="AA52" i="1"/>
  <c r="W52" i="1"/>
  <c r="X52" i="1" s="1"/>
  <c r="U52" i="1"/>
  <c r="R52" i="1"/>
  <c r="N52" i="1"/>
  <c r="O52" i="1" s="1"/>
  <c r="L52" i="1"/>
  <c r="I52" i="1"/>
  <c r="H52" i="1"/>
  <c r="F52" i="1"/>
  <c r="C52" i="1"/>
  <c r="AC51" i="1"/>
  <c r="AD51" i="1" s="1"/>
  <c r="AA51" i="1"/>
  <c r="X51" i="1"/>
  <c r="W51" i="1"/>
  <c r="U51" i="1"/>
  <c r="R51" i="1"/>
  <c r="O51" i="1"/>
  <c r="N51" i="1"/>
  <c r="L51" i="1"/>
  <c r="H51" i="1"/>
  <c r="I51" i="1" s="1"/>
  <c r="F51" i="1"/>
  <c r="C51" i="1"/>
  <c r="AD50" i="1"/>
  <c r="AC50" i="1"/>
  <c r="AA50" i="1"/>
  <c r="W50" i="1"/>
  <c r="X50" i="1" s="1"/>
  <c r="U50" i="1"/>
  <c r="R50" i="1"/>
  <c r="N50" i="1"/>
  <c r="O50" i="1" s="1"/>
  <c r="L50" i="1"/>
  <c r="H50" i="1"/>
  <c r="I50" i="1" s="1"/>
  <c r="F50" i="1"/>
  <c r="C50" i="1"/>
  <c r="AD49" i="1"/>
  <c r="AC49" i="1"/>
  <c r="AA49" i="1"/>
  <c r="X49" i="1"/>
  <c r="W49" i="1"/>
  <c r="U49" i="1"/>
  <c r="R49" i="1"/>
  <c r="O49" i="1"/>
  <c r="N49" i="1"/>
  <c r="L49" i="1"/>
  <c r="I49" i="1"/>
  <c r="H49" i="1"/>
  <c r="F49" i="1"/>
  <c r="C49" i="1"/>
  <c r="AC48" i="1"/>
  <c r="AD48" i="1" s="1"/>
  <c r="AA48" i="1"/>
  <c r="W48" i="1"/>
  <c r="X48" i="1" s="1"/>
  <c r="U48" i="1"/>
  <c r="R48" i="1"/>
  <c r="N48" i="1"/>
  <c r="O48" i="1" s="1"/>
  <c r="L48" i="1"/>
  <c r="I48" i="1"/>
  <c r="H48" i="1"/>
  <c r="F48" i="1"/>
  <c r="C48" i="1"/>
  <c r="AC47" i="1"/>
  <c r="AD47" i="1" s="1"/>
  <c r="AA47" i="1"/>
  <c r="W47" i="1"/>
  <c r="X47" i="1" s="1"/>
  <c r="U47" i="1"/>
  <c r="R47" i="1"/>
  <c r="O47" i="1"/>
  <c r="N47" i="1"/>
  <c r="L47" i="1"/>
  <c r="H47" i="1"/>
  <c r="I47" i="1" s="1"/>
  <c r="F47" i="1"/>
  <c r="C47" i="1"/>
  <c r="AD46" i="1"/>
  <c r="AC46" i="1"/>
  <c r="AA46" i="1"/>
  <c r="W46" i="1"/>
  <c r="X46" i="1" s="1"/>
  <c r="U46" i="1"/>
  <c r="R46" i="1"/>
  <c r="N46" i="1"/>
  <c r="O46" i="1" s="1"/>
  <c r="L46" i="1"/>
  <c r="H46" i="1"/>
  <c r="I46" i="1" s="1"/>
  <c r="F46" i="1"/>
  <c r="C46" i="1"/>
  <c r="AD44" i="1"/>
  <c r="AC44" i="1"/>
  <c r="AA44" i="1"/>
  <c r="X44" i="1"/>
  <c r="W44" i="1"/>
  <c r="U44" i="1"/>
  <c r="R44" i="1"/>
  <c r="N44" i="1"/>
  <c r="O44" i="1" s="1"/>
  <c r="L44" i="1"/>
  <c r="I44" i="1"/>
  <c r="H44" i="1"/>
  <c r="F44" i="1"/>
  <c r="C44" i="1"/>
  <c r="AD43" i="1"/>
  <c r="AC43" i="1"/>
  <c r="AA43" i="1"/>
  <c r="W43" i="1"/>
  <c r="X43" i="1" s="1"/>
  <c r="U43" i="1"/>
  <c r="R43" i="1"/>
  <c r="N43" i="1"/>
  <c r="O43" i="1" s="1"/>
  <c r="L43" i="1"/>
  <c r="I43" i="1"/>
  <c r="H43" i="1"/>
  <c r="F43" i="1"/>
  <c r="C43" i="1"/>
  <c r="AC42" i="1"/>
  <c r="AD42" i="1" s="1"/>
  <c r="AA42" i="1"/>
  <c r="W42" i="1"/>
  <c r="X42" i="1" s="1"/>
  <c r="U42" i="1"/>
  <c r="R42" i="1"/>
  <c r="O42" i="1"/>
  <c r="N42" i="1"/>
  <c r="L42" i="1"/>
  <c r="H42" i="1"/>
  <c r="I42" i="1" s="1"/>
  <c r="F42" i="1"/>
  <c r="C42" i="1"/>
  <c r="Z40" i="1"/>
  <c r="AA40" i="1" s="1"/>
  <c r="W40" i="1"/>
  <c r="X40" i="1" s="1"/>
  <c r="U40" i="1"/>
  <c r="T40" i="1"/>
  <c r="R40" i="1"/>
  <c r="Q40" i="1"/>
  <c r="AC40" i="1" s="1"/>
  <c r="AD40" i="1" s="1"/>
  <c r="K40" i="1"/>
  <c r="L40" i="1" s="1"/>
  <c r="F40" i="1"/>
  <c r="E40" i="1"/>
  <c r="B40" i="1"/>
  <c r="C40" i="1" s="1"/>
  <c r="AD39" i="1"/>
  <c r="AC39" i="1"/>
  <c r="AA39" i="1"/>
  <c r="W39" i="1"/>
  <c r="X39" i="1" s="1"/>
  <c r="U39" i="1"/>
  <c r="R39" i="1"/>
  <c r="N39" i="1"/>
  <c r="O39" i="1" s="1"/>
  <c r="L39" i="1"/>
  <c r="I39" i="1"/>
  <c r="H39" i="1"/>
  <c r="F39" i="1"/>
  <c r="C39" i="1"/>
  <c r="AC38" i="1"/>
  <c r="AD38" i="1" s="1"/>
  <c r="AA38" i="1"/>
  <c r="W38" i="1"/>
  <c r="X38" i="1" s="1"/>
  <c r="U38" i="1"/>
  <c r="R38" i="1"/>
  <c r="O38" i="1"/>
  <c r="N38" i="1"/>
  <c r="L38" i="1"/>
  <c r="H38" i="1"/>
  <c r="I38" i="1" s="1"/>
  <c r="F38" i="1"/>
  <c r="C38" i="1"/>
  <c r="AD37" i="1"/>
  <c r="AC37" i="1"/>
  <c r="AA37" i="1"/>
  <c r="W37" i="1"/>
  <c r="X37" i="1" s="1"/>
  <c r="U37" i="1"/>
  <c r="R37" i="1"/>
  <c r="N37" i="1"/>
  <c r="O37" i="1" s="1"/>
  <c r="L37" i="1"/>
  <c r="H37" i="1"/>
  <c r="I37" i="1" s="1"/>
  <c r="F37" i="1"/>
  <c r="C37" i="1"/>
  <c r="AD36" i="1"/>
  <c r="AC36" i="1"/>
  <c r="AA36" i="1"/>
  <c r="X36" i="1"/>
  <c r="W36" i="1"/>
  <c r="U36" i="1"/>
  <c r="R36" i="1"/>
  <c r="O36" i="1"/>
  <c r="N36" i="1"/>
  <c r="L36" i="1"/>
  <c r="I36" i="1"/>
  <c r="H36" i="1"/>
  <c r="F36" i="1"/>
  <c r="C36" i="1"/>
  <c r="AC35" i="1"/>
  <c r="AD35" i="1" s="1"/>
  <c r="AA35" i="1"/>
  <c r="W35" i="1"/>
  <c r="X35" i="1" s="1"/>
  <c r="U35" i="1"/>
  <c r="R35" i="1"/>
  <c r="O35" i="1"/>
  <c r="N35" i="1"/>
  <c r="L35" i="1"/>
  <c r="I35" i="1"/>
  <c r="H35" i="1"/>
  <c r="F35" i="1"/>
  <c r="C35" i="1"/>
  <c r="AC34" i="1"/>
  <c r="AD34" i="1" s="1"/>
  <c r="AA34" i="1"/>
  <c r="X34" i="1"/>
  <c r="W34" i="1"/>
  <c r="U34" i="1"/>
  <c r="R34" i="1"/>
  <c r="O34" i="1"/>
  <c r="N34" i="1"/>
  <c r="L34" i="1"/>
  <c r="I34" i="1"/>
  <c r="H34" i="1"/>
  <c r="F34" i="1"/>
  <c r="C34" i="1"/>
  <c r="AD33" i="1"/>
  <c r="AC33" i="1"/>
  <c r="AA33" i="1"/>
  <c r="W33" i="1"/>
  <c r="X33" i="1" s="1"/>
  <c r="U33" i="1"/>
  <c r="R33" i="1"/>
  <c r="N33" i="1"/>
  <c r="O33" i="1" s="1"/>
  <c r="L33" i="1"/>
  <c r="H33" i="1"/>
  <c r="I33" i="1" s="1"/>
  <c r="F33" i="1"/>
  <c r="C33" i="1"/>
  <c r="AD32" i="1"/>
  <c r="AC32" i="1"/>
  <c r="AA32" i="1"/>
  <c r="X32" i="1"/>
  <c r="W32" i="1"/>
  <c r="U32" i="1"/>
  <c r="R32" i="1"/>
  <c r="N32" i="1"/>
  <c r="O32" i="1" s="1"/>
  <c r="L32" i="1"/>
  <c r="I32" i="1"/>
  <c r="H32" i="1"/>
  <c r="F32" i="1"/>
  <c r="C32" i="1"/>
  <c r="AC31" i="1"/>
  <c r="AD31" i="1" s="1"/>
  <c r="AA31" i="1"/>
  <c r="W31" i="1"/>
  <c r="X31" i="1" s="1"/>
  <c r="U31" i="1"/>
  <c r="R31" i="1"/>
  <c r="O31" i="1"/>
  <c r="N31" i="1"/>
  <c r="L31" i="1"/>
  <c r="I31" i="1"/>
  <c r="H31" i="1"/>
  <c r="F31" i="1"/>
  <c r="C31" i="1"/>
  <c r="AA29" i="1"/>
  <c r="Z29" i="1"/>
  <c r="U29" i="1"/>
  <c r="T29" i="1"/>
  <c r="Q29" i="1"/>
  <c r="AC29" i="1" s="1"/>
  <c r="AD29" i="1" s="1"/>
  <c r="L29" i="1"/>
  <c r="K29" i="1"/>
  <c r="E29" i="1"/>
  <c r="F29" i="1" s="1"/>
  <c r="B29" i="1"/>
  <c r="H29" i="1" s="1"/>
  <c r="I29" i="1" s="1"/>
  <c r="AD28" i="1"/>
  <c r="AC28" i="1"/>
  <c r="AA28" i="1"/>
  <c r="X28" i="1"/>
  <c r="W28" i="1"/>
  <c r="U28" i="1"/>
  <c r="R28" i="1"/>
  <c r="O28" i="1"/>
  <c r="N28" i="1"/>
  <c r="L28" i="1"/>
  <c r="I28" i="1"/>
  <c r="H28" i="1"/>
  <c r="F28" i="1"/>
  <c r="C28" i="1"/>
  <c r="AC27" i="1"/>
  <c r="AD27" i="1" s="1"/>
  <c r="AA27" i="1"/>
  <c r="W27" i="1"/>
  <c r="X27" i="1" s="1"/>
  <c r="U27" i="1"/>
  <c r="R27" i="1"/>
  <c r="N27" i="1"/>
  <c r="O27" i="1" s="1"/>
  <c r="L27" i="1"/>
  <c r="I27" i="1"/>
  <c r="H27" i="1"/>
  <c r="F27" i="1"/>
  <c r="C27" i="1"/>
  <c r="AC26" i="1"/>
  <c r="AD26" i="1" s="1"/>
  <c r="AA26" i="1"/>
  <c r="W26" i="1"/>
  <c r="X26" i="1" s="1"/>
  <c r="U26" i="1"/>
  <c r="R26" i="1"/>
  <c r="O26" i="1"/>
  <c r="N26" i="1"/>
  <c r="L26" i="1"/>
  <c r="H26" i="1"/>
  <c r="I26" i="1" s="1"/>
  <c r="F26" i="1"/>
  <c r="C26" i="1"/>
  <c r="AD25" i="1"/>
  <c r="AC25" i="1"/>
  <c r="AA25" i="1"/>
  <c r="W25" i="1"/>
  <c r="X25" i="1" s="1"/>
  <c r="U25" i="1"/>
  <c r="R25" i="1"/>
  <c r="N25" i="1"/>
  <c r="O25" i="1" s="1"/>
  <c r="L25" i="1"/>
  <c r="H25" i="1"/>
  <c r="I25" i="1" s="1"/>
  <c r="F25" i="1"/>
  <c r="C25" i="1"/>
  <c r="AD24" i="1"/>
  <c r="AC24" i="1"/>
  <c r="AA24" i="1"/>
  <c r="X24" i="1"/>
  <c r="W24" i="1"/>
  <c r="U24" i="1"/>
  <c r="R24" i="1"/>
  <c r="N24" i="1"/>
  <c r="O24" i="1" s="1"/>
  <c r="L24" i="1"/>
  <c r="I24" i="1"/>
  <c r="H24" i="1"/>
  <c r="F24" i="1"/>
  <c r="C24" i="1"/>
  <c r="AD23" i="1"/>
  <c r="AC23" i="1"/>
  <c r="AA23" i="1"/>
  <c r="W23" i="1"/>
  <c r="X23" i="1" s="1"/>
  <c r="U23" i="1"/>
  <c r="R23" i="1"/>
  <c r="O23" i="1"/>
  <c r="N23" i="1"/>
  <c r="L23" i="1"/>
  <c r="I23" i="1"/>
  <c r="H23" i="1"/>
  <c r="F23" i="1"/>
  <c r="C23" i="1"/>
  <c r="AC22" i="1"/>
  <c r="AD22" i="1" s="1"/>
  <c r="AA22" i="1"/>
  <c r="W22" i="1"/>
  <c r="X22" i="1" s="1"/>
  <c r="U22" i="1"/>
  <c r="R22" i="1"/>
  <c r="O22" i="1"/>
  <c r="N22" i="1"/>
  <c r="L22" i="1"/>
  <c r="I22" i="1"/>
  <c r="H22" i="1"/>
  <c r="F22" i="1"/>
  <c r="C22" i="1"/>
  <c r="AD21" i="1"/>
  <c r="AC21" i="1"/>
  <c r="AA21" i="1"/>
  <c r="X21" i="1"/>
  <c r="W21" i="1"/>
  <c r="U21" i="1"/>
  <c r="R21" i="1"/>
  <c r="N21" i="1"/>
  <c r="O21" i="1" s="1"/>
  <c r="L21" i="1"/>
  <c r="H21" i="1"/>
  <c r="I21" i="1" s="1"/>
  <c r="F21" i="1"/>
  <c r="C21" i="1"/>
  <c r="AD19" i="1"/>
  <c r="AC19" i="1"/>
  <c r="AA19" i="1"/>
  <c r="W19" i="1"/>
  <c r="X19" i="1" s="1"/>
  <c r="U19" i="1"/>
  <c r="R19" i="1"/>
  <c r="N19" i="1"/>
  <c r="O19" i="1" s="1"/>
  <c r="L19" i="1"/>
  <c r="I19" i="1"/>
  <c r="H19" i="1"/>
  <c r="F19" i="1"/>
  <c r="C19" i="1"/>
  <c r="AC18" i="1"/>
  <c r="AD18" i="1" s="1"/>
  <c r="AA18" i="1"/>
  <c r="Z18" i="1"/>
  <c r="T18" i="1"/>
  <c r="U18" i="1" s="1"/>
  <c r="Q18" i="1"/>
  <c r="O18" i="1"/>
  <c r="L18" i="1"/>
  <c r="K18" i="1"/>
  <c r="E18" i="1"/>
  <c r="H18" i="1" s="1"/>
  <c r="I18" i="1" s="1"/>
  <c r="C18" i="1"/>
  <c r="B18" i="1"/>
  <c r="N18" i="1" s="1"/>
  <c r="AD17" i="1"/>
  <c r="AC17" i="1"/>
  <c r="AA17" i="1"/>
  <c r="X17" i="1"/>
  <c r="W17" i="1"/>
  <c r="U17" i="1"/>
  <c r="R17" i="1"/>
  <c r="N17" i="1"/>
  <c r="O17" i="1" s="1"/>
  <c r="L17" i="1"/>
  <c r="H17" i="1"/>
  <c r="I17" i="1" s="1"/>
  <c r="F17" i="1"/>
  <c r="C17" i="1"/>
  <c r="AD16" i="1"/>
  <c r="AC16" i="1"/>
  <c r="AA16" i="1"/>
  <c r="X16" i="1"/>
  <c r="W16" i="1"/>
  <c r="U16" i="1"/>
  <c r="R16" i="1"/>
  <c r="O16" i="1"/>
  <c r="N16" i="1"/>
  <c r="L16" i="1"/>
  <c r="I16" i="1"/>
  <c r="H16" i="1"/>
  <c r="F16" i="1"/>
  <c r="C16" i="1"/>
  <c r="AD15" i="1"/>
  <c r="AC15" i="1"/>
  <c r="AA15" i="1"/>
  <c r="W15" i="1"/>
  <c r="X15" i="1" s="1"/>
  <c r="U15" i="1"/>
  <c r="R15" i="1"/>
  <c r="N15" i="1"/>
  <c r="O15" i="1" s="1"/>
  <c r="L15" i="1"/>
  <c r="I15" i="1"/>
  <c r="H15" i="1"/>
  <c r="F15" i="1"/>
  <c r="C15" i="1"/>
  <c r="AC14" i="1"/>
  <c r="AD14" i="1" s="1"/>
  <c r="AA14" i="1"/>
  <c r="W14" i="1"/>
  <c r="X14" i="1" s="1"/>
  <c r="U14" i="1"/>
  <c r="R14" i="1"/>
  <c r="O14" i="1"/>
  <c r="N14" i="1"/>
  <c r="L14" i="1"/>
  <c r="H14" i="1"/>
  <c r="I14" i="1" s="1"/>
  <c r="F14" i="1"/>
  <c r="C14" i="1"/>
  <c r="AD13" i="1"/>
  <c r="AC13" i="1"/>
  <c r="AA13" i="1"/>
  <c r="W13" i="1"/>
  <c r="X13" i="1" s="1"/>
  <c r="U13" i="1"/>
  <c r="R13" i="1"/>
  <c r="N13" i="1"/>
  <c r="O13" i="1" s="1"/>
  <c r="L13" i="1"/>
  <c r="H13" i="1"/>
  <c r="I13" i="1" s="1"/>
  <c r="F13" i="1"/>
  <c r="C13" i="1"/>
  <c r="AD12" i="1"/>
  <c r="AC12" i="1"/>
  <c r="AA12" i="1"/>
  <c r="X12" i="1"/>
  <c r="W12" i="1"/>
  <c r="U12" i="1"/>
  <c r="R12" i="1"/>
  <c r="N12" i="1"/>
  <c r="O12" i="1" s="1"/>
  <c r="L12" i="1"/>
  <c r="I12" i="1"/>
  <c r="H12" i="1"/>
  <c r="F12" i="1"/>
  <c r="C12" i="1"/>
  <c r="AC11" i="1"/>
  <c r="AD11" i="1" s="1"/>
  <c r="AA11" i="1"/>
  <c r="W11" i="1"/>
  <c r="X11" i="1" s="1"/>
  <c r="U11" i="1"/>
  <c r="R11" i="1"/>
  <c r="N11" i="1"/>
  <c r="O11" i="1" s="1"/>
  <c r="L11" i="1"/>
  <c r="I11" i="1"/>
  <c r="H11" i="1"/>
  <c r="F11" i="1"/>
  <c r="C11" i="1"/>
  <c r="AC10" i="1"/>
  <c r="AD10" i="1" s="1"/>
  <c r="AA10" i="1"/>
  <c r="X10" i="1"/>
  <c r="W10" i="1"/>
  <c r="U10" i="1"/>
  <c r="R10" i="1"/>
  <c r="N10" i="1"/>
  <c r="O10" i="1" s="1"/>
  <c r="L10" i="1"/>
  <c r="I10" i="1"/>
  <c r="H10" i="1"/>
  <c r="F10" i="1"/>
  <c r="C10" i="1"/>
  <c r="AD8" i="1"/>
  <c r="AC8" i="1"/>
  <c r="AA8" i="1"/>
  <c r="X8" i="1"/>
  <c r="W8" i="1"/>
  <c r="U8" i="1"/>
  <c r="R8" i="1"/>
  <c r="N8" i="1"/>
  <c r="O8" i="1" s="1"/>
  <c r="L8" i="1"/>
  <c r="H8" i="1"/>
  <c r="I8" i="1" s="1"/>
  <c r="F8" i="1"/>
  <c r="C8" i="1"/>
  <c r="F18" i="1" l="1"/>
  <c r="N29" i="1"/>
  <c r="O29" i="1" s="1"/>
  <c r="R62" i="1"/>
  <c r="F118" i="1"/>
  <c r="C141" i="1"/>
  <c r="AC158" i="1"/>
  <c r="AD158" i="1" s="1"/>
  <c r="F166" i="1"/>
  <c r="AA172" i="1"/>
  <c r="R267" i="1"/>
  <c r="AC295" i="1"/>
  <c r="AD295" i="1" s="1"/>
  <c r="F343" i="1"/>
  <c r="F358" i="1"/>
  <c r="R428" i="1"/>
  <c r="AC428" i="1"/>
  <c r="AD428" i="1" s="1"/>
  <c r="C441" i="1"/>
  <c r="N441" i="1"/>
  <c r="O441" i="1" s="1"/>
  <c r="H441" i="1"/>
  <c r="I441" i="1" s="1"/>
  <c r="W62" i="2"/>
  <c r="X62" i="2" s="1"/>
  <c r="L124" i="2"/>
  <c r="K172" i="2"/>
  <c r="T172" i="2"/>
  <c r="W196" i="2"/>
  <c r="X196" i="2" s="1"/>
  <c r="H262" i="2"/>
  <c r="I262" i="2" s="1"/>
  <c r="N262" i="2"/>
  <c r="O262" i="2" s="1"/>
  <c r="C262" i="2"/>
  <c r="W29" i="2"/>
  <c r="X29" i="2" s="1"/>
  <c r="AC29" i="2"/>
  <c r="AD29" i="2" s="1"/>
  <c r="R118" i="2"/>
  <c r="AC118" i="2"/>
  <c r="AD118" i="2" s="1"/>
  <c r="W118" i="2"/>
  <c r="X118" i="2" s="1"/>
  <c r="Q172" i="2"/>
  <c r="R124" i="2"/>
  <c r="W124" i="2"/>
  <c r="X124" i="2" s="1"/>
  <c r="C236" i="2"/>
  <c r="N236" i="2"/>
  <c r="O236" i="2" s="1"/>
  <c r="F263" i="2"/>
  <c r="H263" i="2"/>
  <c r="I263" i="2" s="1"/>
  <c r="R267" i="2"/>
  <c r="AC267" i="2"/>
  <c r="AD267" i="2" s="1"/>
  <c r="W267" i="2"/>
  <c r="X267" i="2" s="1"/>
  <c r="AA345" i="1"/>
  <c r="R429" i="1"/>
  <c r="W429" i="1"/>
  <c r="X429" i="1" s="1"/>
  <c r="AC429" i="1"/>
  <c r="AD429" i="1" s="1"/>
  <c r="AA141" i="2"/>
  <c r="AC141" i="2"/>
  <c r="AD141" i="2" s="1"/>
  <c r="L218" i="2"/>
  <c r="N218" i="2"/>
  <c r="O218" i="2" s="1"/>
  <c r="W343" i="2"/>
  <c r="X343" i="2" s="1"/>
  <c r="R343" i="2"/>
  <c r="AC343" i="2"/>
  <c r="AD343" i="2" s="1"/>
  <c r="C18" i="3"/>
  <c r="N18" i="3"/>
  <c r="O18" i="3" s="1"/>
  <c r="H18" i="3"/>
  <c r="I18" i="3" s="1"/>
  <c r="F267" i="1"/>
  <c r="R295" i="1"/>
  <c r="AA404" i="1"/>
  <c r="H442" i="2"/>
  <c r="I442" i="2" s="1"/>
  <c r="N442" i="2"/>
  <c r="O442" i="2" s="1"/>
  <c r="C442" i="2"/>
  <c r="R29" i="1"/>
  <c r="W29" i="1"/>
  <c r="X29" i="1" s="1"/>
  <c r="C29" i="1"/>
  <c r="F62" i="1"/>
  <c r="W124" i="1"/>
  <c r="X124" i="1" s="1"/>
  <c r="Q172" i="1"/>
  <c r="R158" i="1"/>
  <c r="K443" i="1"/>
  <c r="L443" i="1" s="1"/>
  <c r="L404" i="1"/>
  <c r="B172" i="1"/>
  <c r="R124" i="1"/>
  <c r="F149" i="1"/>
  <c r="U236" i="1"/>
  <c r="F263" i="1"/>
  <c r="U284" i="1"/>
  <c r="AC441" i="1"/>
  <c r="AD441" i="1" s="1"/>
  <c r="R441" i="1"/>
  <c r="L442" i="1"/>
  <c r="L40" i="2"/>
  <c r="N40" i="2"/>
  <c r="O40" i="2" s="1"/>
  <c r="H62" i="2"/>
  <c r="I62" i="2" s="1"/>
  <c r="AC124" i="2"/>
  <c r="AD124" i="2" s="1"/>
  <c r="R148" i="2"/>
  <c r="W148" i="2"/>
  <c r="X148" i="2" s="1"/>
  <c r="AA171" i="2"/>
  <c r="Z172" i="2"/>
  <c r="H196" i="2"/>
  <c r="I196" i="2" s="1"/>
  <c r="R209" i="2"/>
  <c r="W209" i="2"/>
  <c r="X209" i="2" s="1"/>
  <c r="AC209" i="2"/>
  <c r="AD209" i="2" s="1"/>
  <c r="R218" i="2"/>
  <c r="W218" i="2"/>
  <c r="X218" i="2" s="1"/>
  <c r="H273" i="2"/>
  <c r="I273" i="2" s="1"/>
  <c r="N273" i="2"/>
  <c r="O273" i="2" s="1"/>
  <c r="C273" i="2"/>
  <c r="C141" i="2"/>
  <c r="H141" i="2"/>
  <c r="I141" i="2" s="1"/>
  <c r="F158" i="2"/>
  <c r="H158" i="2"/>
  <c r="I158" i="2" s="1"/>
  <c r="N284" i="2"/>
  <c r="O284" i="2" s="1"/>
  <c r="L284" i="2"/>
  <c r="W18" i="1"/>
  <c r="X18" i="1" s="1"/>
  <c r="AC62" i="1"/>
  <c r="AD62" i="1" s="1"/>
  <c r="R118" i="1"/>
  <c r="U122" i="1"/>
  <c r="N141" i="1"/>
  <c r="O141" i="1" s="1"/>
  <c r="R166" i="1"/>
  <c r="U170" i="1"/>
  <c r="F193" i="1"/>
  <c r="F196" i="1"/>
  <c r="AC267" i="1"/>
  <c r="AD267" i="1" s="1"/>
  <c r="R343" i="1"/>
  <c r="L345" i="1"/>
  <c r="R358" i="1"/>
  <c r="W73" i="2"/>
  <c r="X73" i="2" s="1"/>
  <c r="AC73" i="2"/>
  <c r="AD73" i="2" s="1"/>
  <c r="R166" i="2"/>
  <c r="AC166" i="2"/>
  <c r="AD166" i="2" s="1"/>
  <c r="W166" i="2"/>
  <c r="X166" i="2" s="1"/>
  <c r="AC171" i="2"/>
  <c r="AD171" i="2" s="1"/>
  <c r="R193" i="2"/>
  <c r="W193" i="2"/>
  <c r="X193" i="2" s="1"/>
  <c r="AC396" i="2"/>
  <c r="AD396" i="2" s="1"/>
  <c r="AA396" i="2"/>
  <c r="AA198" i="1"/>
  <c r="H88" i="2"/>
  <c r="I88" i="2" s="1"/>
  <c r="N88" i="2"/>
  <c r="O88" i="2" s="1"/>
  <c r="R197" i="2"/>
  <c r="W197" i="2"/>
  <c r="X197" i="2" s="1"/>
  <c r="C182" i="2"/>
  <c r="N182" i="2"/>
  <c r="O182" i="2" s="1"/>
  <c r="R227" i="2"/>
  <c r="AC227" i="2"/>
  <c r="AD227" i="2" s="1"/>
  <c r="W227" i="2"/>
  <c r="X227" i="2" s="1"/>
  <c r="H236" i="2"/>
  <c r="I236" i="2" s="1"/>
  <c r="R18" i="1"/>
  <c r="H124" i="1"/>
  <c r="I124" i="1" s="1"/>
  <c r="E172" i="1"/>
  <c r="AC149" i="1"/>
  <c r="AD149" i="1" s="1"/>
  <c r="F158" i="1"/>
  <c r="U198" i="1"/>
  <c r="T345" i="1"/>
  <c r="R227" i="1"/>
  <c r="AC263" i="1"/>
  <c r="AD263" i="1" s="1"/>
  <c r="F295" i="1"/>
  <c r="C325" i="1"/>
  <c r="H428" i="1"/>
  <c r="I428" i="1" s="1"/>
  <c r="W441" i="1"/>
  <c r="X441" i="1" s="1"/>
  <c r="H18" i="2"/>
  <c r="I18" i="2" s="1"/>
  <c r="R61" i="2"/>
  <c r="W61" i="2"/>
  <c r="X61" i="2" s="1"/>
  <c r="AC61" i="2"/>
  <c r="AD61" i="2" s="1"/>
  <c r="R73" i="2"/>
  <c r="N141" i="2"/>
  <c r="O141" i="2" s="1"/>
  <c r="R158" i="2"/>
  <c r="W158" i="2"/>
  <c r="X158" i="2" s="1"/>
  <c r="AC158" i="2"/>
  <c r="AD158" i="2" s="1"/>
  <c r="H40" i="1"/>
  <c r="I40" i="1" s="1"/>
  <c r="H61" i="1"/>
  <c r="I61" i="1" s="1"/>
  <c r="W73" i="1"/>
  <c r="X73" i="1" s="1"/>
  <c r="H88" i="1"/>
  <c r="I88" i="1" s="1"/>
  <c r="N124" i="1"/>
  <c r="O124" i="1" s="1"/>
  <c r="W141" i="1"/>
  <c r="X141" i="1" s="1"/>
  <c r="H148" i="1"/>
  <c r="I148" i="1" s="1"/>
  <c r="W171" i="1"/>
  <c r="X171" i="1" s="1"/>
  <c r="H197" i="1"/>
  <c r="I197" i="1" s="1"/>
  <c r="H209" i="1"/>
  <c r="I209" i="1" s="1"/>
  <c r="H218" i="1"/>
  <c r="I218" i="1" s="1"/>
  <c r="H262" i="1"/>
  <c r="I262" i="1" s="1"/>
  <c r="H273" i="1"/>
  <c r="I273" i="1" s="1"/>
  <c r="W325" i="1"/>
  <c r="X325" i="1" s="1"/>
  <c r="H342" i="1"/>
  <c r="I342" i="1" s="1"/>
  <c r="H344" i="1"/>
  <c r="I344" i="1" s="1"/>
  <c r="H368" i="1"/>
  <c r="I368" i="1" s="1"/>
  <c r="H393" i="1"/>
  <c r="I393" i="1" s="1"/>
  <c r="H396" i="1"/>
  <c r="I396" i="1" s="1"/>
  <c r="H403" i="1"/>
  <c r="I403" i="1" s="1"/>
  <c r="I424" i="1"/>
  <c r="I442" i="1"/>
  <c r="H40" i="2"/>
  <c r="I40" i="2" s="1"/>
  <c r="W141" i="2"/>
  <c r="X141" i="2" s="1"/>
  <c r="N148" i="2"/>
  <c r="O148" i="2" s="1"/>
  <c r="N197" i="2"/>
  <c r="O197" i="2" s="1"/>
  <c r="AC263" i="2"/>
  <c r="AD263" i="2" s="1"/>
  <c r="W295" i="2"/>
  <c r="X295" i="2" s="1"/>
  <c r="R429" i="2"/>
  <c r="AC429" i="2"/>
  <c r="AD429" i="2" s="1"/>
  <c r="W429" i="2"/>
  <c r="X429" i="2" s="1"/>
  <c r="W218" i="3"/>
  <c r="X218" i="3" s="1"/>
  <c r="AC218" i="3"/>
  <c r="AD218" i="3" s="1"/>
  <c r="R218" i="3"/>
  <c r="Z198" i="3"/>
  <c r="AA172" i="3"/>
  <c r="C227" i="3"/>
  <c r="N227" i="3"/>
  <c r="O227" i="3" s="1"/>
  <c r="H227" i="3"/>
  <c r="I227" i="3" s="1"/>
  <c r="H295" i="2"/>
  <c r="I295" i="2" s="1"/>
  <c r="H358" i="2"/>
  <c r="I358" i="2" s="1"/>
  <c r="F358" i="2"/>
  <c r="W61" i="3"/>
  <c r="X61" i="3" s="1"/>
  <c r="AC61" i="3"/>
  <c r="AD61" i="3" s="1"/>
  <c r="R61" i="3"/>
  <c r="N118" i="3"/>
  <c r="O118" i="3" s="1"/>
  <c r="L118" i="3"/>
  <c r="U166" i="3"/>
  <c r="W166" i="3"/>
  <c r="X166" i="3" s="1"/>
  <c r="H262" i="3"/>
  <c r="I262" i="3" s="1"/>
  <c r="C262" i="3"/>
  <c r="N262" i="3"/>
  <c r="O262" i="3" s="1"/>
  <c r="N40" i="1"/>
  <c r="O40" i="1" s="1"/>
  <c r="N61" i="1"/>
  <c r="O61" i="1" s="1"/>
  <c r="AC73" i="1"/>
  <c r="AD73" i="1" s="1"/>
  <c r="N88" i="1"/>
  <c r="O88" i="1" s="1"/>
  <c r="AC141" i="1"/>
  <c r="AD141" i="1" s="1"/>
  <c r="N148" i="1"/>
  <c r="O148" i="1" s="1"/>
  <c r="AC171" i="1"/>
  <c r="AD171" i="1" s="1"/>
  <c r="N197" i="1"/>
  <c r="O197" i="1" s="1"/>
  <c r="N209" i="1"/>
  <c r="O209" i="1" s="1"/>
  <c r="N218" i="1"/>
  <c r="O218" i="1" s="1"/>
  <c r="N262" i="1"/>
  <c r="O262" i="1" s="1"/>
  <c r="N273" i="1"/>
  <c r="O273" i="1" s="1"/>
  <c r="AC325" i="1"/>
  <c r="AD325" i="1" s="1"/>
  <c r="N342" i="1"/>
  <c r="O342" i="1" s="1"/>
  <c r="N344" i="1"/>
  <c r="O344" i="1" s="1"/>
  <c r="N368" i="1"/>
  <c r="O368" i="1" s="1"/>
  <c r="N393" i="1"/>
  <c r="O393" i="1" s="1"/>
  <c r="N396" i="1"/>
  <c r="O396" i="1" s="1"/>
  <c r="N403" i="1"/>
  <c r="O403" i="1" s="1"/>
  <c r="B172" i="2"/>
  <c r="AA262" i="2"/>
  <c r="H267" i="2"/>
  <c r="I267" i="2" s="1"/>
  <c r="W284" i="2"/>
  <c r="X284" i="2" s="1"/>
  <c r="W358" i="2"/>
  <c r="X358" i="2" s="1"/>
  <c r="R358" i="2"/>
  <c r="N393" i="2"/>
  <c r="O393" i="2" s="1"/>
  <c r="H393" i="2"/>
  <c r="I393" i="2" s="1"/>
  <c r="C393" i="2"/>
  <c r="AC403" i="2"/>
  <c r="AD403" i="2" s="1"/>
  <c r="AA403" i="2"/>
  <c r="W29" i="3"/>
  <c r="X29" i="3" s="1"/>
  <c r="U29" i="3"/>
  <c r="W88" i="3"/>
  <c r="X88" i="3" s="1"/>
  <c r="AC88" i="3"/>
  <c r="AD88" i="3" s="1"/>
  <c r="R88" i="3"/>
  <c r="L172" i="1"/>
  <c r="I418" i="1"/>
  <c r="I436" i="1"/>
  <c r="H61" i="2"/>
  <c r="I61" i="2" s="1"/>
  <c r="AC88" i="2"/>
  <c r="AD88" i="2" s="1"/>
  <c r="W122" i="2"/>
  <c r="X122" i="2" s="1"/>
  <c r="C148" i="2"/>
  <c r="W170" i="2"/>
  <c r="X170" i="2" s="1"/>
  <c r="N171" i="2"/>
  <c r="O171" i="2" s="1"/>
  <c r="C197" i="2"/>
  <c r="H209" i="2"/>
  <c r="I209" i="2" s="1"/>
  <c r="C218" i="2"/>
  <c r="W324" i="2"/>
  <c r="X324" i="2" s="1"/>
  <c r="W325" i="2"/>
  <c r="X325" i="2" s="1"/>
  <c r="R325" i="2"/>
  <c r="H343" i="2"/>
  <c r="I343" i="2" s="1"/>
  <c r="F343" i="2"/>
  <c r="N149" i="3"/>
  <c r="O149" i="3" s="1"/>
  <c r="L149" i="3"/>
  <c r="H197" i="3"/>
  <c r="I197" i="3" s="1"/>
  <c r="F197" i="3"/>
  <c r="R18" i="4"/>
  <c r="AC18" i="4"/>
  <c r="AD18" i="4" s="1"/>
  <c r="W18" i="4"/>
  <c r="X18" i="4" s="1"/>
  <c r="I411" i="1"/>
  <c r="I420" i="1"/>
  <c r="I427" i="1"/>
  <c r="I438" i="1"/>
  <c r="W442" i="1"/>
  <c r="X442" i="1" s="1"/>
  <c r="C61" i="2"/>
  <c r="H118" i="2"/>
  <c r="I118" i="2" s="1"/>
  <c r="E172" i="2"/>
  <c r="F124" i="2"/>
  <c r="H166" i="2"/>
  <c r="I166" i="2" s="1"/>
  <c r="W171" i="2"/>
  <c r="X171" i="2" s="1"/>
  <c r="C209" i="2"/>
  <c r="H227" i="2"/>
  <c r="I227" i="2" s="1"/>
  <c r="W263" i="2"/>
  <c r="X263" i="2" s="1"/>
  <c r="H284" i="2"/>
  <c r="I284" i="2" s="1"/>
  <c r="H172" i="3"/>
  <c r="I172" i="3" s="1"/>
  <c r="N172" i="3"/>
  <c r="O172" i="3" s="1"/>
  <c r="B198" i="3"/>
  <c r="C172" i="3"/>
  <c r="R273" i="5"/>
  <c r="W273" i="5"/>
  <c r="X273" i="5" s="1"/>
  <c r="AC273" i="5"/>
  <c r="AD273" i="5" s="1"/>
  <c r="W393" i="2"/>
  <c r="X393" i="2" s="1"/>
  <c r="H396" i="2"/>
  <c r="I396" i="2" s="1"/>
  <c r="H403" i="2"/>
  <c r="I403" i="2" s="1"/>
  <c r="I423" i="2"/>
  <c r="O424" i="2"/>
  <c r="X434" i="2"/>
  <c r="O435" i="2"/>
  <c r="W40" i="3"/>
  <c r="X40" i="3" s="1"/>
  <c r="W141" i="3"/>
  <c r="X141" i="3" s="1"/>
  <c r="H170" i="3"/>
  <c r="I170" i="3" s="1"/>
  <c r="W170" i="3"/>
  <c r="X170" i="3" s="1"/>
  <c r="N196" i="3"/>
  <c r="O196" i="3" s="1"/>
  <c r="AC197" i="3"/>
  <c r="AD197" i="3" s="1"/>
  <c r="H209" i="3"/>
  <c r="I209" i="3" s="1"/>
  <c r="H236" i="3"/>
  <c r="I236" i="3" s="1"/>
  <c r="H273" i="3"/>
  <c r="I273" i="3" s="1"/>
  <c r="C273" i="3"/>
  <c r="H325" i="3"/>
  <c r="I325" i="3" s="1"/>
  <c r="F325" i="3"/>
  <c r="H342" i="3"/>
  <c r="I342" i="3" s="1"/>
  <c r="C342" i="3"/>
  <c r="C393" i="3"/>
  <c r="N393" i="3"/>
  <c r="O393" i="3" s="1"/>
  <c r="H393" i="3"/>
  <c r="I393" i="3" s="1"/>
  <c r="X423" i="3"/>
  <c r="X416" i="3"/>
  <c r="X407" i="3"/>
  <c r="X386" i="3"/>
  <c r="X369" i="3"/>
  <c r="X360" i="3"/>
  <c r="X352" i="3"/>
  <c r="X439" i="3"/>
  <c r="X432" i="3"/>
  <c r="X421" i="3"/>
  <c r="X414" i="3"/>
  <c r="X394" i="3"/>
  <c r="X383" i="3"/>
  <c r="X376" i="3"/>
  <c r="X367" i="3"/>
  <c r="X350" i="3"/>
  <c r="X340" i="3"/>
  <c r="X335" i="3"/>
  <c r="X331" i="3"/>
  <c r="X323" i="3"/>
  <c r="X319" i="3"/>
  <c r="X315" i="3"/>
  <c r="X311" i="3"/>
  <c r="X307" i="3"/>
  <c r="X303" i="3"/>
  <c r="X299" i="3"/>
  <c r="X291" i="3"/>
  <c r="X287" i="3"/>
  <c r="X283" i="3"/>
  <c r="X279" i="3"/>
  <c r="X275" i="3"/>
  <c r="X271" i="3"/>
  <c r="X260" i="3"/>
  <c r="X256" i="3"/>
  <c r="X252" i="3"/>
  <c r="X248" i="3"/>
  <c r="X244" i="3"/>
  <c r="X240" i="3"/>
  <c r="X235" i="3"/>
  <c r="X231" i="3"/>
  <c r="X223" i="3"/>
  <c r="X219" i="3"/>
  <c r="X216" i="3"/>
  <c r="X211" i="3"/>
  <c r="X207" i="3"/>
  <c r="X203" i="3"/>
  <c r="X189" i="3"/>
  <c r="X184" i="3"/>
  <c r="X181" i="3"/>
  <c r="X177" i="3"/>
  <c r="X169" i="3"/>
  <c r="X162" i="3"/>
  <c r="X154" i="3"/>
  <c r="X146" i="3"/>
  <c r="X138" i="3"/>
  <c r="X134" i="3"/>
  <c r="X130" i="3"/>
  <c r="X121" i="3"/>
  <c r="X114" i="3"/>
  <c r="X110" i="3"/>
  <c r="X106" i="3"/>
  <c r="X102" i="3"/>
  <c r="X98" i="3"/>
  <c r="X94" i="3"/>
  <c r="X89" i="3"/>
  <c r="X86" i="3"/>
  <c r="X82" i="3"/>
  <c r="X78" i="3"/>
  <c r="X70" i="3"/>
  <c r="X66" i="3"/>
  <c r="X59" i="3"/>
  <c r="X55" i="3"/>
  <c r="X51" i="3"/>
  <c r="X47" i="3"/>
  <c r="X42" i="3"/>
  <c r="X38" i="3"/>
  <c r="X34" i="3"/>
  <c r="X26" i="3"/>
  <c r="X22" i="3"/>
  <c r="X14" i="3"/>
  <c r="X10" i="3"/>
  <c r="X437" i="3"/>
  <c r="X419" i="3"/>
  <c r="X412" i="3"/>
  <c r="X401" i="3"/>
  <c r="X381" i="3"/>
  <c r="X365" i="3"/>
  <c r="X357" i="3"/>
  <c r="X435" i="3"/>
  <c r="X426" i="3"/>
  <c r="X417" i="3"/>
  <c r="X399" i="3"/>
  <c r="X390" i="3"/>
  <c r="X379" i="3"/>
  <c r="X372" i="3"/>
  <c r="X341" i="3"/>
  <c r="X337" i="3"/>
  <c r="X332" i="3"/>
  <c r="X328" i="3"/>
  <c r="X320" i="3"/>
  <c r="X316" i="3"/>
  <c r="X312" i="3"/>
  <c r="X308" i="3"/>
  <c r="X304" i="3"/>
  <c r="X300" i="3"/>
  <c r="X292" i="3"/>
  <c r="X288" i="3"/>
  <c r="X280" i="3"/>
  <c r="X276" i="3"/>
  <c r="X272" i="3"/>
  <c r="X261" i="3"/>
  <c r="X433" i="3"/>
  <c r="X424" i="3"/>
  <c r="X415" i="3"/>
  <c r="X408" i="3"/>
  <c r="X397" i="3"/>
  <c r="X377" i="3"/>
  <c r="X361" i="3"/>
  <c r="X353" i="3"/>
  <c r="X440" i="3"/>
  <c r="X422" i="3"/>
  <c r="X413" i="3"/>
  <c r="X395" i="3"/>
  <c r="X385" i="3"/>
  <c r="X375" i="3"/>
  <c r="X366" i="3"/>
  <c r="X351" i="3"/>
  <c r="X347" i="3"/>
  <c r="X338" i="3"/>
  <c r="X333" i="3"/>
  <c r="X329" i="3"/>
  <c r="X321" i="3"/>
  <c r="X317" i="3"/>
  <c r="X313" i="3"/>
  <c r="X309" i="3"/>
  <c r="X305" i="3"/>
  <c r="X301" i="3"/>
  <c r="X297" i="3"/>
  <c r="X293" i="3"/>
  <c r="X289" i="3"/>
  <c r="X281" i="3"/>
  <c r="X277" i="3"/>
  <c r="X269" i="3"/>
  <c r="X265" i="3"/>
  <c r="X427" i="3"/>
  <c r="X420" i="3"/>
  <c r="X411" i="3"/>
  <c r="X391" i="3"/>
  <c r="X373" i="3"/>
  <c r="X364" i="3"/>
  <c r="X356" i="3"/>
  <c r="N342" i="2"/>
  <c r="O342" i="2" s="1"/>
  <c r="N344" i="2"/>
  <c r="O344" i="2" s="1"/>
  <c r="N368" i="2"/>
  <c r="O368" i="2" s="1"/>
  <c r="E198" i="3"/>
  <c r="F172" i="3"/>
  <c r="W267" i="3"/>
  <c r="X267" i="3" s="1"/>
  <c r="U267" i="3"/>
  <c r="N429" i="3"/>
  <c r="O429" i="3" s="1"/>
  <c r="H429" i="3"/>
  <c r="I429" i="3" s="1"/>
  <c r="C429" i="3"/>
  <c r="W441" i="4"/>
  <c r="X441" i="4" s="1"/>
  <c r="AC441" i="4"/>
  <c r="AD441" i="4" s="1"/>
  <c r="R441" i="4"/>
  <c r="C342" i="2"/>
  <c r="C344" i="2"/>
  <c r="C368" i="2"/>
  <c r="AC368" i="2"/>
  <c r="AD368" i="2" s="1"/>
  <c r="AA393" i="2"/>
  <c r="N396" i="2"/>
  <c r="O396" i="2" s="1"/>
  <c r="N403" i="2"/>
  <c r="O403" i="2" s="1"/>
  <c r="H141" i="3"/>
  <c r="I141" i="3" s="1"/>
  <c r="F148" i="3"/>
  <c r="AC148" i="3"/>
  <c r="AD148" i="3" s="1"/>
  <c r="W158" i="3"/>
  <c r="X158" i="3" s="1"/>
  <c r="AA170" i="3"/>
  <c r="AA236" i="3"/>
  <c r="W325" i="3"/>
  <c r="X325" i="3" s="1"/>
  <c r="R325" i="3"/>
  <c r="H122" i="4"/>
  <c r="I122" i="4" s="1"/>
  <c r="F122" i="4"/>
  <c r="Z172" i="4"/>
  <c r="AC124" i="4"/>
  <c r="AD124" i="4" s="1"/>
  <c r="AA124" i="4"/>
  <c r="AC342" i="2"/>
  <c r="AD342" i="2" s="1"/>
  <c r="AC344" i="2"/>
  <c r="AD344" i="2" s="1"/>
  <c r="R428" i="2"/>
  <c r="H429" i="2"/>
  <c r="I429" i="2" s="1"/>
  <c r="H29" i="3"/>
  <c r="I29" i="3" s="1"/>
  <c r="W196" i="3"/>
  <c r="X196" i="3" s="1"/>
  <c r="W263" i="3"/>
  <c r="X263" i="3" s="1"/>
  <c r="U263" i="3"/>
  <c r="F61" i="4"/>
  <c r="H61" i="4"/>
  <c r="I61" i="4" s="1"/>
  <c r="R368" i="2"/>
  <c r="O434" i="2"/>
  <c r="W441" i="2"/>
  <c r="X441" i="2" s="1"/>
  <c r="AC40" i="3"/>
  <c r="AD40" i="3" s="1"/>
  <c r="H61" i="3"/>
  <c r="I61" i="3" s="1"/>
  <c r="H88" i="3"/>
  <c r="I88" i="3" s="1"/>
  <c r="W118" i="3"/>
  <c r="X118" i="3" s="1"/>
  <c r="H122" i="3"/>
  <c r="I122" i="3" s="1"/>
  <c r="W122" i="3"/>
  <c r="X122" i="3" s="1"/>
  <c r="T172" i="3"/>
  <c r="U124" i="3"/>
  <c r="W149" i="3"/>
  <c r="X149" i="3" s="1"/>
  <c r="H158" i="3"/>
  <c r="I158" i="3" s="1"/>
  <c r="L166" i="3"/>
  <c r="N170" i="3"/>
  <c r="O170" i="3" s="1"/>
  <c r="W171" i="3"/>
  <c r="X171" i="3" s="1"/>
  <c r="C182" i="3"/>
  <c r="K198" i="3"/>
  <c r="R209" i="3"/>
  <c r="H218" i="3"/>
  <c r="I218" i="3" s="1"/>
  <c r="N236" i="3"/>
  <c r="O236" i="3" s="1"/>
  <c r="W343" i="3"/>
  <c r="X343" i="3" s="1"/>
  <c r="U343" i="3"/>
  <c r="R40" i="4"/>
  <c r="AC40" i="4"/>
  <c r="AD40" i="4" s="1"/>
  <c r="W40" i="4"/>
  <c r="X40" i="4" s="1"/>
  <c r="R62" i="4"/>
  <c r="AC62" i="4"/>
  <c r="AD62" i="4" s="1"/>
  <c r="W62" i="4"/>
  <c r="X62" i="4" s="1"/>
  <c r="AC442" i="1"/>
  <c r="AD442" i="1" s="1"/>
  <c r="N18" i="2"/>
  <c r="O18" i="2" s="1"/>
  <c r="N62" i="2"/>
  <c r="O62" i="2" s="1"/>
  <c r="N118" i="2"/>
  <c r="O118" i="2" s="1"/>
  <c r="AC122" i="2"/>
  <c r="AD122" i="2" s="1"/>
  <c r="N124" i="2"/>
  <c r="O124" i="2" s="1"/>
  <c r="N149" i="2"/>
  <c r="O149" i="2" s="1"/>
  <c r="N158" i="2"/>
  <c r="O158" i="2" s="1"/>
  <c r="N166" i="2"/>
  <c r="O166" i="2" s="1"/>
  <c r="AC170" i="2"/>
  <c r="AD170" i="2" s="1"/>
  <c r="AC182" i="2"/>
  <c r="AD182" i="2" s="1"/>
  <c r="N193" i="2"/>
  <c r="O193" i="2" s="1"/>
  <c r="N196" i="2"/>
  <c r="O196" i="2" s="1"/>
  <c r="N227" i="2"/>
  <c r="O227" i="2" s="1"/>
  <c r="AC236" i="2"/>
  <c r="AD236" i="2" s="1"/>
  <c r="N263" i="2"/>
  <c r="O263" i="2" s="1"/>
  <c r="N267" i="2"/>
  <c r="O267" i="2" s="1"/>
  <c r="AC284" i="2"/>
  <c r="AD284" i="2" s="1"/>
  <c r="N295" i="2"/>
  <c r="O295" i="2" s="1"/>
  <c r="AC324" i="2"/>
  <c r="AD324" i="2" s="1"/>
  <c r="N343" i="2"/>
  <c r="O343" i="2" s="1"/>
  <c r="N358" i="2"/>
  <c r="O358" i="2" s="1"/>
  <c r="H40" i="3"/>
  <c r="I40" i="3" s="1"/>
  <c r="Q172" i="3"/>
  <c r="H196" i="3"/>
  <c r="I196" i="3" s="1"/>
  <c r="R197" i="3"/>
  <c r="AC325" i="3"/>
  <c r="AD325" i="3" s="1"/>
  <c r="AC122" i="4"/>
  <c r="AD122" i="4" s="1"/>
  <c r="W396" i="2"/>
  <c r="X396" i="2" s="1"/>
  <c r="W403" i="2"/>
  <c r="X403" i="2" s="1"/>
  <c r="N429" i="2"/>
  <c r="O429" i="2" s="1"/>
  <c r="O438" i="2"/>
  <c r="I439" i="2"/>
  <c r="H441" i="2"/>
  <c r="I441" i="2" s="1"/>
  <c r="AC441" i="2"/>
  <c r="AD441" i="2" s="1"/>
  <c r="N61" i="3"/>
  <c r="O61" i="3" s="1"/>
  <c r="N88" i="3"/>
  <c r="O88" i="3" s="1"/>
  <c r="H149" i="3"/>
  <c r="I149" i="3" s="1"/>
  <c r="H171" i="3"/>
  <c r="I171" i="3" s="1"/>
  <c r="AC171" i="3"/>
  <c r="AD171" i="3" s="1"/>
  <c r="AC182" i="3"/>
  <c r="AD182" i="3" s="1"/>
  <c r="W193" i="3"/>
  <c r="X193" i="3" s="1"/>
  <c r="N218" i="3"/>
  <c r="O218" i="3" s="1"/>
  <c r="W295" i="3"/>
  <c r="X295" i="3" s="1"/>
  <c r="U295" i="3"/>
  <c r="H344" i="3"/>
  <c r="I344" i="3" s="1"/>
  <c r="C344" i="3"/>
  <c r="W358" i="3"/>
  <c r="X358" i="3" s="1"/>
  <c r="W393" i="3"/>
  <c r="X393" i="3" s="1"/>
  <c r="I400" i="3"/>
  <c r="N403" i="3"/>
  <c r="O403" i="3" s="1"/>
  <c r="I409" i="3"/>
  <c r="I418" i="3"/>
  <c r="I425" i="3"/>
  <c r="N428" i="3"/>
  <c r="O428" i="3" s="1"/>
  <c r="W429" i="3"/>
  <c r="X429" i="3" s="1"/>
  <c r="I436" i="3"/>
  <c r="H29" i="4"/>
  <c r="I29" i="4" s="1"/>
  <c r="AC61" i="4"/>
  <c r="AD61" i="4" s="1"/>
  <c r="H73" i="4"/>
  <c r="I73" i="4" s="1"/>
  <c r="AC118" i="4"/>
  <c r="AD118" i="4" s="1"/>
  <c r="F124" i="4"/>
  <c r="E172" i="4"/>
  <c r="U172" i="4"/>
  <c r="T198" i="4"/>
  <c r="AC262" i="3"/>
  <c r="AD262" i="3" s="1"/>
  <c r="AC273" i="3"/>
  <c r="AD273" i="3" s="1"/>
  <c r="N284" i="3"/>
  <c r="O284" i="3" s="1"/>
  <c r="N324" i="3"/>
  <c r="O324" i="3" s="1"/>
  <c r="AC342" i="3"/>
  <c r="AD342" i="3" s="1"/>
  <c r="AC344" i="3"/>
  <c r="AD344" i="3" s="1"/>
  <c r="X368" i="3"/>
  <c r="K172" i="4"/>
  <c r="L124" i="4"/>
  <c r="H193" i="4"/>
  <c r="I193" i="4" s="1"/>
  <c r="F193" i="4"/>
  <c r="R262" i="3"/>
  <c r="R273" i="3"/>
  <c r="C284" i="3"/>
  <c r="C324" i="3"/>
  <c r="R342" i="3"/>
  <c r="R344" i="3"/>
  <c r="F368" i="3"/>
  <c r="AC393" i="3"/>
  <c r="AD393" i="3" s="1"/>
  <c r="R403" i="3"/>
  <c r="AA429" i="3"/>
  <c r="F442" i="3"/>
  <c r="AC442" i="3"/>
  <c r="AD442" i="3" s="1"/>
  <c r="C18" i="4"/>
  <c r="L29" i="4"/>
  <c r="C62" i="4"/>
  <c r="L73" i="4"/>
  <c r="N124" i="4"/>
  <c r="O124" i="4" s="1"/>
  <c r="H170" i="4"/>
  <c r="I170" i="4" s="1"/>
  <c r="F170" i="4"/>
  <c r="N171" i="4"/>
  <c r="O171" i="4" s="1"/>
  <c r="H171" i="4"/>
  <c r="I171" i="4" s="1"/>
  <c r="C171" i="4"/>
  <c r="N263" i="3"/>
  <c r="O263" i="3" s="1"/>
  <c r="N267" i="3"/>
  <c r="O267" i="3" s="1"/>
  <c r="AC284" i="3"/>
  <c r="AD284" i="3" s="1"/>
  <c r="N295" i="3"/>
  <c r="O295" i="3" s="1"/>
  <c r="AC324" i="3"/>
  <c r="AD324" i="3" s="1"/>
  <c r="N343" i="3"/>
  <c r="O343" i="3" s="1"/>
  <c r="AC358" i="3"/>
  <c r="AD358" i="3" s="1"/>
  <c r="W218" i="4"/>
  <c r="X218" i="4" s="1"/>
  <c r="U218" i="4"/>
  <c r="N236" i="4"/>
  <c r="O236" i="4" s="1"/>
  <c r="H236" i="4"/>
  <c r="I236" i="4" s="1"/>
  <c r="C236" i="4"/>
  <c r="L358" i="3"/>
  <c r="W403" i="3"/>
  <c r="X403" i="3" s="1"/>
  <c r="W428" i="3"/>
  <c r="X428" i="3" s="1"/>
  <c r="H40" i="4"/>
  <c r="I40" i="4" s="1"/>
  <c r="W88" i="4"/>
  <c r="X88" i="4" s="1"/>
  <c r="W122" i="4"/>
  <c r="X122" i="4" s="1"/>
  <c r="R124" i="4"/>
  <c r="Q172" i="4"/>
  <c r="H148" i="4"/>
  <c r="I148" i="4" s="1"/>
  <c r="F148" i="4"/>
  <c r="AC263" i="4"/>
  <c r="AD263" i="4" s="1"/>
  <c r="AA263" i="4"/>
  <c r="N441" i="2"/>
  <c r="O441" i="2" s="1"/>
  <c r="AC18" i="3"/>
  <c r="AD18" i="3" s="1"/>
  <c r="N29" i="3"/>
  <c r="O29" i="3" s="1"/>
  <c r="AC62" i="3"/>
  <c r="AD62" i="3" s="1"/>
  <c r="N73" i="3"/>
  <c r="O73" i="3" s="1"/>
  <c r="AC118" i="3"/>
  <c r="AD118" i="3" s="1"/>
  <c r="AC124" i="3"/>
  <c r="AD124" i="3" s="1"/>
  <c r="N141" i="3"/>
  <c r="O141" i="3" s="1"/>
  <c r="AC149" i="3"/>
  <c r="AD149" i="3" s="1"/>
  <c r="AC158" i="3"/>
  <c r="AD158" i="3" s="1"/>
  <c r="AC166" i="3"/>
  <c r="AD166" i="3" s="1"/>
  <c r="N171" i="3"/>
  <c r="O171" i="3" s="1"/>
  <c r="AC193" i="3"/>
  <c r="AD193" i="3" s="1"/>
  <c r="AC196" i="3"/>
  <c r="AD196" i="3" s="1"/>
  <c r="AC227" i="3"/>
  <c r="AD227" i="3" s="1"/>
  <c r="AC263" i="3"/>
  <c r="AD263" i="3" s="1"/>
  <c r="AC267" i="3"/>
  <c r="AD267" i="3" s="1"/>
  <c r="AC295" i="3"/>
  <c r="AD295" i="3" s="1"/>
  <c r="N325" i="3"/>
  <c r="O325" i="3" s="1"/>
  <c r="AC343" i="3"/>
  <c r="AD343" i="3" s="1"/>
  <c r="H428" i="3"/>
  <c r="I428" i="3" s="1"/>
  <c r="N18" i="4"/>
  <c r="O18" i="4" s="1"/>
  <c r="N62" i="4"/>
  <c r="O62" i="4" s="1"/>
  <c r="H118" i="4"/>
  <c r="I118" i="4" s="1"/>
  <c r="W118" i="4"/>
  <c r="X118" i="4" s="1"/>
  <c r="R122" i="4"/>
  <c r="W141" i="4"/>
  <c r="X141" i="4" s="1"/>
  <c r="U141" i="4"/>
  <c r="H403" i="3"/>
  <c r="I403" i="3" s="1"/>
  <c r="AC428" i="3"/>
  <c r="AD428" i="3" s="1"/>
  <c r="X442" i="3"/>
  <c r="W29" i="4"/>
  <c r="X29" i="4" s="1"/>
  <c r="W61" i="4"/>
  <c r="X61" i="4" s="1"/>
  <c r="W73" i="4"/>
  <c r="X73" i="4" s="1"/>
  <c r="H88" i="4"/>
  <c r="I88" i="4" s="1"/>
  <c r="AC88" i="4"/>
  <c r="AD88" i="4" s="1"/>
  <c r="H124" i="4"/>
  <c r="I124" i="4" s="1"/>
  <c r="B172" i="4"/>
  <c r="W124" i="4"/>
  <c r="X124" i="4" s="1"/>
  <c r="W148" i="4"/>
  <c r="X148" i="4" s="1"/>
  <c r="R148" i="4"/>
  <c r="AC158" i="4"/>
  <c r="AD158" i="4" s="1"/>
  <c r="H218" i="4"/>
  <c r="I218" i="4" s="1"/>
  <c r="W236" i="4"/>
  <c r="X236" i="4" s="1"/>
  <c r="AD256" i="4"/>
  <c r="AC262" i="4"/>
  <c r="AD262" i="4" s="1"/>
  <c r="N263" i="4"/>
  <c r="O263" i="4" s="1"/>
  <c r="W267" i="4"/>
  <c r="X267" i="4" s="1"/>
  <c r="AD305" i="4"/>
  <c r="AD307" i="4"/>
  <c r="AD321" i="4"/>
  <c r="AD323" i="4"/>
  <c r="N324" i="4"/>
  <c r="O324" i="4" s="1"/>
  <c r="N325" i="4"/>
  <c r="O325" i="4" s="1"/>
  <c r="AD365" i="4"/>
  <c r="AD375" i="4"/>
  <c r="AD377" i="4"/>
  <c r="AD416" i="4"/>
  <c r="AD433" i="4"/>
  <c r="H441" i="4"/>
  <c r="I441" i="4" s="1"/>
  <c r="AC29" i="5"/>
  <c r="AD29" i="5" s="1"/>
  <c r="N149" i="4"/>
  <c r="O149" i="4" s="1"/>
  <c r="N182" i="4"/>
  <c r="O182" i="4" s="1"/>
  <c r="N196" i="4"/>
  <c r="O196" i="4" s="1"/>
  <c r="N227" i="4"/>
  <c r="O227" i="4" s="1"/>
  <c r="H343" i="4"/>
  <c r="I343" i="4" s="1"/>
  <c r="C149" i="4"/>
  <c r="R158" i="4"/>
  <c r="N166" i="4"/>
  <c r="O166" i="4" s="1"/>
  <c r="AA166" i="4"/>
  <c r="U171" i="4"/>
  <c r="R262" i="4"/>
  <c r="L267" i="4"/>
  <c r="F273" i="4"/>
  <c r="C324" i="4"/>
  <c r="C325" i="4"/>
  <c r="N141" i="4"/>
  <c r="O141" i="4" s="1"/>
  <c r="AC149" i="4"/>
  <c r="AD149" i="4" s="1"/>
  <c r="W171" i="4"/>
  <c r="X171" i="4" s="1"/>
  <c r="C182" i="4"/>
  <c r="C196" i="4"/>
  <c r="AC197" i="4"/>
  <c r="AD197" i="4" s="1"/>
  <c r="C227" i="4"/>
  <c r="C263" i="4"/>
  <c r="R263" i="4"/>
  <c r="N170" i="4"/>
  <c r="O170" i="4" s="1"/>
  <c r="AA170" i="4"/>
  <c r="N193" i="4"/>
  <c r="O193" i="4" s="1"/>
  <c r="AA193" i="4"/>
  <c r="R196" i="4"/>
  <c r="N218" i="4"/>
  <c r="O218" i="4" s="1"/>
  <c r="AC218" i="4"/>
  <c r="AD218" i="4" s="1"/>
  <c r="R227" i="4"/>
  <c r="AD260" i="4"/>
  <c r="F262" i="4"/>
  <c r="AC267" i="4"/>
  <c r="AD267" i="4" s="1"/>
  <c r="AD297" i="4"/>
  <c r="AD299" i="4"/>
  <c r="AD313" i="4"/>
  <c r="AD315" i="4"/>
  <c r="U325" i="4"/>
  <c r="F342" i="4"/>
  <c r="AD353" i="4"/>
  <c r="AC358" i="4"/>
  <c r="AD358" i="4" s="1"/>
  <c r="AD369" i="4"/>
  <c r="AD383" i="4"/>
  <c r="AD386" i="4"/>
  <c r="AD397" i="4"/>
  <c r="AD408" i="4"/>
  <c r="AD424" i="4"/>
  <c r="AD439" i="4"/>
  <c r="K198" i="5"/>
  <c r="L172" i="5"/>
  <c r="W148" i="5"/>
  <c r="X148" i="5" s="1"/>
  <c r="U148" i="5"/>
  <c r="AC441" i="3"/>
  <c r="AD441" i="3" s="1"/>
  <c r="AC29" i="4"/>
  <c r="AD29" i="4" s="1"/>
  <c r="N40" i="4"/>
  <c r="O40" i="4" s="1"/>
  <c r="N61" i="4"/>
  <c r="O61" i="4" s="1"/>
  <c r="AC73" i="4"/>
  <c r="AD73" i="4" s="1"/>
  <c r="N88" i="4"/>
  <c r="O88" i="4" s="1"/>
  <c r="AC141" i="4"/>
  <c r="AD141" i="4" s="1"/>
  <c r="N148" i="4"/>
  <c r="O148" i="4" s="1"/>
  <c r="H267" i="4"/>
  <c r="I267" i="4" s="1"/>
  <c r="AD292" i="4"/>
  <c r="AD310" i="4"/>
  <c r="AD332" i="4"/>
  <c r="AD338" i="4"/>
  <c r="AD340" i="4"/>
  <c r="AD355" i="4"/>
  <c r="AD364" i="4"/>
  <c r="AD366" i="4"/>
  <c r="AD380" i="4"/>
  <c r="AD394" i="4"/>
  <c r="AD410" i="4"/>
  <c r="AD415" i="4"/>
  <c r="AD417" i="4"/>
  <c r="AD426" i="4"/>
  <c r="AD436" i="4"/>
  <c r="W18" i="5"/>
  <c r="X18" i="5" s="1"/>
  <c r="C284" i="5"/>
  <c r="H284" i="5"/>
  <c r="I284" i="5" s="1"/>
  <c r="N284" i="5"/>
  <c r="O284" i="5" s="1"/>
  <c r="H209" i="4"/>
  <c r="I209" i="4" s="1"/>
  <c r="C267" i="4"/>
  <c r="AD294" i="4"/>
  <c r="AD301" i="4"/>
  <c r="AD303" i="4"/>
  <c r="AD312" i="4"/>
  <c r="AD317" i="4"/>
  <c r="AD319" i="4"/>
  <c r="AD334" i="4"/>
  <c r="AD357" i="4"/>
  <c r="AD361" i="4"/>
  <c r="AD371" i="4"/>
  <c r="AD373" i="4"/>
  <c r="AD382" i="4"/>
  <c r="AD389" i="4"/>
  <c r="AD391" i="4"/>
  <c r="AD399" i="4"/>
  <c r="AD401" i="4"/>
  <c r="AD412" i="4"/>
  <c r="AC284" i="4"/>
  <c r="AD284" i="4" s="1"/>
  <c r="N295" i="4"/>
  <c r="O295" i="4" s="1"/>
  <c r="AC324" i="4"/>
  <c r="AD324" i="4" s="1"/>
  <c r="N343" i="4"/>
  <c r="O343" i="4" s="1"/>
  <c r="N358" i="4"/>
  <c r="O358" i="4" s="1"/>
  <c r="AC429" i="4"/>
  <c r="AD429" i="4" s="1"/>
  <c r="N441" i="4"/>
  <c r="O441" i="4" s="1"/>
  <c r="AC18" i="5"/>
  <c r="AD18" i="5" s="1"/>
  <c r="N29" i="5"/>
  <c r="O29" i="5" s="1"/>
  <c r="AC62" i="5"/>
  <c r="AD62" i="5" s="1"/>
  <c r="N73" i="5"/>
  <c r="O73" i="5" s="1"/>
  <c r="AC118" i="5"/>
  <c r="AD118" i="5" s="1"/>
  <c r="Z345" i="5"/>
  <c r="AA198" i="5"/>
  <c r="N158" i="5"/>
  <c r="O158" i="5" s="1"/>
  <c r="T198" i="5"/>
  <c r="N61" i="5"/>
  <c r="O61" i="5" s="1"/>
  <c r="AC73" i="5"/>
  <c r="AD73" i="5" s="1"/>
  <c r="N88" i="5"/>
  <c r="O88" i="5" s="1"/>
  <c r="H124" i="5"/>
  <c r="I124" i="5" s="1"/>
  <c r="B172" i="5"/>
  <c r="AC124" i="5"/>
  <c r="AD124" i="5" s="1"/>
  <c r="C158" i="5"/>
  <c r="AC158" i="5"/>
  <c r="AD158" i="5" s="1"/>
  <c r="E404" i="5"/>
  <c r="F345" i="5"/>
  <c r="N227" i="5"/>
  <c r="O227" i="5" s="1"/>
  <c r="AC236" i="5"/>
  <c r="AD236" i="5" s="1"/>
  <c r="AC262" i="5"/>
  <c r="AD262" i="5" s="1"/>
  <c r="C273" i="5"/>
  <c r="C61" i="5"/>
  <c r="F172" i="5"/>
  <c r="N262" i="4"/>
  <c r="O262" i="4" s="1"/>
  <c r="N273" i="4"/>
  <c r="O273" i="4" s="1"/>
  <c r="AC325" i="4"/>
  <c r="AD325" i="4" s="1"/>
  <c r="N342" i="4"/>
  <c r="O342" i="4" s="1"/>
  <c r="N344" i="4"/>
  <c r="O344" i="4" s="1"/>
  <c r="N368" i="4"/>
  <c r="O368" i="4" s="1"/>
  <c r="N393" i="4"/>
  <c r="O393" i="4" s="1"/>
  <c r="N396" i="4"/>
  <c r="O396" i="4" s="1"/>
  <c r="N403" i="4"/>
  <c r="O403" i="4" s="1"/>
  <c r="AC428" i="4"/>
  <c r="AD428" i="4" s="1"/>
  <c r="N442" i="4"/>
  <c r="O442" i="4" s="1"/>
  <c r="AC40" i="5"/>
  <c r="AD40" i="5" s="1"/>
  <c r="AC61" i="5"/>
  <c r="AD61" i="5" s="1"/>
  <c r="AC88" i="5"/>
  <c r="AD88" i="5" s="1"/>
  <c r="R124" i="5"/>
  <c r="N141" i="5"/>
  <c r="O141" i="5" s="1"/>
  <c r="F170" i="5"/>
  <c r="R209" i="5"/>
  <c r="W209" i="5"/>
  <c r="X209" i="5" s="1"/>
  <c r="AC209" i="5"/>
  <c r="AD209" i="5" s="1"/>
  <c r="W263" i="5"/>
  <c r="X263" i="5" s="1"/>
  <c r="U263" i="5"/>
  <c r="R122" i="5"/>
  <c r="C166" i="5"/>
  <c r="AC166" i="5"/>
  <c r="AD166" i="5" s="1"/>
  <c r="W197" i="5"/>
  <c r="X197" i="5" s="1"/>
  <c r="AC197" i="5"/>
  <c r="AD197" i="5" s="1"/>
  <c r="F198" i="5"/>
  <c r="N267" i="5"/>
  <c r="O267" i="5" s="1"/>
  <c r="W325" i="5"/>
  <c r="X325" i="5" s="1"/>
  <c r="AC325" i="5"/>
  <c r="AD325" i="5" s="1"/>
  <c r="R325" i="5"/>
  <c r="AC149" i="5"/>
  <c r="AD149" i="5" s="1"/>
  <c r="Q172" i="5"/>
  <c r="H182" i="5"/>
  <c r="I182" i="5" s="1"/>
  <c r="C182" i="5"/>
  <c r="R262" i="5"/>
  <c r="W262" i="5"/>
  <c r="X262" i="5" s="1"/>
  <c r="U267" i="5"/>
  <c r="N273" i="5"/>
  <c r="O273" i="5" s="1"/>
  <c r="AC368" i="5"/>
  <c r="AD368" i="5" s="1"/>
  <c r="H141" i="5"/>
  <c r="I141" i="5" s="1"/>
  <c r="W149" i="5"/>
  <c r="X149" i="5" s="1"/>
  <c r="W158" i="5"/>
  <c r="X158" i="5" s="1"/>
  <c r="W166" i="5"/>
  <c r="X166" i="5" s="1"/>
  <c r="H171" i="5"/>
  <c r="I171" i="5" s="1"/>
  <c r="H197" i="5"/>
  <c r="I197" i="5" s="1"/>
  <c r="H209" i="5"/>
  <c r="I209" i="5" s="1"/>
  <c r="AC284" i="5"/>
  <c r="AD284" i="5" s="1"/>
  <c r="AC324" i="5"/>
  <c r="AD324" i="5" s="1"/>
  <c r="C324" i="5"/>
  <c r="H324" i="5"/>
  <c r="I324" i="5" s="1"/>
  <c r="R344" i="5"/>
  <c r="W344" i="5"/>
  <c r="X344" i="5" s="1"/>
  <c r="F325" i="5"/>
  <c r="N343" i="5"/>
  <c r="O343" i="5" s="1"/>
  <c r="C344" i="5"/>
  <c r="R368" i="5"/>
  <c r="W368" i="5"/>
  <c r="X368" i="5" s="1"/>
  <c r="AC182" i="5"/>
  <c r="AD182" i="5" s="1"/>
  <c r="R218" i="5"/>
  <c r="W218" i="5"/>
  <c r="X218" i="5" s="1"/>
  <c r="C236" i="5"/>
  <c r="H236" i="5"/>
  <c r="I236" i="5" s="1"/>
  <c r="R342" i="5"/>
  <c r="W342" i="5"/>
  <c r="X342" i="5" s="1"/>
  <c r="H218" i="5"/>
  <c r="I218" i="5" s="1"/>
  <c r="H342" i="5"/>
  <c r="I342" i="5" s="1"/>
  <c r="U343" i="5"/>
  <c r="U358" i="5"/>
  <c r="C368" i="5"/>
  <c r="N196" i="5"/>
  <c r="O196" i="5" s="1"/>
  <c r="C218" i="5"/>
  <c r="C342" i="5"/>
  <c r="O389" i="5"/>
  <c r="AC393" i="5"/>
  <c r="AD393" i="5" s="1"/>
  <c r="O399" i="5"/>
  <c r="AC403" i="5"/>
  <c r="AD403" i="5" s="1"/>
  <c r="X409" i="5"/>
  <c r="I422" i="5"/>
  <c r="X425" i="5"/>
  <c r="R428" i="5"/>
  <c r="AC429" i="5"/>
  <c r="AD429" i="5" s="1"/>
  <c r="O435" i="5"/>
  <c r="N40" i="6"/>
  <c r="O40" i="6" s="1"/>
  <c r="AC122" i="6"/>
  <c r="AD122" i="6" s="1"/>
  <c r="N158" i="6"/>
  <c r="O158" i="6" s="1"/>
  <c r="C170" i="6"/>
  <c r="N170" i="6"/>
  <c r="O170" i="6" s="1"/>
  <c r="AC18" i="6"/>
  <c r="AD18" i="6" s="1"/>
  <c r="R393" i="5"/>
  <c r="R403" i="5"/>
  <c r="N441" i="5"/>
  <c r="O441" i="5" s="1"/>
  <c r="AC441" i="5"/>
  <c r="AD441" i="5" s="1"/>
  <c r="N442" i="5"/>
  <c r="O442" i="5" s="1"/>
  <c r="AC442" i="5"/>
  <c r="AD442" i="5" s="1"/>
  <c r="N18" i="6"/>
  <c r="O18" i="6" s="1"/>
  <c r="W40" i="6"/>
  <c r="X40" i="6" s="1"/>
  <c r="R61" i="6"/>
  <c r="T172" i="6"/>
  <c r="AA73" i="6"/>
  <c r="W118" i="6"/>
  <c r="X118" i="6" s="1"/>
  <c r="AC118" i="6"/>
  <c r="AD118" i="6" s="1"/>
  <c r="AA396" i="5"/>
  <c r="R441" i="5"/>
  <c r="AC29" i="6"/>
  <c r="AD29" i="6" s="1"/>
  <c r="L73" i="6"/>
  <c r="R118" i="6"/>
  <c r="U124" i="6"/>
  <c r="I392" i="5"/>
  <c r="I402" i="5"/>
  <c r="O415" i="5"/>
  <c r="N428" i="5"/>
  <c r="O428" i="5" s="1"/>
  <c r="I438" i="5"/>
  <c r="C442" i="5"/>
  <c r="N29" i="6"/>
  <c r="O29" i="6" s="1"/>
  <c r="F61" i="6"/>
  <c r="AC148" i="6"/>
  <c r="AD148" i="6" s="1"/>
  <c r="AA148" i="6"/>
  <c r="AC158" i="6"/>
  <c r="AD158" i="6" s="1"/>
  <c r="R158" i="6"/>
  <c r="W158" i="6"/>
  <c r="X158" i="6" s="1"/>
  <c r="AA172" i="6"/>
  <c r="Z198" i="6"/>
  <c r="W182" i="6"/>
  <c r="X182" i="6" s="1"/>
  <c r="U182" i="6"/>
  <c r="O259" i="5"/>
  <c r="X261" i="5"/>
  <c r="X276" i="5"/>
  <c r="O278" i="5"/>
  <c r="X280" i="5"/>
  <c r="O282" i="5"/>
  <c r="O302" i="5"/>
  <c r="L393" i="5"/>
  <c r="L403" i="5"/>
  <c r="I410" i="5"/>
  <c r="X413" i="5"/>
  <c r="I426" i="5"/>
  <c r="L429" i="5"/>
  <c r="O439" i="5"/>
  <c r="H441" i="5"/>
  <c r="I441" i="5" s="1"/>
  <c r="W442" i="5"/>
  <c r="X442" i="5" s="1"/>
  <c r="H18" i="6"/>
  <c r="I18" i="6" s="1"/>
  <c r="W18" i="6"/>
  <c r="X18" i="6" s="1"/>
  <c r="AC61" i="6"/>
  <c r="AD61" i="6" s="1"/>
  <c r="N62" i="6"/>
  <c r="O62" i="6" s="1"/>
  <c r="R88" i="6"/>
  <c r="AC88" i="6"/>
  <c r="AD88" i="6" s="1"/>
  <c r="W88" i="6"/>
  <c r="X88" i="6" s="1"/>
  <c r="W122" i="6"/>
  <c r="X122" i="6" s="1"/>
  <c r="I300" i="5"/>
  <c r="I304" i="5"/>
  <c r="I308" i="5"/>
  <c r="I312" i="5"/>
  <c r="I316" i="5"/>
  <c r="I320" i="5"/>
  <c r="I328" i="5"/>
  <c r="I332" i="5"/>
  <c r="I337" i="5"/>
  <c r="I341" i="5"/>
  <c r="I351" i="5"/>
  <c r="I355" i="5"/>
  <c r="I363" i="5"/>
  <c r="I367" i="5"/>
  <c r="I370" i="5"/>
  <c r="I374" i="5"/>
  <c r="I378" i="5"/>
  <c r="I382" i="5"/>
  <c r="I388" i="5"/>
  <c r="X391" i="5"/>
  <c r="I398" i="5"/>
  <c r="X401" i="5"/>
  <c r="O411" i="5"/>
  <c r="I413" i="5"/>
  <c r="O414" i="5"/>
  <c r="X419" i="5"/>
  <c r="X422" i="5"/>
  <c r="O427" i="5"/>
  <c r="I434" i="5"/>
  <c r="X437" i="5"/>
  <c r="AC40" i="6"/>
  <c r="AD40" i="6" s="1"/>
  <c r="N118" i="6"/>
  <c r="O118" i="6" s="1"/>
  <c r="H118" i="6"/>
  <c r="I118" i="6" s="1"/>
  <c r="C118" i="6"/>
  <c r="E172" i="6"/>
  <c r="H124" i="6"/>
  <c r="I124" i="6" s="1"/>
  <c r="F124" i="6"/>
  <c r="H218" i="6"/>
  <c r="I218" i="6" s="1"/>
  <c r="C218" i="6"/>
  <c r="N273" i="6"/>
  <c r="O273" i="6" s="1"/>
  <c r="H273" i="6"/>
  <c r="I273" i="6" s="1"/>
  <c r="C273" i="6"/>
  <c r="C182" i="6"/>
  <c r="N182" i="6"/>
  <c r="O182" i="6" s="1"/>
  <c r="C236" i="6"/>
  <c r="AC62" i="6"/>
  <c r="AD62" i="6" s="1"/>
  <c r="B172" i="6"/>
  <c r="F197" i="6"/>
  <c r="AC227" i="6"/>
  <c r="AD227" i="6" s="1"/>
  <c r="AC263" i="6"/>
  <c r="AD263" i="6" s="1"/>
  <c r="U267" i="6"/>
  <c r="W267" i="6"/>
  <c r="X267" i="6" s="1"/>
  <c r="C344" i="6"/>
  <c r="H344" i="6"/>
  <c r="I344" i="6" s="1"/>
  <c r="N344" i="6"/>
  <c r="O344" i="6" s="1"/>
  <c r="W171" i="6"/>
  <c r="X171" i="6" s="1"/>
  <c r="AC171" i="6"/>
  <c r="AD171" i="6" s="1"/>
  <c r="H182" i="6"/>
  <c r="I182" i="6" s="1"/>
  <c r="H196" i="6"/>
  <c r="I196" i="6" s="1"/>
  <c r="N218" i="6"/>
  <c r="O218" i="6" s="1"/>
  <c r="N236" i="6"/>
  <c r="O236" i="6" s="1"/>
  <c r="H263" i="6"/>
  <c r="I263" i="6" s="1"/>
  <c r="N263" i="6"/>
  <c r="O263" i="6" s="1"/>
  <c r="L124" i="6"/>
  <c r="K172" i="6"/>
  <c r="C171" i="6"/>
  <c r="R171" i="6"/>
  <c r="W218" i="6"/>
  <c r="X218" i="6" s="1"/>
  <c r="R218" i="6"/>
  <c r="C263" i="6"/>
  <c r="C122" i="6"/>
  <c r="H122" i="6"/>
  <c r="I122" i="6" s="1"/>
  <c r="Q172" i="6"/>
  <c r="AC124" i="6"/>
  <c r="AD124" i="6" s="1"/>
  <c r="W141" i="6"/>
  <c r="X141" i="6" s="1"/>
  <c r="AC141" i="6"/>
  <c r="AD141" i="6" s="1"/>
  <c r="AC170" i="6"/>
  <c r="AD170" i="6" s="1"/>
  <c r="W262" i="6"/>
  <c r="X262" i="6" s="1"/>
  <c r="AC262" i="6"/>
  <c r="AD262" i="6" s="1"/>
  <c r="H324" i="6"/>
  <c r="I324" i="6" s="1"/>
  <c r="C324" i="6"/>
  <c r="N324" i="6"/>
  <c r="O324" i="6" s="1"/>
  <c r="W197" i="6"/>
  <c r="X197" i="6" s="1"/>
  <c r="W209" i="6"/>
  <c r="X209" i="6" s="1"/>
  <c r="R273" i="6"/>
  <c r="AC273" i="6"/>
  <c r="AD273" i="6" s="1"/>
  <c r="W273" i="6"/>
  <c r="X273" i="6" s="1"/>
  <c r="H368" i="6"/>
  <c r="I368" i="6" s="1"/>
  <c r="N368" i="6"/>
  <c r="O368" i="6" s="1"/>
  <c r="C368" i="6"/>
  <c r="W343" i="6"/>
  <c r="X343" i="6" s="1"/>
  <c r="U343" i="6"/>
  <c r="F325" i="6"/>
  <c r="W368" i="6"/>
  <c r="X368" i="6" s="1"/>
  <c r="AC368" i="6"/>
  <c r="AD368" i="6" s="1"/>
  <c r="H148" i="6"/>
  <c r="I148" i="6" s="1"/>
  <c r="N149" i="6"/>
  <c r="O149" i="6" s="1"/>
  <c r="C262" i="6"/>
  <c r="H262" i="6"/>
  <c r="I262" i="6" s="1"/>
  <c r="R324" i="6"/>
  <c r="W324" i="6"/>
  <c r="X324" i="6" s="1"/>
  <c r="AC324" i="6"/>
  <c r="AD324" i="6" s="1"/>
  <c r="C343" i="6"/>
  <c r="H343" i="6"/>
  <c r="I343" i="6" s="1"/>
  <c r="R368" i="6"/>
  <c r="R325" i="6"/>
  <c r="W325" i="6"/>
  <c r="X325" i="6" s="1"/>
  <c r="AD438" i="6"/>
  <c r="AD434" i="6"/>
  <c r="AD426" i="6"/>
  <c r="AD422" i="6"/>
  <c r="AD418" i="6"/>
  <c r="AD414" i="6"/>
  <c r="AD410" i="6"/>
  <c r="AD402" i="6"/>
  <c r="AD382" i="6"/>
  <c r="AD351" i="6"/>
  <c r="AD332" i="6"/>
  <c r="AD328" i="6"/>
  <c r="W88" i="7"/>
  <c r="X88" i="7" s="1"/>
  <c r="R88" i="7"/>
  <c r="AC88" i="7"/>
  <c r="AD88" i="7" s="1"/>
  <c r="W218" i="7"/>
  <c r="X218" i="7" s="1"/>
  <c r="AC218" i="7"/>
  <c r="AD218" i="7" s="1"/>
  <c r="R218" i="7"/>
  <c r="R148" i="7"/>
  <c r="AC148" i="7"/>
  <c r="AD148" i="7" s="1"/>
  <c r="W148" i="7"/>
  <c r="X148" i="7" s="1"/>
  <c r="F393" i="6"/>
  <c r="H429" i="6"/>
  <c r="I429" i="6" s="1"/>
  <c r="N429" i="6"/>
  <c r="O429" i="6" s="1"/>
  <c r="AC18" i="7"/>
  <c r="AD18" i="7" s="1"/>
  <c r="U29" i="7"/>
  <c r="C429" i="6"/>
  <c r="N441" i="6"/>
  <c r="O441" i="6" s="1"/>
  <c r="C442" i="6"/>
  <c r="H442" i="6"/>
  <c r="I442" i="6" s="1"/>
  <c r="U40" i="7"/>
  <c r="AC196" i="6"/>
  <c r="AD196" i="6" s="1"/>
  <c r="N284" i="6"/>
  <c r="O284" i="6" s="1"/>
  <c r="AC325" i="6"/>
  <c r="AD325" i="6" s="1"/>
  <c r="AC393" i="6"/>
  <c r="AD393" i="6" s="1"/>
  <c r="W403" i="6"/>
  <c r="X403" i="6" s="1"/>
  <c r="AD413" i="6"/>
  <c r="X421" i="6"/>
  <c r="X423" i="6"/>
  <c r="U428" i="6"/>
  <c r="AC441" i="6"/>
  <c r="AD441" i="6" s="1"/>
  <c r="I437" i="6"/>
  <c r="I433" i="6"/>
  <c r="I425" i="6"/>
  <c r="I421" i="6"/>
  <c r="I417" i="6"/>
  <c r="I413" i="6"/>
  <c r="I409" i="6"/>
  <c r="I401" i="6"/>
  <c r="I381" i="6"/>
  <c r="I350" i="6"/>
  <c r="I331" i="6"/>
  <c r="H18" i="7"/>
  <c r="I18" i="7" s="1"/>
  <c r="R18" i="7"/>
  <c r="F40" i="7"/>
  <c r="AC284" i="6"/>
  <c r="AD284" i="6" s="1"/>
  <c r="W342" i="6"/>
  <c r="X342" i="6" s="1"/>
  <c r="AC342" i="6"/>
  <c r="AD342" i="6" s="1"/>
  <c r="R342" i="6"/>
  <c r="N358" i="6"/>
  <c r="O358" i="6" s="1"/>
  <c r="N393" i="6"/>
  <c r="O393" i="6" s="1"/>
  <c r="W396" i="6"/>
  <c r="X396" i="6" s="1"/>
  <c r="AC396" i="6"/>
  <c r="AD396" i="6" s="1"/>
  <c r="AD417" i="6"/>
  <c r="AD424" i="6"/>
  <c r="X436" i="6"/>
  <c r="N29" i="7"/>
  <c r="O29" i="7" s="1"/>
  <c r="AC267" i="6"/>
  <c r="AD267" i="6" s="1"/>
  <c r="H396" i="6"/>
  <c r="I396" i="6" s="1"/>
  <c r="N396" i="6"/>
  <c r="O396" i="6" s="1"/>
  <c r="AD432" i="6"/>
  <c r="X357" i="6"/>
  <c r="X349" i="6"/>
  <c r="X334" i="6"/>
  <c r="X290" i="6"/>
  <c r="X361" i="6"/>
  <c r="X318" i="6"/>
  <c r="X310" i="6"/>
  <c r="X302" i="6"/>
  <c r="B198" i="7"/>
  <c r="H172" i="7"/>
  <c r="I172" i="7" s="1"/>
  <c r="C172" i="7"/>
  <c r="I279" i="6"/>
  <c r="X299" i="6"/>
  <c r="AD300" i="6"/>
  <c r="X307" i="6"/>
  <c r="AD308" i="6"/>
  <c r="X315" i="6"/>
  <c r="AD316" i="6"/>
  <c r="X323" i="6"/>
  <c r="W344" i="6"/>
  <c r="X344" i="6" s="1"/>
  <c r="X366" i="6"/>
  <c r="AD367" i="6"/>
  <c r="I373" i="6"/>
  <c r="I391" i="6"/>
  <c r="W393" i="6"/>
  <c r="X393" i="6" s="1"/>
  <c r="X394" i="6"/>
  <c r="AD395" i="6"/>
  <c r="N428" i="6"/>
  <c r="O428" i="6" s="1"/>
  <c r="N40" i="7"/>
  <c r="O40" i="7" s="1"/>
  <c r="F61" i="7"/>
  <c r="U61" i="7"/>
  <c r="C62" i="7"/>
  <c r="R62" i="7"/>
  <c r="N141" i="7"/>
  <c r="O141" i="7" s="1"/>
  <c r="H141" i="7"/>
  <c r="I141" i="7" s="1"/>
  <c r="C141" i="7"/>
  <c r="H196" i="7"/>
  <c r="I196" i="7" s="1"/>
  <c r="N196" i="7"/>
  <c r="O196" i="7" s="1"/>
  <c r="C196" i="7"/>
  <c r="U73" i="7"/>
  <c r="H149" i="7"/>
  <c r="I149" i="7" s="1"/>
  <c r="N149" i="7"/>
  <c r="O149" i="7" s="1"/>
  <c r="C149" i="7"/>
  <c r="AD272" i="6"/>
  <c r="X287" i="6"/>
  <c r="AD288" i="6"/>
  <c r="X331" i="6"/>
  <c r="X340" i="6"/>
  <c r="AD341" i="6"/>
  <c r="X354" i="6"/>
  <c r="AD355" i="6"/>
  <c r="N61" i="7"/>
  <c r="O61" i="7" s="1"/>
  <c r="N62" i="7"/>
  <c r="O62" i="7" s="1"/>
  <c r="Z198" i="7"/>
  <c r="AA172" i="7"/>
  <c r="C197" i="7"/>
  <c r="H197" i="7"/>
  <c r="I197" i="7" s="1"/>
  <c r="N122" i="7"/>
  <c r="O122" i="7" s="1"/>
  <c r="H124" i="7"/>
  <c r="I124" i="7" s="1"/>
  <c r="N171" i="7"/>
  <c r="O171" i="7" s="1"/>
  <c r="H193" i="7"/>
  <c r="I193" i="7" s="1"/>
  <c r="N193" i="7"/>
  <c r="O193" i="7" s="1"/>
  <c r="W325" i="7"/>
  <c r="X325" i="7" s="1"/>
  <c r="R325" i="7"/>
  <c r="AC325" i="7"/>
  <c r="AD325" i="7" s="1"/>
  <c r="C122" i="7"/>
  <c r="AC122" i="7"/>
  <c r="AD122" i="7" s="1"/>
  <c r="C124" i="7"/>
  <c r="AC124" i="7"/>
  <c r="AD124" i="7" s="1"/>
  <c r="AC158" i="7"/>
  <c r="AD158" i="7" s="1"/>
  <c r="H170" i="7"/>
  <c r="I170" i="7" s="1"/>
  <c r="N170" i="7"/>
  <c r="O170" i="7" s="1"/>
  <c r="C170" i="7"/>
  <c r="C193" i="7"/>
  <c r="W209" i="7"/>
  <c r="X209" i="7" s="1"/>
  <c r="R209" i="7"/>
  <c r="AC209" i="7"/>
  <c r="AD209" i="7" s="1"/>
  <c r="E198" i="7"/>
  <c r="F172" i="7"/>
  <c r="W171" i="7"/>
  <c r="X171" i="7" s="1"/>
  <c r="U171" i="7"/>
  <c r="R122" i="7"/>
  <c r="F124" i="7"/>
  <c r="C209" i="7"/>
  <c r="H209" i="7"/>
  <c r="I209" i="7" s="1"/>
  <c r="AC295" i="6"/>
  <c r="AD295" i="6" s="1"/>
  <c r="N325" i="6"/>
  <c r="O325" i="6" s="1"/>
  <c r="AC343" i="6"/>
  <c r="AD343" i="6" s="1"/>
  <c r="AC358" i="6"/>
  <c r="AD358" i="6" s="1"/>
  <c r="H118" i="7"/>
  <c r="I118" i="7" s="1"/>
  <c r="AC166" i="7"/>
  <c r="AD166" i="7" s="1"/>
  <c r="Q172" i="7"/>
  <c r="N197" i="7"/>
  <c r="O197" i="7" s="1"/>
  <c r="K172" i="7"/>
  <c r="N172" i="7" s="1"/>
  <c r="O172" i="7" s="1"/>
  <c r="H166" i="7"/>
  <c r="I166" i="7" s="1"/>
  <c r="C166" i="7"/>
  <c r="W197" i="7"/>
  <c r="X197" i="7" s="1"/>
  <c r="R197" i="7"/>
  <c r="AC197" i="7"/>
  <c r="AD197" i="7" s="1"/>
  <c r="H158" i="7"/>
  <c r="I158" i="7" s="1"/>
  <c r="AC273" i="7"/>
  <c r="AD273" i="7" s="1"/>
  <c r="N295" i="7"/>
  <c r="O295" i="7" s="1"/>
  <c r="T172" i="7"/>
  <c r="H236" i="7"/>
  <c r="I236" i="7" s="1"/>
  <c r="N236" i="7"/>
  <c r="O236" i="7" s="1"/>
  <c r="W262" i="7"/>
  <c r="X262" i="7" s="1"/>
  <c r="R262" i="7"/>
  <c r="W324" i="7"/>
  <c r="X324" i="7" s="1"/>
  <c r="R324" i="7"/>
  <c r="H182" i="7"/>
  <c r="I182" i="7" s="1"/>
  <c r="C182" i="7"/>
  <c r="N182" i="7"/>
  <c r="O182" i="7" s="1"/>
  <c r="C236" i="7"/>
  <c r="R236" i="7"/>
  <c r="H262" i="7"/>
  <c r="I262" i="7" s="1"/>
  <c r="N342" i="7"/>
  <c r="O342" i="7" s="1"/>
  <c r="N368" i="7"/>
  <c r="O368" i="7" s="1"/>
  <c r="C393" i="7"/>
  <c r="N393" i="7"/>
  <c r="O393" i="7" s="1"/>
  <c r="H393" i="7"/>
  <c r="I393" i="7" s="1"/>
  <c r="H325" i="7"/>
  <c r="I325" i="7" s="1"/>
  <c r="C342" i="7"/>
  <c r="W343" i="7"/>
  <c r="X343" i="7" s="1"/>
  <c r="U343" i="7"/>
  <c r="AC193" i="7"/>
  <c r="AD193" i="7" s="1"/>
  <c r="AC267" i="7"/>
  <c r="AD267" i="7" s="1"/>
  <c r="W273" i="7"/>
  <c r="X273" i="7" s="1"/>
  <c r="H284" i="7"/>
  <c r="I284" i="7" s="1"/>
  <c r="AC284" i="7"/>
  <c r="AD284" i="7" s="1"/>
  <c r="AC263" i="7"/>
  <c r="AD263" i="7" s="1"/>
  <c r="R273" i="7"/>
  <c r="N343" i="7"/>
  <c r="O343" i="7" s="1"/>
  <c r="AC344" i="7"/>
  <c r="AD344" i="7" s="1"/>
  <c r="N284" i="7"/>
  <c r="O284" i="7" s="1"/>
  <c r="W295" i="7"/>
  <c r="X295" i="7" s="1"/>
  <c r="H441" i="7"/>
  <c r="I441" i="7" s="1"/>
  <c r="C441" i="7"/>
  <c r="W429" i="7"/>
  <c r="X429" i="7" s="1"/>
  <c r="R429" i="7"/>
  <c r="N441" i="7"/>
  <c r="O441" i="7" s="1"/>
  <c r="AC342" i="7"/>
  <c r="AD342" i="7" s="1"/>
  <c r="AC295" i="7"/>
  <c r="AD295" i="7" s="1"/>
  <c r="H324" i="7"/>
  <c r="I324" i="7" s="1"/>
  <c r="N325" i="7"/>
  <c r="O325" i="7" s="1"/>
  <c r="W342" i="7"/>
  <c r="X342" i="7" s="1"/>
  <c r="W344" i="7"/>
  <c r="X344" i="7" s="1"/>
  <c r="AC358" i="7"/>
  <c r="AD358" i="7" s="1"/>
  <c r="W368" i="7"/>
  <c r="X368" i="7" s="1"/>
  <c r="W393" i="7"/>
  <c r="X393" i="7" s="1"/>
  <c r="W396" i="7"/>
  <c r="X396" i="7" s="1"/>
  <c r="W403" i="7"/>
  <c r="X403" i="7" s="1"/>
  <c r="H429" i="7"/>
  <c r="I429" i="7" s="1"/>
  <c r="AC441" i="7"/>
  <c r="AD441" i="7" s="1"/>
  <c r="W442" i="7"/>
  <c r="X442" i="7" s="1"/>
  <c r="N396" i="7"/>
  <c r="O396" i="7" s="1"/>
  <c r="N403" i="7"/>
  <c r="O403" i="7" s="1"/>
  <c r="AC428" i="7"/>
  <c r="AD428" i="7" s="1"/>
  <c r="N442" i="7"/>
  <c r="O442" i="7" s="1"/>
  <c r="F428" i="7"/>
  <c r="U441" i="7"/>
  <c r="AC393" i="7"/>
  <c r="AD393" i="7" s="1"/>
  <c r="AC396" i="7"/>
  <c r="AD396" i="7" s="1"/>
  <c r="AC403" i="7"/>
  <c r="AD403" i="7" s="1"/>
  <c r="N429" i="7"/>
  <c r="O429" i="7" s="1"/>
  <c r="AC442" i="7"/>
  <c r="AD442" i="7" s="1"/>
  <c r="F172" i="4" l="1"/>
  <c r="E198" i="4"/>
  <c r="Z198" i="4"/>
  <c r="AA172" i="4"/>
  <c r="AA198" i="3"/>
  <c r="Z345" i="3"/>
  <c r="Q198" i="5"/>
  <c r="W172" i="5"/>
  <c r="X172" i="5" s="1"/>
  <c r="AC172" i="5"/>
  <c r="AD172" i="5" s="1"/>
  <c r="R172" i="5"/>
  <c r="Q198" i="4"/>
  <c r="W172" i="4"/>
  <c r="X172" i="4" s="1"/>
  <c r="R172" i="4"/>
  <c r="AC172" i="4"/>
  <c r="AD172" i="4" s="1"/>
  <c r="R172" i="2"/>
  <c r="AC172" i="2"/>
  <c r="AD172" i="2" s="1"/>
  <c r="Q198" i="2"/>
  <c r="W172" i="2"/>
  <c r="X172" i="2" s="1"/>
  <c r="B345" i="7"/>
  <c r="H198" i="7"/>
  <c r="I198" i="7" s="1"/>
  <c r="C198" i="7"/>
  <c r="E198" i="6"/>
  <c r="F172" i="6"/>
  <c r="E443" i="5"/>
  <c r="F443" i="5" s="1"/>
  <c r="F404" i="5"/>
  <c r="K345" i="3"/>
  <c r="L198" i="3"/>
  <c r="U172" i="3"/>
  <c r="T198" i="3"/>
  <c r="C198" i="3"/>
  <c r="B345" i="3"/>
  <c r="N198" i="3"/>
  <c r="O198" i="3" s="1"/>
  <c r="H198" i="3"/>
  <c r="I198" i="3" s="1"/>
  <c r="U345" i="1"/>
  <c r="T404" i="1"/>
  <c r="Z198" i="2"/>
  <c r="AA172" i="2"/>
  <c r="N172" i="1"/>
  <c r="O172" i="1" s="1"/>
  <c r="B198" i="1"/>
  <c r="C172" i="1"/>
  <c r="H172" i="1"/>
  <c r="I172" i="1" s="1"/>
  <c r="F198" i="3"/>
  <c r="E345" i="3"/>
  <c r="B198" i="2"/>
  <c r="C172" i="2"/>
  <c r="H172" i="2"/>
  <c r="I172" i="2" s="1"/>
  <c r="N172" i="2"/>
  <c r="O172" i="2" s="1"/>
  <c r="U172" i="2"/>
  <c r="T198" i="2"/>
  <c r="T345" i="5"/>
  <c r="U198" i="5"/>
  <c r="K198" i="7"/>
  <c r="L172" i="7"/>
  <c r="E345" i="7"/>
  <c r="F198" i="7"/>
  <c r="Z345" i="7"/>
  <c r="AA198" i="7"/>
  <c r="Q198" i="6"/>
  <c r="AC172" i="6"/>
  <c r="AD172" i="6" s="1"/>
  <c r="W172" i="6"/>
  <c r="X172" i="6" s="1"/>
  <c r="R172" i="6"/>
  <c r="K198" i="6"/>
  <c r="L172" i="6"/>
  <c r="F172" i="2"/>
  <c r="E198" i="2"/>
  <c r="L172" i="2"/>
  <c r="K198" i="2"/>
  <c r="K345" i="5"/>
  <c r="L198" i="5"/>
  <c r="U172" i="7"/>
  <c r="T198" i="7"/>
  <c r="Q198" i="7"/>
  <c r="W172" i="7"/>
  <c r="X172" i="7" s="1"/>
  <c r="R172" i="7"/>
  <c r="AC172" i="7"/>
  <c r="AD172" i="7" s="1"/>
  <c r="C172" i="6"/>
  <c r="N172" i="6"/>
  <c r="O172" i="6" s="1"/>
  <c r="H172" i="6"/>
  <c r="I172" i="6" s="1"/>
  <c r="B198" i="6"/>
  <c r="B198" i="5"/>
  <c r="H172" i="5"/>
  <c r="I172" i="5" s="1"/>
  <c r="N172" i="5"/>
  <c r="O172" i="5" s="1"/>
  <c r="C172" i="5"/>
  <c r="AA345" i="5"/>
  <c r="Z404" i="5"/>
  <c r="L172" i="4"/>
  <c r="K198" i="4"/>
  <c r="U198" i="4"/>
  <c r="T345" i="4"/>
  <c r="E198" i="1"/>
  <c r="F172" i="1"/>
  <c r="W172" i="1"/>
  <c r="X172" i="1" s="1"/>
  <c r="AC172" i="1"/>
  <c r="AD172" i="1" s="1"/>
  <c r="R172" i="1"/>
  <c r="Q198" i="1"/>
  <c r="Z345" i="6"/>
  <c r="AA198" i="6"/>
  <c r="T198" i="6"/>
  <c r="U172" i="6"/>
  <c r="B198" i="4"/>
  <c r="H172" i="4"/>
  <c r="I172" i="4" s="1"/>
  <c r="C172" i="4"/>
  <c r="N172" i="4"/>
  <c r="O172" i="4" s="1"/>
  <c r="Q198" i="3"/>
  <c r="R172" i="3"/>
  <c r="W172" i="3"/>
  <c r="X172" i="3" s="1"/>
  <c r="AC172" i="3"/>
  <c r="AD172" i="3" s="1"/>
  <c r="K345" i="4" l="1"/>
  <c r="L198" i="4"/>
  <c r="H198" i="1"/>
  <c r="I198" i="1" s="1"/>
  <c r="B345" i="1"/>
  <c r="N198" i="1"/>
  <c r="O198" i="1" s="1"/>
  <c r="C198" i="1"/>
  <c r="C345" i="3"/>
  <c r="N345" i="3"/>
  <c r="O345" i="3" s="1"/>
  <c r="B404" i="3"/>
  <c r="H345" i="3"/>
  <c r="I345" i="3" s="1"/>
  <c r="B345" i="6"/>
  <c r="N198" i="6"/>
  <c r="O198" i="6" s="1"/>
  <c r="H198" i="6"/>
  <c r="I198" i="6" s="1"/>
  <c r="C198" i="6"/>
  <c r="T345" i="7"/>
  <c r="U198" i="7"/>
  <c r="K345" i="6"/>
  <c r="L198" i="6"/>
  <c r="E404" i="7"/>
  <c r="F345" i="7"/>
  <c r="E345" i="6"/>
  <c r="F198" i="6"/>
  <c r="Q345" i="5"/>
  <c r="AC198" i="5"/>
  <c r="AD198" i="5" s="1"/>
  <c r="W198" i="5"/>
  <c r="X198" i="5" s="1"/>
  <c r="R198" i="5"/>
  <c r="U198" i="3"/>
  <c r="T345" i="3"/>
  <c r="AA345" i="3"/>
  <c r="Z404" i="3"/>
  <c r="C198" i="2"/>
  <c r="B345" i="2"/>
  <c r="N198" i="2"/>
  <c r="O198" i="2" s="1"/>
  <c r="H198" i="2"/>
  <c r="I198" i="2" s="1"/>
  <c r="W198" i="1"/>
  <c r="X198" i="1" s="1"/>
  <c r="R198" i="1"/>
  <c r="Q345" i="1"/>
  <c r="AC198" i="1"/>
  <c r="AD198" i="1" s="1"/>
  <c r="K345" i="7"/>
  <c r="L198" i="7"/>
  <c r="L198" i="2"/>
  <c r="K345" i="2"/>
  <c r="F345" i="3"/>
  <c r="E404" i="3"/>
  <c r="U404" i="1"/>
  <c r="T443" i="1"/>
  <c r="U443" i="1" s="1"/>
  <c r="N198" i="7"/>
  <c r="O198" i="7" s="1"/>
  <c r="T345" i="6"/>
  <c r="U198" i="6"/>
  <c r="Z345" i="4"/>
  <c r="AA198" i="4"/>
  <c r="AA404" i="5"/>
  <c r="Z443" i="5"/>
  <c r="AA443" i="5" s="1"/>
  <c r="AA198" i="2"/>
  <c r="Z345" i="2"/>
  <c r="E345" i="1"/>
  <c r="F198" i="1"/>
  <c r="Q345" i="6"/>
  <c r="AC198" i="6"/>
  <c r="AD198" i="6" s="1"/>
  <c r="W198" i="6"/>
  <c r="X198" i="6" s="1"/>
  <c r="R198" i="6"/>
  <c r="T404" i="5"/>
  <c r="U345" i="5"/>
  <c r="K404" i="3"/>
  <c r="L345" i="3"/>
  <c r="B404" i="7"/>
  <c r="H345" i="7"/>
  <c r="I345" i="7" s="1"/>
  <c r="C345" i="7"/>
  <c r="N345" i="7"/>
  <c r="O345" i="7" s="1"/>
  <c r="AC198" i="4"/>
  <c r="AD198" i="4" s="1"/>
  <c r="Q345" i="4"/>
  <c r="W198" i="4"/>
  <c r="X198" i="4" s="1"/>
  <c r="R198" i="4"/>
  <c r="U345" i="4"/>
  <c r="T404" i="4"/>
  <c r="F198" i="2"/>
  <c r="E345" i="2"/>
  <c r="T345" i="2"/>
  <c r="U198" i="2"/>
  <c r="E345" i="4"/>
  <c r="F198" i="4"/>
  <c r="B345" i="4"/>
  <c r="C198" i="4"/>
  <c r="N198" i="4"/>
  <c r="O198" i="4" s="1"/>
  <c r="H198" i="4"/>
  <c r="I198" i="4" s="1"/>
  <c r="K404" i="5"/>
  <c r="L345" i="5"/>
  <c r="R198" i="3"/>
  <c r="Q345" i="3"/>
  <c r="AC198" i="3"/>
  <c r="AD198" i="3" s="1"/>
  <c r="W198" i="3"/>
  <c r="X198" i="3" s="1"/>
  <c r="Z404" i="6"/>
  <c r="AA345" i="6"/>
  <c r="B345" i="5"/>
  <c r="N198" i="5"/>
  <c r="O198" i="5" s="1"/>
  <c r="H198" i="5"/>
  <c r="I198" i="5" s="1"/>
  <c r="C198" i="5"/>
  <c r="Q345" i="7"/>
  <c r="AC198" i="7"/>
  <c r="AD198" i="7" s="1"/>
  <c r="R198" i="7"/>
  <c r="W198" i="7"/>
  <c r="X198" i="7" s="1"/>
  <c r="AA345" i="7"/>
  <c r="Z404" i="7"/>
  <c r="R198" i="2"/>
  <c r="Q345" i="2"/>
  <c r="AC198" i="2"/>
  <c r="AD198" i="2" s="1"/>
  <c r="W198" i="2"/>
  <c r="X198" i="2" s="1"/>
  <c r="E404" i="4" l="1"/>
  <c r="F345" i="4"/>
  <c r="K443" i="3"/>
  <c r="L443" i="3" s="1"/>
  <c r="L404" i="3"/>
  <c r="E404" i="1"/>
  <c r="F345" i="1"/>
  <c r="U345" i="6"/>
  <c r="T404" i="6"/>
  <c r="C345" i="2"/>
  <c r="N345" i="2"/>
  <c r="O345" i="2" s="1"/>
  <c r="B404" i="2"/>
  <c r="H345" i="2"/>
  <c r="I345" i="2" s="1"/>
  <c r="W345" i="4"/>
  <c r="X345" i="4" s="1"/>
  <c r="Q404" i="4"/>
  <c r="R345" i="4"/>
  <c r="AC345" i="4"/>
  <c r="AD345" i="4" s="1"/>
  <c r="AA345" i="2"/>
  <c r="Z404" i="2"/>
  <c r="L345" i="7"/>
  <c r="K404" i="7"/>
  <c r="Q404" i="5"/>
  <c r="AC345" i="5"/>
  <c r="AD345" i="5" s="1"/>
  <c r="R345" i="5"/>
  <c r="W345" i="5"/>
  <c r="X345" i="5" s="1"/>
  <c r="T404" i="7"/>
  <c r="U345" i="7"/>
  <c r="AA404" i="6"/>
  <c r="Z443" i="6"/>
  <c r="AA443" i="6" s="1"/>
  <c r="AA404" i="7"/>
  <c r="Z443" i="7"/>
  <c r="AA443" i="7" s="1"/>
  <c r="C345" i="5"/>
  <c r="N345" i="5"/>
  <c r="O345" i="5" s="1"/>
  <c r="B404" i="5"/>
  <c r="H345" i="5"/>
  <c r="I345" i="5" s="1"/>
  <c r="K443" i="5"/>
  <c r="L443" i="5" s="1"/>
  <c r="L404" i="5"/>
  <c r="U345" i="2"/>
  <c r="T404" i="2"/>
  <c r="U404" i="5"/>
  <c r="T443" i="5"/>
  <c r="U443" i="5" s="1"/>
  <c r="AA404" i="3"/>
  <c r="Z443" i="3"/>
  <c r="AA443" i="3" s="1"/>
  <c r="E404" i="2"/>
  <c r="F345" i="2"/>
  <c r="W345" i="1"/>
  <c r="X345" i="1" s="1"/>
  <c r="AC345" i="1"/>
  <c r="AD345" i="1" s="1"/>
  <c r="Q404" i="1"/>
  <c r="R345" i="1"/>
  <c r="F345" i="6"/>
  <c r="E404" i="6"/>
  <c r="F404" i="3"/>
  <c r="E443" i="3"/>
  <c r="F443" i="3" s="1"/>
  <c r="U345" i="3"/>
  <c r="T404" i="3"/>
  <c r="H345" i="1"/>
  <c r="I345" i="1" s="1"/>
  <c r="B404" i="1"/>
  <c r="N345" i="1"/>
  <c r="O345" i="1" s="1"/>
  <c r="C345" i="1"/>
  <c r="F404" i="7"/>
  <c r="E443" i="7"/>
  <c r="F443" i="7" s="1"/>
  <c r="N345" i="6"/>
  <c r="O345" i="6" s="1"/>
  <c r="B404" i="6"/>
  <c r="H345" i="6"/>
  <c r="I345" i="6" s="1"/>
  <c r="C345" i="6"/>
  <c r="U404" i="4"/>
  <c r="T443" i="4"/>
  <c r="U443" i="4" s="1"/>
  <c r="W345" i="7"/>
  <c r="X345" i="7" s="1"/>
  <c r="Q404" i="7"/>
  <c r="AC345" i="7"/>
  <c r="AD345" i="7" s="1"/>
  <c r="R345" i="7"/>
  <c r="H345" i="4"/>
  <c r="I345" i="4" s="1"/>
  <c r="B404" i="4"/>
  <c r="N345" i="4"/>
  <c r="O345" i="4" s="1"/>
  <c r="C345" i="4"/>
  <c r="H404" i="7"/>
  <c r="I404" i="7" s="1"/>
  <c r="C404" i="7"/>
  <c r="B443" i="7"/>
  <c r="N404" i="7"/>
  <c r="O404" i="7" s="1"/>
  <c r="R345" i="6"/>
  <c r="Q404" i="6"/>
  <c r="AC345" i="6"/>
  <c r="AD345" i="6" s="1"/>
  <c r="W345" i="6"/>
  <c r="X345" i="6" s="1"/>
  <c r="Z404" i="4"/>
  <c r="AA345" i="4"/>
  <c r="K404" i="2"/>
  <c r="L345" i="2"/>
  <c r="W345" i="2"/>
  <c r="X345" i="2" s="1"/>
  <c r="Q404" i="2"/>
  <c r="R345" i="2"/>
  <c r="AC345" i="2"/>
  <c r="AD345" i="2" s="1"/>
  <c r="Q404" i="3"/>
  <c r="R345" i="3"/>
  <c r="AC345" i="3"/>
  <c r="AD345" i="3" s="1"/>
  <c r="W345" i="3"/>
  <c r="X345" i="3" s="1"/>
  <c r="K404" i="6"/>
  <c r="L345" i="6"/>
  <c r="C404" i="3"/>
  <c r="N404" i="3"/>
  <c r="O404" i="3" s="1"/>
  <c r="B443" i="3"/>
  <c r="H404" i="3"/>
  <c r="I404" i="3" s="1"/>
  <c r="K404" i="4"/>
  <c r="L345" i="4"/>
  <c r="R404" i="3" l="1"/>
  <c r="Q443" i="3"/>
  <c r="AC404" i="3"/>
  <c r="AD404" i="3" s="1"/>
  <c r="W404" i="3"/>
  <c r="X404" i="3" s="1"/>
  <c r="H404" i="1"/>
  <c r="I404" i="1" s="1"/>
  <c r="C404" i="1"/>
  <c r="B443" i="1"/>
  <c r="N404" i="1"/>
  <c r="O404" i="1" s="1"/>
  <c r="U404" i="6"/>
  <c r="T443" i="6"/>
  <c r="U443" i="6" s="1"/>
  <c r="W404" i="7"/>
  <c r="X404" i="7" s="1"/>
  <c r="R404" i="7"/>
  <c r="Q443" i="7"/>
  <c r="AC404" i="7"/>
  <c r="AD404" i="7" s="1"/>
  <c r="F404" i="2"/>
  <c r="E443" i="2"/>
  <c r="F443" i="2" s="1"/>
  <c r="R404" i="2"/>
  <c r="AC404" i="2"/>
  <c r="AD404" i="2" s="1"/>
  <c r="W404" i="2"/>
  <c r="X404" i="2" s="1"/>
  <c r="Q443" i="2"/>
  <c r="R404" i="6"/>
  <c r="Q443" i="6"/>
  <c r="AC404" i="6"/>
  <c r="AD404" i="6" s="1"/>
  <c r="W404" i="6"/>
  <c r="X404" i="6" s="1"/>
  <c r="H404" i="4"/>
  <c r="I404" i="4" s="1"/>
  <c r="B443" i="4"/>
  <c r="N404" i="4"/>
  <c r="O404" i="4" s="1"/>
  <c r="C404" i="4"/>
  <c r="K443" i="6"/>
  <c r="L443" i="6" s="1"/>
  <c r="L404" i="6"/>
  <c r="Q443" i="1"/>
  <c r="W404" i="1"/>
  <c r="X404" i="1" s="1"/>
  <c r="AC404" i="1"/>
  <c r="AD404" i="1" s="1"/>
  <c r="R404" i="1"/>
  <c r="U404" i="2"/>
  <c r="T443" i="2"/>
  <c r="U443" i="2" s="1"/>
  <c r="W404" i="4"/>
  <c r="X404" i="4" s="1"/>
  <c r="Q443" i="4"/>
  <c r="AC404" i="4"/>
  <c r="AD404" i="4" s="1"/>
  <c r="R404" i="4"/>
  <c r="W404" i="5"/>
  <c r="X404" i="5" s="1"/>
  <c r="R404" i="5"/>
  <c r="Q443" i="5"/>
  <c r="AC404" i="5"/>
  <c r="AD404" i="5" s="1"/>
  <c r="F404" i="1"/>
  <c r="E443" i="1"/>
  <c r="F443" i="1" s="1"/>
  <c r="H404" i="6"/>
  <c r="I404" i="6" s="1"/>
  <c r="C404" i="6"/>
  <c r="B443" i="6"/>
  <c r="N404" i="6"/>
  <c r="O404" i="6" s="1"/>
  <c r="U404" i="3"/>
  <c r="T443" i="3"/>
  <c r="U443" i="3" s="1"/>
  <c r="L404" i="7"/>
  <c r="K443" i="7"/>
  <c r="L443" i="7" s="1"/>
  <c r="K443" i="4"/>
  <c r="L443" i="4" s="1"/>
  <c r="L404" i="4"/>
  <c r="L404" i="2"/>
  <c r="K443" i="2"/>
  <c r="L443" i="2" s="1"/>
  <c r="C404" i="2"/>
  <c r="B443" i="2"/>
  <c r="H404" i="2"/>
  <c r="I404" i="2" s="1"/>
  <c r="N404" i="2"/>
  <c r="O404" i="2" s="1"/>
  <c r="C443" i="3"/>
  <c r="H443" i="3"/>
  <c r="I443" i="3" s="1"/>
  <c r="N443" i="3"/>
  <c r="O443" i="3" s="1"/>
  <c r="F404" i="6"/>
  <c r="E443" i="6"/>
  <c r="F443" i="6" s="1"/>
  <c r="AA404" i="2"/>
  <c r="Z443" i="2"/>
  <c r="AA443" i="2" s="1"/>
  <c r="H443" i="7"/>
  <c r="I443" i="7" s="1"/>
  <c r="C443" i="7"/>
  <c r="N443" i="7"/>
  <c r="O443" i="7" s="1"/>
  <c r="Z443" i="4"/>
  <c r="AA443" i="4" s="1"/>
  <c r="AA404" i="4"/>
  <c r="C404" i="5"/>
  <c r="H404" i="5"/>
  <c r="I404" i="5" s="1"/>
  <c r="B443" i="5"/>
  <c r="N404" i="5"/>
  <c r="O404" i="5" s="1"/>
  <c r="U404" i="7"/>
  <c r="T443" i="7"/>
  <c r="U443" i="7" s="1"/>
  <c r="E443" i="4"/>
  <c r="F443" i="4" s="1"/>
  <c r="F404" i="4"/>
  <c r="W443" i="1" l="1"/>
  <c r="X443" i="1" s="1"/>
  <c r="R443" i="1"/>
  <c r="AC443" i="1"/>
  <c r="AD443" i="1" s="1"/>
  <c r="C443" i="1"/>
  <c r="N443" i="1"/>
  <c r="O443" i="1" s="1"/>
  <c r="H443" i="1"/>
  <c r="I443" i="1" s="1"/>
  <c r="W443" i="4"/>
  <c r="X443" i="4" s="1"/>
  <c r="AC443" i="4"/>
  <c r="AD443" i="4" s="1"/>
  <c r="R443" i="4"/>
  <c r="R443" i="6"/>
  <c r="AC443" i="6"/>
  <c r="AD443" i="6" s="1"/>
  <c r="W443" i="6"/>
  <c r="X443" i="6" s="1"/>
  <c r="W443" i="7"/>
  <c r="X443" i="7" s="1"/>
  <c r="R443" i="7"/>
  <c r="AC443" i="7"/>
  <c r="AD443" i="7" s="1"/>
  <c r="C443" i="2"/>
  <c r="N443" i="2"/>
  <c r="O443" i="2" s="1"/>
  <c r="H443" i="2"/>
  <c r="I443" i="2" s="1"/>
  <c r="R443" i="2"/>
  <c r="AC443" i="2"/>
  <c r="AD443" i="2" s="1"/>
  <c r="W443" i="2"/>
  <c r="X443" i="2" s="1"/>
  <c r="C443" i="5"/>
  <c r="H443" i="5"/>
  <c r="I443" i="5" s="1"/>
  <c r="N443" i="5"/>
  <c r="O443" i="5" s="1"/>
  <c r="W443" i="5"/>
  <c r="X443" i="5" s="1"/>
  <c r="R443" i="5"/>
  <c r="AC443" i="5"/>
  <c r="AD443" i="5" s="1"/>
  <c r="H443" i="4"/>
  <c r="I443" i="4" s="1"/>
  <c r="N443" i="4"/>
  <c r="O443" i="4" s="1"/>
  <c r="C443" i="4"/>
  <c r="R443" i="3"/>
  <c r="AC443" i="3"/>
  <c r="AD443" i="3" s="1"/>
  <c r="W443" i="3"/>
  <c r="X443" i="3" s="1"/>
  <c r="H443" i="6"/>
  <c r="I443" i="6" s="1"/>
  <c r="N443" i="6"/>
  <c r="O443" i="6" s="1"/>
  <c r="C443" i="6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<sst xmlns="http://schemas.openxmlformats.org/spreadsheetml/2006/main" count="3934" uniqueCount="417">
  <si>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</si>
  <si>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07/27/2025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</si>
  <si>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</si>
  <si>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</si>
  <si>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</si>
  <si>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</si>
  <si>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</si>
  <si>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</si>
  <si>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</si>
  <si>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</si>
  <si>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</si>
  <si>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</si>
  <si>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</si>
  <si>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</si>
  <si>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</si>
  <si>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</si>
  <si>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</si>
  <si>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</si>
  <si>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</si>
  <si>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</si>
  <si>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</si>
  <si>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</si>
  <si>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</si>
  <si>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</si>
  <si>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</si>
  <si>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</si>
  <si>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</si>
  <si>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</si>
  <si>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</si>
  <si>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</si>
  <si>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</si>
  <si>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</si>
  <si>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</si>
  <si>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</si>
  <si>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</si>
  <si>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</si>
  <si>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</si>
  <si>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</si>
  <si>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</si>
  <si>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</si>
  <si>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</si>
  <si>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</si>
  <si>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</si>
  <si>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</si>
  <si>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</si>
  <si>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</si>
  <si>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</si>
  <si>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</si>
  <si>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</si>
  <si>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</si>
  <si>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</si>
  <si>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</si>
  <si>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</si>
  <si>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</si>
  <si>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</si>
  <si>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</si>
  <si>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</si>
  <si>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</si>
  <si>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</si>
  <si>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</si>
  <si>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</si>
  <si>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</si>
  <si>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</si>
  <si>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</si>
  <si>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</si>
  <si>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</si>
  <si>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</si>
  <si>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</si>
  <si>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</si>
  <si>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</si>
  <si>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</si>
  <si>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</si>
  <si>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</si>
  <si>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</si>
  <si>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</si>
  <si>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</si>
  <si>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</si>
  <si>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</si>
  <si>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</si>
  <si>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</si>
  <si>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</si>
  <si>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</si>
  <si>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</si>
  <si>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</si>
  <si>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</si>
  <si>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</si>
  <si>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</si>
  <si>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</si>
  <si>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</si>
  <si>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</si>
  <si>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</si>
  <si>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</si>
  <si>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</si>
  <si>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</si>
  <si>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</si>
  <si>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</si>
  <si>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</si>
  <si>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</si>
  <si>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</si>
  <si>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</si>
  <si>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</si>
  <si>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</si>
  <si>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</si>
  <si>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</si>
  <si>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</si>
  <si>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</si>
  <si>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</si>
  <si>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</si>
  <si>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</si>
  <si>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</si>
  <si>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</si>
  <si>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</si>
  <si>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</si>
  <si>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</si>
  <si>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</si>
  <si>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</si>
  <si>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</si>
  <si>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</si>
  <si>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</si>
  <si>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</si>
  <si>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</si>
  <si>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</si>
  <si>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</si>
  <si>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</si>
  <si>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</si>
  <si>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</si>
  <si>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</si>
  <si>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</si>
  <si>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</si>
  <si>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</si>
  <si>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</si>
  <si>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</si>
  <si>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</si>
  <si>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</si>
  <si>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</si>
  <si>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</si>
  <si>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</si>
  <si>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</si>
  <si>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</si>
  <si>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</si>
  <si>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</si>
  <si>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</si>
  <si>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</si>
  <si>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</si>
  <si>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</si>
  <si>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</si>
  <si>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</si>
  <si>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</si>
  <si>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</si>
  <si>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</si>
  <si>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</si>
  <si>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</si>
  <si>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</si>
  <si>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</si>
  <si>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</si>
  <si>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</si>
  <si>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</si>
  <si>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</si>
  <si>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</si>
  <si>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</si>
  <si>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</si>
  <si>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</si>
  <si>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</si>
  <si>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</si>
  <si>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</si>
  <si>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</si>
  <si>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</si>
  <si>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</si>
  <si>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</si>
  <si>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</si>
  <si>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</si>
  <si>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</si>
  <si>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</si>
  <si>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</si>
  <si>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</si>
  <si>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</si>
  <si>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</si>
  <si>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</si>
  <si>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</si>
  <si>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</si>
  <si>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</si>
  <si>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</si>
  <si>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</si>
  <si>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</si>
  <si>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</si>
  <si>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</si>
  <si>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</si>
  <si>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</si>
  <si>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</si>
  <si>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</si>
  <si>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</si>
  <si>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</si>
  <si>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</si>
  <si>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</si>
  <si>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</si>
  <si>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</si>
  <si>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</si>
  <si>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</si>
  <si>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</si>
  <si>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</si>
  <si>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</si>
  <si>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</si>
  <si>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</si>
  <si>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</si>
  <si>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</si>
  <si>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</si>
  <si>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</si>
  <si>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</si>
  <si>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</si>
  <si>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</si>
  <si>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</si>
  <si>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</si>
  <si>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</si>
  <si>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</si>
  <si>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</si>
  <si>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</si>
  <si>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</si>
  <si>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</si>
  <si>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</si>
  <si>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</si>
  <si>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</si>
  <si>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</si>
  <si>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</si>
  <si>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</si>
  <si>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</si>
  <si>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</si>
  <si>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</si>
  <si>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</si>
  <si>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</si>
  <si>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</si>
  <si>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</si>
  <si>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</si>
  <si>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</si>
  <si>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</si>
  <si>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</si>
  <si>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</si>
  <si>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</si>
  <si>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</si>
  <si>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</si>
  <si>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</si>
  <si>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</si>
  <si>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</si>
  <si>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</si>
  <si>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</si>
  <si>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</si>
  <si>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</si>
  <si>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</si>
  <si>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</si>
  <si>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</si>
  <si>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</si>
  <si>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</si>
  <si>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</si>
  <si>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</si>
  <si>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</si>
  <si>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</si>
  <si>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</si>
  <si>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</si>
  <si>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</si>
  <si>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</si>
  <si>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</si>
  <si>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</si>
  <si>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</si>
  <si>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</si>
  <si>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</si>
  <si>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</si>
  <si>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</si>
  <si>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</si>
  <si>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</si>
  <si>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</si>
  <si>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</si>
  <si>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</si>
  <si>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</si>
  <si>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</si>
  <si>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</si>
  <si>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</si>
  <si>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</si>
  <si>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</si>
  <si>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</si>
  <si>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</si>
  <si>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</si>
  <si>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</si>
  <si>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</si>
  <si>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</si>
  <si>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</si>
  <si>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</si>
  <si>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</si>
  <si>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</si>
  <si>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</si>
  <si>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</si>
  <si>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</si>
  <si>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</si>
  <si>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</si>
  <si>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</si>
  <si>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</si>
  <si>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</si>
  <si>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</si>
  <si>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</si>
  <si>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</si>
  <si>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</si>
  <si>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</si>
  <si>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</si>
  <si>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</si>
  <si>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</si>
  <si>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</si>
  <si>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</si>
  <si>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</si>
  <si>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</si>
  <si>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</si>
  <si>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</si>
  <si>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</si>
  <si>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</si>
  <si>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</si>
  <si>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</si>
  <si>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</si>
  <si>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</si>
  <si>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</si>
  <si>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</si>
  <si>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</si>
  <si>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</si>
  <si>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</si>
  <si>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</si>
  <si>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</si>
  <si>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</si>
  <si>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</si>
  <si>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</si>
  <si>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</si>
  <si>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</si>
  <si>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</si>
  <si>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</si>
  <si>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</si>
  <si>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</si>
  <si>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</si>
  <si>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</si>
  <si>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</si>
  <si>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</si>
  <si>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</si>
  <si>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</si>
  <si>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</si>
  <si>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</si>
  <si>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</si>
  <si>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</si>
  <si>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</si>
  <si>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</si>
  <si>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</si>
  <si>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</si>
  <si>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</si>
  <si>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</si>
  <si>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</si>
  <si>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</si>
  <si>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</si>
  <si>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</si>
  <si>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</si>
  <si>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</si>
  <si>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</si>
  <si>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</si>
  <si>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</si>
  <si>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</si>
  <si>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</si>
  <si>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</si>
  <si>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</si>
  <si>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</si>
  <si>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</si>
  <si>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</si>
  <si>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</si>
  <si>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</si>
  <si>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</si>
  <si>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</si>
  <si>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</si>
  <si>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</si>
  <si>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</si>
  <si>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</si>
  <si>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</si>
  <si>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</si>
  <si>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</si>
  <si>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</si>
  <si>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</si>
  <si>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</si>
  <si>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</si>
  <si>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</si>
  <si>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</si>
  <si>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</si>
  <si>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</si>
  <si>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</si>
  <si>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</si>
  <si>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</si>
  <si>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</si>
  <si>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</si>
  <si>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</si>
  <si>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</si>
  <si>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</si>
  <si>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</si>
  <si>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</si>
  <si>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</si>
  <si>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</si>
  <si>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</si>
  <si>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</si>
  <si>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</si>
  <si>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</si>
  <si>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</si>
  <si>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</si>
  <si>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</si>
  <si>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</si>
  <si>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</si>
  <si>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</si>
  <si>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</si>
  <si>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</si>
  <si>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</si>
  <si>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</si>
  <si>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</si>
  <si>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</si>
  <si>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06:55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</si>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</sst>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259842.06999999998</v>
      </c>
      <c r="F10" s="8">
        <f>IFERROR(E10/E444, "NA")</f>
        <v>0.46261266969643738</v>
      </c>
      <c r="G10" s="9"/>
      <c r="H10" s="10">
        <f t="shared" ref="H10:H19" si="0">IFERROR(B10-E10, "NA")</f>
        <v>-259842.06999999998</v>
      </c>
      <c r="I10" s="8">
        <f>IFERROR(H10/H444, "NA")</f>
        <v>7.636075880548562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1928490.3</v>
      </c>
      <c r="U10" s="8">
        <f>IFERROR(T10/T444, "NA")</f>
        <v>0.46131908853835973</v>
      </c>
      <c r="V10" s="9"/>
      <c r="W10" s="10">
        <f t="shared" ref="W10:W19" si="2">IFERROR(Q10-T10, "NA")</f>
        <v>-1928490.3</v>
      </c>
      <c r="X10" s="8">
        <f>IFERROR(W10/W444, "NA")</f>
        <v>25.81401633847382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243302.76</v>
      </c>
      <c r="C11" s="8">
        <f>IFERROR(B11/B444, "NA")</f>
        <v>0.46110141076100314</v>
      </c>
      <c r="D11" s="9"/>
      <c r="E11" s="7">
        <v>0</v>
      </c>
      <c r="F11" s="8">
        <f>IFERROR(E11/E444, "NA")</f>
        <v>0</v>
      </c>
      <c r="G11" s="9"/>
      <c r="H11" s="10">
        <f t="shared" si="0"/>
        <v>243302.76</v>
      </c>
      <c r="I11" s="8">
        <f>IFERROR(H11/H444, "NA")</f>
        <v>-7.1500290053373412</v>
      </c>
      <c r="J11" s="9"/>
      <c r="K11" s="7">
        <v>227867.97000000003</v>
      </c>
      <c r="L11" s="8">
        <f>IFERROR(K11/K444, "NA")</f>
        <v>0.46182413056733884</v>
      </c>
      <c r="M11" s="9"/>
      <c r="N11" s="10">
        <f t="shared" si="1"/>
        <v>15434.789999999979</v>
      </c>
      <c r="O11" s="8">
        <f>IFERROR(N11/N444, "NA")</f>
        <v>0.45068896344507897</v>
      </c>
      <c r="P11" s="9"/>
      <c r="Q11" s="7">
        <v>1687660.75</v>
      </c>
      <c r="R11" s="8">
        <f>IFERROR(Q11/Q444, "NA")</f>
        <v>0.41105555998736115</v>
      </c>
      <c r="S11" s="9"/>
      <c r="T11" s="7">
        <v>0</v>
      </c>
      <c r="U11" s="8">
        <f>IFERROR(T11/T444, "NA")</f>
        <v>0</v>
      </c>
      <c r="V11" s="9"/>
      <c r="W11" s="10">
        <f t="shared" si="2"/>
        <v>1687660.75</v>
      </c>
      <c r="X11" s="8">
        <f>IFERROR(W11/W444, "NA")</f>
        <v>-22.590366243636787</v>
      </c>
      <c r="Y11" s="9"/>
      <c r="Z11" s="7">
        <v>1676510.3499999999</v>
      </c>
      <c r="AA11" s="8">
        <f>IFERROR(Z11/Z444, "NA")</f>
        <v>0.45664020970728286</v>
      </c>
      <c r="AB11" s="9"/>
      <c r="AC11" s="10">
        <f t="shared" si="3"/>
        <v>11150.40000000014</v>
      </c>
      <c r="AD11" s="8">
        <f>IFERROR(AC11/AC444, "NA")</f>
        <v>2.5676058017704312E-2</v>
      </c>
    </row>
    <row r="12" spans="1:30" ht="16.5" customHeight="1" x14ac:dyDescent="0.45">
      <c r="A12" s="12" t="s">
        <v>14</v>
      </c>
      <c r="B12" s="7">
        <v>25248</v>
      </c>
      <c r="C12" s="8">
        <f>IFERROR(B12/B444, "NA")</f>
        <v>4.7849389044718631E-2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25248</v>
      </c>
      <c r="I12" s="8">
        <f>IFERROR(H12/H444, "NA")</f>
        <v>-0.74197239820360927</v>
      </c>
      <c r="J12" s="9"/>
      <c r="K12" s="7">
        <v>24187.85</v>
      </c>
      <c r="L12" s="8">
        <f>IFERROR(K12/K444, "NA")</f>
        <v>4.9021952477758084E-2</v>
      </c>
      <c r="M12" s="9"/>
      <c r="N12" s="10">
        <f t="shared" si="1"/>
        <v>1060.1500000000015</v>
      </c>
      <c r="O12" s="8">
        <f>IFERROR(N12/N444, "NA")</f>
        <v>3.0955905755523837E-2</v>
      </c>
      <c r="P12" s="9"/>
      <c r="Q12" s="7">
        <v>181318.09</v>
      </c>
      <c r="R12" s="8">
        <f>IFERROR(Q12/Q444, "NA")</f>
        <v>4.4162791023485463E-2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181318.09</v>
      </c>
      <c r="X12" s="8">
        <f>IFERROR(W12/W444, "NA")</f>
        <v>-2.4270529842545057</v>
      </c>
      <c r="Y12" s="9"/>
      <c r="Z12" s="7">
        <v>169363</v>
      </c>
      <c r="AA12" s="8">
        <f>IFERROR(Z12/Z444, "NA")</f>
        <v>4.6130318155598954E-2</v>
      </c>
      <c r="AB12" s="9"/>
      <c r="AC12" s="10">
        <f t="shared" si="3"/>
        <v>11955.089999999997</v>
      </c>
      <c r="AD12" s="8">
        <f>IFERROR(AC12/AC444, "NA")</f>
        <v>2.752901998554964E-2</v>
      </c>
    </row>
    <row r="13" spans="1:30" ht="16.5" customHeight="1" x14ac:dyDescent="0.45">
      <c r="A13" s="12" t="s">
        <v>15</v>
      </c>
      <c r="B13" s="7">
        <v>850.5</v>
      </c>
      <c r="C13" s="8">
        <f>IFERROR(B13/B444, "NA")</f>
        <v>1.6118466960762514E-3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850.5</v>
      </c>
      <c r="I13" s="8">
        <f>IFERROR(H13/H444, "NA")</f>
        <v>-2.499396089481027E-2</v>
      </c>
      <c r="J13" s="9"/>
      <c r="K13" s="7">
        <v>844</v>
      </c>
      <c r="L13" s="8">
        <f>IFERROR(K13/K444, "NA")</f>
        <v>1.7105500443912057E-3</v>
      </c>
      <c r="M13" s="9"/>
      <c r="N13" s="10">
        <f t="shared" si="1"/>
        <v>6.5</v>
      </c>
      <c r="O13" s="8">
        <f>IFERROR(N13/N444, "NA")</f>
        <v>1.8979709230854564E-4</v>
      </c>
      <c r="P13" s="9"/>
      <c r="Q13" s="7">
        <v>8546.5</v>
      </c>
      <c r="R13" s="8">
        <f>IFERROR(Q13/Q444, "NA")</f>
        <v>2.0816306496622512E-3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8546.5</v>
      </c>
      <c r="X13" s="8">
        <f>IFERROR(W13/W444, "NA")</f>
        <v>-0.11440010387232256</v>
      </c>
      <c r="Y13" s="9"/>
      <c r="Z13" s="7">
        <v>7706.26</v>
      </c>
      <c r="AA13" s="8">
        <f>IFERROR(Z13/Z444, "NA")</f>
        <v>2.0989957994943759E-3</v>
      </c>
      <c r="AB13" s="9"/>
      <c r="AC13" s="10">
        <f t="shared" si="3"/>
        <v>840.23999999999978</v>
      </c>
      <c r="AD13" s="8">
        <f>IFERROR(AC13/AC444, "NA")</f>
        <v>1.9348230546702894E-3</v>
      </c>
    </row>
    <row r="14" spans="1:30" ht="16.5" customHeight="1" x14ac:dyDescent="0.45">
      <c r="A14" s="12" t="s">
        <v>16</v>
      </c>
      <c r="B14" s="7">
        <v>565</v>
      </c>
      <c r="C14" s="8">
        <f>IFERROR(B14/B444, "NA")</f>
        <v>1.0707741132076215E-3</v>
      </c>
      <c r="D14" s="9"/>
      <c r="E14" s="7">
        <v>0</v>
      </c>
      <c r="F14" s="8">
        <f>IFERROR(E14/E444, "NA")</f>
        <v>0</v>
      </c>
      <c r="G14" s="9"/>
      <c r="H14" s="10">
        <f t="shared" si="0"/>
        <v>565</v>
      </c>
      <c r="I14" s="8">
        <f>IFERROR(H14/H444, "NA")</f>
        <v>-1.6603865850167904E-2</v>
      </c>
      <c r="J14" s="9"/>
      <c r="K14" s="7">
        <v>3060</v>
      </c>
      <c r="L14" s="8">
        <f>IFERROR(K14/K444, "NA")</f>
        <v>6.2017572699491581E-3</v>
      </c>
      <c r="M14" s="9"/>
      <c r="N14" s="10">
        <f t="shared" si="1"/>
        <v>-2495</v>
      </c>
      <c r="O14" s="8">
        <f>IFERROR(N14/N444, "NA")</f>
        <v>-7.2852883893818679E-2</v>
      </c>
      <c r="P14" s="9"/>
      <c r="Q14" s="7">
        <v>12195</v>
      </c>
      <c r="R14" s="8">
        <f>IFERROR(Q14/Q444, "NA")</f>
        <v>2.9702785669725798E-3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12195</v>
      </c>
      <c r="X14" s="8">
        <f>IFERROR(W14/W444, "NA")</f>
        <v>-0.16323749683764976</v>
      </c>
      <c r="Y14" s="9"/>
      <c r="Z14" s="7">
        <v>21156.989999999998</v>
      </c>
      <c r="AA14" s="8">
        <f>IFERROR(Z14/Z444, "NA")</f>
        <v>5.7626440244612186E-3</v>
      </c>
      <c r="AB14" s="9"/>
      <c r="AC14" s="10">
        <f t="shared" si="3"/>
        <v>-8961.989999999998</v>
      </c>
      <c r="AD14" s="8">
        <f>IFERROR(AC14/AC444, "NA")</f>
        <v>-2.0636800042517122E-2</v>
      </c>
    </row>
    <row r="15" spans="1:30" ht="16.5" customHeight="1" x14ac:dyDescent="0.45">
      <c r="A15" s="12" t="s">
        <v>17</v>
      </c>
      <c r="B15" s="7">
        <v>146</v>
      </c>
      <c r="C15" s="8">
        <f>IFERROR(B15/B444, "NA")</f>
        <v>2.7669561155453583E-4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146</v>
      </c>
      <c r="I15" s="8">
        <f>IFERROR(H15/H444, "NA")</f>
        <v>-4.2905564851761311E-3</v>
      </c>
      <c r="J15" s="9"/>
      <c r="K15" s="7">
        <v>213.5</v>
      </c>
      <c r="L15" s="8">
        <f>IFERROR(K15/K444, "NA")</f>
        <v>4.3270430625298869E-4</v>
      </c>
      <c r="M15" s="9"/>
      <c r="N15" s="10">
        <f t="shared" si="1"/>
        <v>-67.5</v>
      </c>
      <c r="O15" s="8">
        <f>IFERROR(N15/N444, "NA")</f>
        <v>-1.9709698047425893E-3</v>
      </c>
      <c r="P15" s="9"/>
      <c r="Q15" s="7">
        <v>1811</v>
      </c>
      <c r="R15" s="8">
        <f>IFERROR(Q15/Q444, "NA")</f>
        <v>4.4109671871974922E-4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1811</v>
      </c>
      <c r="X15" s="8">
        <f>IFERROR(W15/W444, "NA")</f>
        <v>-2.4241337168756354E-2</v>
      </c>
      <c r="Y15" s="9"/>
      <c r="Z15" s="7">
        <v>2497</v>
      </c>
      <c r="AA15" s="8">
        <f>IFERROR(Z15/Z444, "NA")</f>
        <v>6.8012142223821369E-4</v>
      </c>
      <c r="AB15" s="9"/>
      <c r="AC15" s="10">
        <f t="shared" si="3"/>
        <v>-686</v>
      </c>
      <c r="AD15" s="8">
        <f>IFERROR(AC15/AC444, "NA")</f>
        <v>-1.5796541648860074E-3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3.0500000000000003</v>
      </c>
      <c r="R16" s="8">
        <f>IFERROR(Q16/Q444, "NA")</f>
        <v>7.428740983408257E-7</v>
      </c>
      <c r="S16" s="9"/>
      <c r="T16" s="7">
        <v>0</v>
      </c>
      <c r="U16" s="8">
        <f>IFERROR(T16/T444, "NA")</f>
        <v>0</v>
      </c>
      <c r="V16" s="9"/>
      <c r="W16" s="10">
        <f t="shared" si="2"/>
        <v>3.0500000000000003</v>
      </c>
      <c r="X16" s="8">
        <f>IFERROR(W16/W444, "NA")</f>
        <v>-4.0826106220158413E-5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3.0500000000000003</v>
      </c>
      <c r="AD16" s="8">
        <f>IFERROR(AC16/AC444, "NA")</f>
        <v>7.0232437360092168E-6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270112.26</v>
      </c>
      <c r="C18" s="15">
        <f>IFERROR(B18/B444, "NA")</f>
        <v>0.51191011622656024</v>
      </c>
      <c r="D18" s="2"/>
      <c r="E18" s="14">
        <f>IFERROR(E10+E11+E12+E13+E14+E15+E16+E17, "NA")</f>
        <v>259842.06999999998</v>
      </c>
      <c r="F18" s="15">
        <f>IFERROR(E18/E444, "NA")</f>
        <v>0.46261266969643738</v>
      </c>
      <c r="G18" s="2"/>
      <c r="H18" s="14">
        <f t="shared" si="0"/>
        <v>10270.190000000031</v>
      </c>
      <c r="I18" s="15">
        <f>IFERROR(H18/H444, "NA")</f>
        <v>-0.30181390622254234</v>
      </c>
      <c r="J18" s="2"/>
      <c r="K18" s="14">
        <f>IFERROR(K10+K11+K12+K13+K14+K15+K16+K17, "NA")</f>
        <v>256173.32000000004</v>
      </c>
      <c r="L18" s="15">
        <f>IFERROR(K18/K444, "NA")</f>
        <v>0.51919109466569036</v>
      </c>
      <c r="M18" s="2"/>
      <c r="N18" s="14">
        <f t="shared" si="1"/>
        <v>13938.939999999973</v>
      </c>
      <c r="O18" s="15">
        <f>IFERROR(N18/N444, "NA")</f>
        <v>0.40701081259434985</v>
      </c>
      <c r="P18" s="2"/>
      <c r="Q18" s="14">
        <f>IFERROR(Q10+Q11+Q12+Q13+Q14+Q15+Q16+Q17, "NA")</f>
        <v>1891534.3900000001</v>
      </c>
      <c r="R18" s="15">
        <f>IFERROR(Q18/Q444, "NA")</f>
        <v>0.46071209982029959</v>
      </c>
      <c r="S18" s="2"/>
      <c r="T18" s="14">
        <f>IFERROR(T10+T11+T12+T13+T14+T15+T16+T17, "NA")</f>
        <v>1928490.3</v>
      </c>
      <c r="U18" s="15">
        <f>IFERROR(T18/T444, "NA")</f>
        <v>0.46131908853835973</v>
      </c>
      <c r="V18" s="2"/>
      <c r="W18" s="14">
        <f t="shared" si="2"/>
        <v>-36955.909999999916</v>
      </c>
      <c r="X18" s="15">
        <f>IFERROR(W18/W444, "NA")</f>
        <v>0.49467734659757734</v>
      </c>
      <c r="Y18" s="2"/>
      <c r="Z18" s="14">
        <f>IFERROR(Z10+Z11+Z12+Z13+Z14+Z15+Z16+Z17, "NA")</f>
        <v>1877233.5999999999</v>
      </c>
      <c r="AA18" s="15">
        <f>IFERROR(Z18/Z444, "NA")</f>
        <v>0.51131228910907567</v>
      </c>
      <c r="AB18" s="2"/>
      <c r="AC18" s="14">
        <f t="shared" si="3"/>
        <v>14300.79000000027</v>
      </c>
      <c r="AD18" s="15">
        <f>IFERROR(AC18/AC444, "NA")</f>
        <v>3.2930470094257425E-2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46425.66</v>
      </c>
      <c r="F21" s="8">
        <f>IFERROR(E21/E444, "NA")</f>
        <v>8.2654431266727169E-2</v>
      </c>
      <c r="G21" s="9"/>
      <c r="H21" s="10">
        <f t="shared" ref="H21:H29" si="4">IFERROR(B21-E21, "NA")</f>
        <v>-46425.66</v>
      </c>
      <c r="I21" s="8">
        <f>IFERROR(H21/H444, "NA")</f>
        <v>1.3643281958327542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346695.92000000004</v>
      </c>
      <c r="U21" s="8">
        <f>IFERROR(T21/T444, "NA")</f>
        <v>8.2934016216917497E-2</v>
      </c>
      <c r="V21" s="9"/>
      <c r="W21" s="10">
        <f t="shared" ref="W21:W29" si="6">IFERROR(Q21-T21, "NA")</f>
        <v>-346695.92000000004</v>
      </c>
      <c r="X21" s="8">
        <f>IFERROR(W21/W444, "NA")</f>
        <v>4.6407358872182112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46039.65</v>
      </c>
      <c r="C22" s="8">
        <f>IFERROR(B22/B444, "NA")</f>
        <v>8.7253213099361543E-2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46039.65</v>
      </c>
      <c r="I22" s="8">
        <f>IFERROR(H22/H444, "NA")</f>
        <v>-1.3529843759091731</v>
      </c>
      <c r="J22" s="9"/>
      <c r="K22" s="7">
        <v>33387.230000000003</v>
      </c>
      <c r="L22" s="8">
        <f>IFERROR(K22/K444, "NA")</f>
        <v>6.7666502083648578E-2</v>
      </c>
      <c r="M22" s="9"/>
      <c r="N22" s="10">
        <f t="shared" si="5"/>
        <v>12652.419999999998</v>
      </c>
      <c r="O22" s="8">
        <f>IFERROR(N22/N444, "NA")</f>
        <v>0.36944500410253672</v>
      </c>
      <c r="P22" s="9"/>
      <c r="Q22" s="7">
        <v>275475.07</v>
      </c>
      <c r="R22" s="8">
        <f>IFERROR(Q22/Q444, "NA")</f>
        <v>6.709616204643469E-2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275475.07</v>
      </c>
      <c r="X22" s="8">
        <f>IFERROR(W22/W444, "NA")</f>
        <v>-3.6874014651887124</v>
      </c>
      <c r="Y22" s="9"/>
      <c r="Z22" s="7">
        <v>251808.32</v>
      </c>
      <c r="AA22" s="8">
        <f>IFERROR(Z22/Z444, "NA")</f>
        <v>6.8586396768047744E-2</v>
      </c>
      <c r="AB22" s="9"/>
      <c r="AC22" s="10">
        <f t="shared" si="7"/>
        <v>23666.75</v>
      </c>
      <c r="AD22" s="8">
        <f>IFERROR(AC22/AC444, "NA")</f>
        <v>5.4497493012851186E-2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4305.41</v>
      </c>
      <c r="C24" s="8">
        <f>IFERROR(B24/B444, "NA")</f>
        <v>8.1595072119384528E-3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4305.41</v>
      </c>
      <c r="I24" s="8">
        <f>IFERROR(H24/H444, "NA")</f>
        <v>-0.1265246903893299</v>
      </c>
      <c r="J24" s="9"/>
      <c r="K24" s="7">
        <v>1494.84</v>
      </c>
      <c r="L24" s="8">
        <f>IFERROR(K24/K444, "NA")</f>
        <v>3.0296192279120259E-3</v>
      </c>
      <c r="M24" s="9"/>
      <c r="N24" s="10">
        <f t="shared" si="5"/>
        <v>2810.5699999999997</v>
      </c>
      <c r="O24" s="8">
        <f>IFERROR(N24/N444, "NA")</f>
        <v>8.2067386727635236E-2</v>
      </c>
      <c r="P24" s="9"/>
      <c r="Q24" s="7">
        <v>39164.04</v>
      </c>
      <c r="R24" s="8">
        <f>IFERROR(Q24/Q444, "NA")</f>
        <v>9.5390002958636155E-3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39164.04</v>
      </c>
      <c r="X24" s="8">
        <f>IFERROR(W24/W444, "NA")</f>
        <v>-0.52423451050837133</v>
      </c>
      <c r="Y24" s="9"/>
      <c r="Z24" s="7">
        <v>13657.48</v>
      </c>
      <c r="AA24" s="8">
        <f>IFERROR(Z24/Z444, "NA")</f>
        <v>3.7199618429274964E-3</v>
      </c>
      <c r="AB24" s="9"/>
      <c r="AC24" s="10">
        <f t="shared" si="7"/>
        <v>25506.560000000001</v>
      </c>
      <c r="AD24" s="8">
        <f>IFERROR(AC24/AC444, "NA")</f>
        <v>5.8734028769555163E-2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1401.21</v>
      </c>
      <c r="C26" s="8">
        <f>IFERROR(B26/B444, "NA")</f>
        <v>2.6555387525091173E-3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1401.21</v>
      </c>
      <c r="I26" s="8">
        <f>IFERROR(H26/H444, "NA")</f>
        <v>-4.1177881182148261E-2</v>
      </c>
      <c r="J26" s="9"/>
      <c r="K26" s="7">
        <v>576.82000000000005</v>
      </c>
      <c r="L26" s="8">
        <f>IFERROR(K26/K444, "NA")</f>
        <v>1.1690515125660373E-3</v>
      </c>
      <c r="M26" s="9"/>
      <c r="N26" s="10">
        <f t="shared" si="5"/>
        <v>824.39</v>
      </c>
      <c r="O26" s="8">
        <f>IFERROR(N26/N444, "NA")</f>
        <v>2.4071819219729527E-2</v>
      </c>
      <c r="P26" s="9"/>
      <c r="Q26" s="7">
        <v>17261.689999999999</v>
      </c>
      <c r="R26" s="8">
        <f>IFERROR(Q26/Q444, "NA")</f>
        <v>4.2043483260947034E-3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17261.689999999999</v>
      </c>
      <c r="X26" s="8">
        <f>IFERROR(W26/W444, "NA")</f>
        <v>-0.2310582260588348</v>
      </c>
      <c r="Y26" s="9"/>
      <c r="Z26" s="7">
        <v>4267.1400000000003</v>
      </c>
      <c r="AA26" s="8">
        <f>IFERROR(Z26/Z444, "NA")</f>
        <v>1.1622640471323875E-3</v>
      </c>
      <c r="AB26" s="9"/>
      <c r="AC26" s="10">
        <f t="shared" si="7"/>
        <v>12994.55</v>
      </c>
      <c r="AD26" s="8">
        <f>IFERROR(AC26/AC444, "NA")</f>
        <v>2.9922587504838873E-2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308.59999999999997</v>
      </c>
      <c r="L27" s="8">
        <f>IFERROR(K27/K444, "NA")</f>
        <v>6.2544519395631051E-4</v>
      </c>
      <c r="M27" s="9"/>
      <c r="N27" s="10">
        <f t="shared" si="5"/>
        <v>-308.59999999999997</v>
      </c>
      <c r="O27" s="8">
        <f>IFERROR(N27/N444, "NA")</f>
        <v>-9.0109819517564891E-3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4220.4299999999994</v>
      </c>
      <c r="AA27" s="8">
        <f>IFERROR(Z27/Z444, "NA")</f>
        <v>1.1495413912922803E-3</v>
      </c>
      <c r="AB27" s="9"/>
      <c r="AC27" s="10">
        <f t="shared" si="7"/>
        <v>-4220.4299999999994</v>
      </c>
      <c r="AD27" s="8">
        <f>IFERROR(AC27/AC444, "NA")</f>
        <v>-9.7183962494312697E-3</v>
      </c>
    </row>
    <row r="28" spans="1:30" ht="16.5" customHeight="1" x14ac:dyDescent="0.45">
      <c r="A28" s="12" t="s">
        <v>29</v>
      </c>
      <c r="B28" s="7">
        <v>4432.6000000000004</v>
      </c>
      <c r="C28" s="8">
        <f>IFERROR(B28/B444, "NA")</f>
        <v>8.4005545738125732E-3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4432.6000000000004</v>
      </c>
      <c r="I28" s="8">
        <f>IFERROR(H28/H444, "NA")</f>
        <v>-0.13026247038487479</v>
      </c>
      <c r="J28" s="9"/>
      <c r="K28" s="7">
        <v>4220.3</v>
      </c>
      <c r="L28" s="8">
        <f>IFERROR(K28/K444, "NA")</f>
        <v>8.5533582373746517E-3</v>
      </c>
      <c r="M28" s="9"/>
      <c r="N28" s="10">
        <f t="shared" si="5"/>
        <v>212.30000000000018</v>
      </c>
      <c r="O28" s="8">
        <f>IFERROR(N28/N444, "NA")</f>
        <v>6.1990650303237341E-3</v>
      </c>
      <c r="P28" s="9"/>
      <c r="Q28" s="7">
        <v>29996.6</v>
      </c>
      <c r="R28" s="8">
        <f>IFERROR(Q28/Q444, "NA")</f>
        <v>7.3061302223902981E-3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29996.6</v>
      </c>
      <c r="X28" s="8">
        <f>IFERROR(W28/W444, "NA")</f>
        <v>-0.40152274683396838</v>
      </c>
      <c r="Y28" s="9"/>
      <c r="Z28" s="7">
        <v>28988.309999999998</v>
      </c>
      <c r="AA28" s="8">
        <f>IFERROR(Z28/Z444, "NA")</f>
        <v>7.8957030939055782E-3</v>
      </c>
      <c r="AB28" s="9"/>
      <c r="AC28" s="10">
        <f t="shared" si="7"/>
        <v>1008.2900000000009</v>
      </c>
      <c r="AD28" s="8">
        <f>IFERROR(AC28/AC444, "NA")</f>
        <v>2.3217922710100781E-3</v>
      </c>
    </row>
    <row r="29" spans="1:30" ht="16.5" customHeight="1" x14ac:dyDescent="0.45">
      <c r="A29" s="13" t="s">
        <v>30</v>
      </c>
      <c r="B29" s="14">
        <f>IFERROR(B21+B22+B23+B24+B25+B26+B27+B28, "NA")</f>
        <v>56178.869999999995</v>
      </c>
      <c r="C29" s="15">
        <f>IFERROR(B29/B444, "NA")</f>
        <v>0.10646881363762167</v>
      </c>
      <c r="D29" s="2"/>
      <c r="E29" s="14">
        <f>IFERROR(E21+E22+E23+E24+E25+E26+E27+E28, "NA")</f>
        <v>46425.66</v>
      </c>
      <c r="F29" s="15">
        <f>IFERROR(E29/E444, "NA")</f>
        <v>8.2654431266727169E-2</v>
      </c>
      <c r="G29" s="2"/>
      <c r="H29" s="14">
        <f t="shared" si="4"/>
        <v>9753.2099999999919</v>
      </c>
      <c r="I29" s="15">
        <f>IFERROR(H29/H444, "NA")</f>
        <v>-0.28662122203277163</v>
      </c>
      <c r="J29" s="2"/>
      <c r="K29" s="14">
        <f>IFERROR(K21+K22+K23+K24+K25+K26+K27+K28, "NA")</f>
        <v>39987.79</v>
      </c>
      <c r="L29" s="15">
        <f>IFERROR(K29/K444, "NA")</f>
        <v>8.1043976255457603E-2</v>
      </c>
      <c r="M29" s="2"/>
      <c r="N29" s="14">
        <f t="shared" si="5"/>
        <v>16191.079999999994</v>
      </c>
      <c r="O29" s="15">
        <f>IFERROR(N29/N444, "NA")</f>
        <v>0.47277229312846863</v>
      </c>
      <c r="P29" s="2"/>
      <c r="Q29" s="14">
        <f>IFERROR(Q21+Q22+Q23+Q24+Q25+Q26+Q27+Q28, "NA")</f>
        <v>361897.39999999997</v>
      </c>
      <c r="R29" s="15">
        <f>IFERROR(Q29/Q444, "NA")</f>
        <v>8.8145640890783306E-2</v>
      </c>
      <c r="S29" s="2"/>
      <c r="T29" s="14">
        <f>IFERROR(T21+T22+T23+T24+T25+T26+T27+T28, "NA")</f>
        <v>346695.92000000004</v>
      </c>
      <c r="U29" s="15">
        <f>IFERROR(T29/T444, "NA")</f>
        <v>8.2934016216917497E-2</v>
      </c>
      <c r="V29" s="2"/>
      <c r="W29" s="14">
        <f t="shared" si="6"/>
        <v>15201.479999999923</v>
      </c>
      <c r="X29" s="15">
        <f>IFERROR(W29/W444, "NA")</f>
        <v>-0.20348106137167557</v>
      </c>
      <c r="Y29" s="2"/>
      <c r="Z29" s="14">
        <f>IFERROR(Z21+Z22+Z23+Z24+Z25+Z26+Z27+Z28, "NA")</f>
        <v>302941.68</v>
      </c>
      <c r="AA29" s="15">
        <f>IFERROR(Z29/Z444, "NA")</f>
        <v>8.2513867143305497E-2</v>
      </c>
      <c r="AB29" s="2"/>
      <c r="AC29" s="14">
        <f t="shared" si="7"/>
        <v>58955.719999999972</v>
      </c>
      <c r="AD29" s="15">
        <f>IFERROR(AC29/AC444, "NA")</f>
        <v>0.13575750530882397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121343.65</v>
      </c>
      <c r="F31" s="8">
        <f>IFERROR(E31/E444, "NA")</f>
        <v>0.21603549370280997</v>
      </c>
      <c r="G31" s="9"/>
      <c r="H31" s="10">
        <f t="shared" ref="H31:H40" si="8">IFERROR(B31-E31, "NA")</f>
        <v>-121343.65</v>
      </c>
      <c r="I31" s="8">
        <f>IFERROR(H31/H444, "NA")</f>
        <v>3.5659711263180998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908186.57000000007</v>
      </c>
      <c r="U31" s="8">
        <f>IFERROR(T31/T444, "NA")</f>
        <v>0.21724962821704588</v>
      </c>
      <c r="V31" s="9"/>
      <c r="W31" s="10">
        <f t="shared" ref="W31:W40" si="10">IFERROR(Q31-T31, "NA")</f>
        <v>-908186.57000000007</v>
      </c>
      <c r="X31" s="8">
        <f>IFERROR(W31/W444, "NA")</f>
        <v>12.156629958866011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51656.92</v>
      </c>
      <c r="C33" s="8">
        <f>IFERROR(B33/B444, "NA")</f>
        <v>9.7898925139888571E-2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51656.92</v>
      </c>
      <c r="I33" s="8">
        <f>IFERROR(H33/H444, "NA")</f>
        <v>-1.5180611856864696</v>
      </c>
      <c r="J33" s="9"/>
      <c r="K33" s="7">
        <v>31361.809999999994</v>
      </c>
      <c r="L33" s="8">
        <f>IFERROR(K33/K444, "NA")</f>
        <v>6.3561546786360848E-2</v>
      </c>
      <c r="M33" s="9"/>
      <c r="N33" s="10">
        <f t="shared" si="9"/>
        <v>20295.110000000004</v>
      </c>
      <c r="O33" s="8">
        <f>IFERROR(N33/N444, "NA")</f>
        <v>0.59260813324339823</v>
      </c>
      <c r="P33" s="9"/>
      <c r="Q33" s="7">
        <v>384359.74</v>
      </c>
      <c r="R33" s="8">
        <f>IFERROR(Q33/Q444, "NA")</f>
        <v>9.3616686980660377E-2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384359.74</v>
      </c>
      <c r="X33" s="8">
        <f>IFERROR(W33/W444, "NA")</f>
        <v>-5.1448890399975307</v>
      </c>
      <c r="Y33" s="9"/>
      <c r="Z33" s="7">
        <v>245865.64</v>
      </c>
      <c r="AA33" s="8">
        <f>IFERROR(Z33/Z444, "NA")</f>
        <v>6.6967756810696291E-2</v>
      </c>
      <c r="AB33" s="9"/>
      <c r="AC33" s="10">
        <f t="shared" si="11"/>
        <v>138494.09999999998</v>
      </c>
      <c r="AD33" s="8">
        <f>IFERROR(AC33/AC444, "NA")</f>
        <v>0.31891076075384717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5164.57</v>
      </c>
      <c r="C35" s="8">
        <f>IFERROR(B35/B444, "NA")</f>
        <v>9.7877661271658159E-3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5164.57</v>
      </c>
      <c r="I35" s="8">
        <f>IFERROR(H35/H444, "NA")</f>
        <v>-0.15177314593593211</v>
      </c>
      <c r="J35" s="9"/>
      <c r="K35" s="7">
        <v>1579.56</v>
      </c>
      <c r="L35" s="8">
        <f>IFERROR(K35/K444, "NA")</f>
        <v>3.2013227821310105E-3</v>
      </c>
      <c r="M35" s="9"/>
      <c r="N35" s="10">
        <f t="shared" si="9"/>
        <v>3585.0099999999998</v>
      </c>
      <c r="O35" s="8">
        <f>IFERROR(N35/N444, "NA")</f>
        <v>0.10468068829185526</v>
      </c>
      <c r="P35" s="9"/>
      <c r="Q35" s="7">
        <v>46486.59</v>
      </c>
      <c r="R35" s="8">
        <f>IFERROR(Q35/Q444, "NA")</f>
        <v>1.1322519223340865E-2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46486.59</v>
      </c>
      <c r="X35" s="8">
        <f>IFERROR(W35/W444, "NA")</f>
        <v>-0.62225129873867324</v>
      </c>
      <c r="Y35" s="9"/>
      <c r="Z35" s="7">
        <v>1579.56</v>
      </c>
      <c r="AA35" s="8">
        <f>IFERROR(Z35/Z444, "NA")</f>
        <v>4.3023331746519533E-4</v>
      </c>
      <c r="AB35" s="9"/>
      <c r="AC35" s="10">
        <f t="shared" si="11"/>
        <v>44907.03</v>
      </c>
      <c r="AD35" s="8">
        <f>IFERROR(AC35/AC444, "NA")</f>
        <v>0.10340754660664851</v>
      </c>
    </row>
    <row r="36" spans="1:30" ht="16.5" customHeight="1" x14ac:dyDescent="0.45">
      <c r="A36" s="12" t="s">
        <v>36</v>
      </c>
      <c r="B36" s="7">
        <v>46649.130000000005</v>
      </c>
      <c r="C36" s="8">
        <f>IFERROR(B36/B444, "NA")</f>
        <v>8.8408284615322227E-2</v>
      </c>
      <c r="D36" s="9"/>
      <c r="E36" s="7">
        <v>0</v>
      </c>
      <c r="F36" s="8">
        <f>IFERROR(E36/E444, "NA")</f>
        <v>0</v>
      </c>
      <c r="G36" s="9"/>
      <c r="H36" s="10">
        <f t="shared" si="8"/>
        <v>46649.130000000005</v>
      </c>
      <c r="I36" s="8">
        <f>IFERROR(H36/H444, "NA")</f>
        <v>-1.3708953921186604</v>
      </c>
      <c r="J36" s="9"/>
      <c r="K36" s="7">
        <v>39649.270000000004</v>
      </c>
      <c r="L36" s="8">
        <f>IFERROR(K36/K444, "NA")</f>
        <v>8.0357891657084013E-2</v>
      </c>
      <c r="M36" s="9"/>
      <c r="N36" s="10">
        <f t="shared" si="9"/>
        <v>6999.8600000000006</v>
      </c>
      <c r="O36" s="8">
        <f>IFERROR(N36/N444, "NA")</f>
        <v>0.20439278070259945</v>
      </c>
      <c r="P36" s="9"/>
      <c r="Q36" s="7">
        <v>441050.82000000007</v>
      </c>
      <c r="R36" s="8">
        <f>IFERROR(Q36/Q444, "NA")</f>
        <v>0.10742466564917437</v>
      </c>
      <c r="S36" s="9"/>
      <c r="T36" s="7">
        <v>0</v>
      </c>
      <c r="U36" s="8">
        <f>IFERROR(T36/T444, "NA")</f>
        <v>0</v>
      </c>
      <c r="V36" s="9"/>
      <c r="W36" s="10">
        <f t="shared" si="10"/>
        <v>441050.82000000007</v>
      </c>
      <c r="X36" s="8">
        <f>IFERROR(W36/W444, "NA")</f>
        <v>-5.9037336478058915</v>
      </c>
      <c r="Y36" s="9"/>
      <c r="Z36" s="7">
        <v>312534.10000000003</v>
      </c>
      <c r="AA36" s="8">
        <f>IFERROR(Z36/Z444, "NA")</f>
        <v>8.5126606563852666E-2</v>
      </c>
      <c r="AB36" s="9"/>
      <c r="AC36" s="10">
        <f t="shared" si="11"/>
        <v>128516.72000000003</v>
      </c>
      <c r="AD36" s="8">
        <f>IFERROR(AC36/AC444, "NA")</f>
        <v>0.2959358192499838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4411.55</v>
      </c>
      <c r="C39" s="8">
        <f>IFERROR(B39/B444, "NA")</f>
        <v>8.360661131187757E-3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4411.55</v>
      </c>
      <c r="I39" s="8">
        <f>IFERROR(H39/H444, "NA")</f>
        <v>-0.12964386617930659</v>
      </c>
      <c r="J39" s="9"/>
      <c r="K39" s="7">
        <v>5113.88</v>
      </c>
      <c r="L39" s="8">
        <f>IFERROR(K39/K444, "NA")</f>
        <v>1.0364392963283531E-2</v>
      </c>
      <c r="M39" s="9"/>
      <c r="N39" s="10">
        <f t="shared" si="9"/>
        <v>-702.32999999999993</v>
      </c>
      <c r="O39" s="8">
        <f>IFERROR(N39/N444, "NA")</f>
        <v>-2.0507721821701668E-2</v>
      </c>
      <c r="P39" s="9"/>
      <c r="Q39" s="7">
        <v>39591.1</v>
      </c>
      <c r="R39" s="8">
        <f>IFERROR(Q39/Q444, "NA")</f>
        <v>9.6430172835480204E-3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39591.1</v>
      </c>
      <c r="X39" s="8">
        <f>IFERROR(W39/W444, "NA")</f>
        <v>-0.52995096851570933</v>
      </c>
      <c r="Y39" s="9"/>
      <c r="Z39" s="7">
        <v>42931.71</v>
      </c>
      <c r="AA39" s="8">
        <f>IFERROR(Z39/Z444, "NA")</f>
        <v>1.1693542516747512E-2</v>
      </c>
      <c r="AB39" s="9"/>
      <c r="AC39" s="10">
        <f t="shared" si="11"/>
        <v>-3340.6100000000006</v>
      </c>
      <c r="AD39" s="8">
        <f>IFERROR(AC39/AC444, "NA")</f>
        <v>-7.692432215393361E-3</v>
      </c>
    </row>
    <row r="40" spans="1:30" ht="16.5" customHeight="1" x14ac:dyDescent="0.45">
      <c r="A40" s="13" t="s">
        <v>40</v>
      </c>
      <c r="B40" s="14">
        <f>IFERROR(B31+B32+B33+B34+B35+B36+B37+B38+B39, "NA")</f>
        <v>107882.17</v>
      </c>
      <c r="C40" s="15">
        <f>IFERROR(B40/B444, "NA")</f>
        <v>0.20445563701356437</v>
      </c>
      <c r="D40" s="2"/>
      <c r="E40" s="14">
        <f>IFERROR(E31+E32+E33+E34+E35+E36+E37+E38+E39, "NA")</f>
        <v>121343.65</v>
      </c>
      <c r="F40" s="15">
        <f>IFERROR(E40/E444, "NA")</f>
        <v>0.21603549370280997</v>
      </c>
      <c r="G40" s="2"/>
      <c r="H40" s="14">
        <f t="shared" si="8"/>
        <v>-13461.479999999996</v>
      </c>
      <c r="I40" s="15">
        <f>IFERROR(H40/H444, "NA")</f>
        <v>0.39559753639773126</v>
      </c>
      <c r="J40" s="2"/>
      <c r="K40" s="14">
        <f>IFERROR(K31+K32+K33+K34+K35+K36+K37+K38+K39, "NA")</f>
        <v>77704.52</v>
      </c>
      <c r="L40" s="15">
        <f>IFERROR(K40/K444, "NA")</f>
        <v>0.15748515418885942</v>
      </c>
      <c r="M40" s="2"/>
      <c r="N40" s="14">
        <f t="shared" si="9"/>
        <v>30177.649999999994</v>
      </c>
      <c r="O40" s="15">
        <f>IFERROR(N40/N444, "NA")</f>
        <v>0.88117388041615097</v>
      </c>
      <c r="P40" s="2"/>
      <c r="Q40" s="14">
        <f>IFERROR(Q31+Q32+Q33+Q34+Q35+Q36+Q37+Q38+Q39, "NA")</f>
        <v>911488.25</v>
      </c>
      <c r="R40" s="15">
        <f>IFERROR(Q40/Q444, "NA")</f>
        <v>0.22200688913672362</v>
      </c>
      <c r="S40" s="2"/>
      <c r="T40" s="14">
        <f>IFERROR(T31+T32+T33+T34+T35+T36+T37+T38+T39, "NA")</f>
        <v>908186.57000000007</v>
      </c>
      <c r="U40" s="15">
        <f>IFERROR(T40/T444, "NA")</f>
        <v>0.21724962821704588</v>
      </c>
      <c r="V40" s="2"/>
      <c r="W40" s="14">
        <f t="shared" si="10"/>
        <v>3301.6799999999348</v>
      </c>
      <c r="X40" s="15">
        <f>IFERROR(W40/W444, "NA")</f>
        <v>-4.4194996191793429E-2</v>
      </c>
      <c r="Y40" s="2"/>
      <c r="Z40" s="14">
        <f>IFERROR(Z31+Z32+Z33+Z34+Z35+Z36+Z37+Z38+Z39, "NA")</f>
        <v>602911.01</v>
      </c>
      <c r="AA40" s="15">
        <f>IFERROR(Z40/Z444, "NA")</f>
        <v>0.16421813920876166</v>
      </c>
      <c r="AB40" s="2"/>
      <c r="AC40" s="14">
        <f t="shared" si="11"/>
        <v>308577.24</v>
      </c>
      <c r="AD40" s="15">
        <f>IFERROR(AC40/AC444, "NA")</f>
        <v>0.7105616943950861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15329.97</v>
      </c>
      <c r="C43" s="8">
        <f>IFERROR(B43/B444, "NA")</f>
        <v>2.9052982357963612E-2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15329.97</v>
      </c>
      <c r="I43" s="8">
        <f>IFERROR(H43/H444, "NA")</f>
        <v>-0.45050754932229814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15329.97</v>
      </c>
      <c r="O43" s="8">
        <f>IFERROR(N43/N444, "NA")</f>
        <v>0.44762826633495928</v>
      </c>
      <c r="P43" s="9"/>
      <c r="Q43" s="7">
        <v>214857.09000000003</v>
      </c>
      <c r="R43" s="8">
        <f>IFERROR(Q43/Q444, "NA")</f>
        <v>5.2331726887174961E-2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214857.09000000003</v>
      </c>
      <c r="X43" s="8">
        <f>IFERROR(W43/W444, "NA")</f>
        <v>-2.875992910981684</v>
      </c>
      <c r="Y43" s="9"/>
      <c r="Z43" s="7">
        <v>26267.45</v>
      </c>
      <c r="AA43" s="8">
        <f>IFERROR(Z43/Z444, "NA")</f>
        <v>7.1546077102808033E-3</v>
      </c>
      <c r="AB43" s="9"/>
      <c r="AC43" s="10">
        <f>IFERROR(Q43-Z43, "NA")</f>
        <v>188589.64</v>
      </c>
      <c r="AD43" s="8">
        <f>IFERROR(AC43/AC444, "NA")</f>
        <v>0.43426590419876498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145069.5</v>
      </c>
      <c r="F46" s="8">
        <f>IFERROR(E46/E444, "NA")</f>
        <v>0.25827607010107073</v>
      </c>
      <c r="G46" s="9"/>
      <c r="H46" s="10">
        <f t="shared" ref="H46:H62" si="12">IFERROR(B46-E46, "NA")</f>
        <v>-145069.5</v>
      </c>
      <c r="I46" s="8">
        <f>IFERROR(H46/H444, "NA")</f>
        <v>4.2632115344264294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1079195.6299999999</v>
      </c>
      <c r="U46" s="8">
        <f>IFERROR(T46/T444, "NA")</f>
        <v>0.25815714208475971</v>
      </c>
      <c r="V46" s="9"/>
      <c r="W46" s="10">
        <f t="shared" ref="W46:W62" si="14">IFERROR(Q46-T46, "NA")</f>
        <v>-1079195.6299999999</v>
      </c>
      <c r="X46" s="8">
        <f>IFERROR(W46/W444, "NA")</f>
        <v>14.445690302528121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357.81</v>
      </c>
      <c r="C47" s="8">
        <f>IFERROR(B47/B444, "NA")</f>
        <v>6.7811271760498946E-4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357.81</v>
      </c>
      <c r="I47" s="8">
        <f>IFERROR(H47/H444, "NA")</f>
        <v>-1.0515095999731995E-2</v>
      </c>
      <c r="J47" s="9"/>
      <c r="K47" s="7">
        <v>1431.64</v>
      </c>
      <c r="L47" s="8">
        <f>IFERROR(K47/K444, "NA")</f>
        <v>2.9015306463888932E-3</v>
      </c>
      <c r="M47" s="9"/>
      <c r="N47" s="10">
        <f t="shared" si="13"/>
        <v>-1073.8300000000002</v>
      </c>
      <c r="O47" s="8">
        <f>IFERROR(N47/N444, "NA")</f>
        <v>-3.1355355635951633E-2</v>
      </c>
      <c r="P47" s="9"/>
      <c r="Q47" s="7">
        <v>6355.75</v>
      </c>
      <c r="R47" s="8">
        <f>IFERROR(Q47/Q444, "NA")</f>
        <v>1.5480400165671156E-3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6355.75</v>
      </c>
      <c r="X47" s="8">
        <f>IFERROR(W47/W444, "NA")</f>
        <v>-8.507558183894158E-2</v>
      </c>
      <c r="Y47" s="9"/>
      <c r="Z47" s="7">
        <v>3818.35</v>
      </c>
      <c r="AA47" s="8">
        <f>IFERROR(Z47/Z444, "NA")</f>
        <v>1.0400246826605059E-3</v>
      </c>
      <c r="AB47" s="9"/>
      <c r="AC47" s="10">
        <f t="shared" si="15"/>
        <v>2537.4</v>
      </c>
      <c r="AD47" s="8">
        <f>IFERROR(AC47/AC444, "NA")</f>
        <v>5.8428782477868155E-3</v>
      </c>
    </row>
    <row r="48" spans="1:30" ht="16.5" customHeight="1" x14ac:dyDescent="0.45">
      <c r="A48" s="17" t="s">
        <v>46</v>
      </c>
      <c r="B48" s="7">
        <v>51650.14</v>
      </c>
      <c r="C48" s="8">
        <f>IFERROR(B48/B444, "NA")</f>
        <v>9.7886075850530094E-2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51650.14</v>
      </c>
      <c r="I48" s="8">
        <f>IFERROR(H48/H444, "NA")</f>
        <v>-1.5178619392962678</v>
      </c>
      <c r="J48" s="9"/>
      <c r="K48" s="7">
        <v>89856.18</v>
      </c>
      <c r="L48" s="8">
        <f>IFERROR(K48/K444, "NA")</f>
        <v>0.18211314299505232</v>
      </c>
      <c r="M48" s="9"/>
      <c r="N48" s="10">
        <f t="shared" si="13"/>
        <v>-38206.039999999994</v>
      </c>
      <c r="O48" s="8">
        <f>IFERROR(N48/N444, "NA")</f>
        <v>-1.1155992770190748</v>
      </c>
      <c r="P48" s="9"/>
      <c r="Q48" s="7">
        <v>547119.80000000005</v>
      </c>
      <c r="R48" s="8">
        <f>IFERROR(Q48/Q444, "NA")</f>
        <v>0.13325938626538128</v>
      </c>
      <c r="S48" s="9"/>
      <c r="T48" s="7">
        <v>0</v>
      </c>
      <c r="U48" s="8">
        <f>IFERROR(T48/T444, "NA")</f>
        <v>0</v>
      </c>
      <c r="V48" s="9"/>
      <c r="W48" s="10">
        <f t="shared" si="14"/>
        <v>547119.80000000005</v>
      </c>
      <c r="X48" s="8">
        <f>IFERROR(W48/W444, "NA")</f>
        <v>-7.3235314983448614</v>
      </c>
      <c r="Y48" s="9"/>
      <c r="Z48" s="7">
        <v>742863.47</v>
      </c>
      <c r="AA48" s="8">
        <f>IFERROR(Z48/Z444, "NA")</f>
        <v>0.20233774919712239</v>
      </c>
      <c r="AB48" s="9"/>
      <c r="AC48" s="10">
        <f t="shared" si="15"/>
        <v>-195743.66999999993</v>
      </c>
      <c r="AD48" s="8">
        <f>IFERROR(AC48/AC444, "NA")</f>
        <v>-0.45073950957080477</v>
      </c>
    </row>
    <row r="49" spans="1:30" ht="16.5" customHeight="1" x14ac:dyDescent="0.45">
      <c r="A49" s="17" t="s">
        <v>47</v>
      </c>
      <c r="B49" s="7">
        <v>7829.99</v>
      </c>
      <c r="C49" s="8">
        <f>IFERROR(B49/B444, "NA")</f>
        <v>1.4839204599423972E-2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7829.99</v>
      </c>
      <c r="I49" s="8">
        <f>IFERROR(H49/H444, "NA")</f>
        <v>-0.23010283817372776</v>
      </c>
      <c r="J49" s="9"/>
      <c r="K49" s="7">
        <v>0</v>
      </c>
      <c r="L49" s="8">
        <f>IFERROR(K49/K444, "NA")</f>
        <v>0</v>
      </c>
      <c r="M49" s="9"/>
      <c r="N49" s="10">
        <f t="shared" si="13"/>
        <v>7829.99</v>
      </c>
      <c r="O49" s="8">
        <f>IFERROR(N49/N444, "NA")</f>
        <v>0.22863220535461373</v>
      </c>
      <c r="P49" s="9"/>
      <c r="Q49" s="7">
        <v>39140.6</v>
      </c>
      <c r="R49" s="8">
        <f>IFERROR(Q49/Q444, "NA")</f>
        <v>9.5332911257439076E-3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39140.6</v>
      </c>
      <c r="X49" s="8">
        <f>IFERROR(W49/W444, "NA")</f>
        <v>-0.52392075184286302</v>
      </c>
      <c r="Y49" s="9"/>
      <c r="Z49" s="7">
        <v>2090.27</v>
      </c>
      <c r="AA49" s="8">
        <f>IFERROR(Z49/Z444, "NA")</f>
        <v>5.6933816790623586E-4</v>
      </c>
      <c r="AB49" s="9"/>
      <c r="AC49" s="10">
        <f t="shared" si="15"/>
        <v>37050.33</v>
      </c>
      <c r="AD49" s="8">
        <f>IFERROR(AC49/AC444, "NA")</f>
        <v>8.5315901012975204E-2</v>
      </c>
    </row>
    <row r="50" spans="1:30" ht="16.5" customHeight="1" x14ac:dyDescent="0.45">
      <c r="A50" s="17" t="s">
        <v>48</v>
      </c>
      <c r="B50" s="7">
        <v>3547.5</v>
      </c>
      <c r="C50" s="8">
        <f>IFERROR(B50/B444, "NA")</f>
        <v>6.7231348081487384E-3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3547.5</v>
      </c>
      <c r="I50" s="8">
        <f>IFERROR(H50/H444, "NA")</f>
        <v>-0.10425170637782413</v>
      </c>
      <c r="J50" s="9"/>
      <c r="K50" s="7">
        <v>2648.95</v>
      </c>
      <c r="L50" s="8">
        <f>IFERROR(K50/K444, "NA")</f>
        <v>5.3686748105332754E-3</v>
      </c>
      <c r="M50" s="9"/>
      <c r="N50" s="10">
        <f t="shared" si="13"/>
        <v>898.55000000000018</v>
      </c>
      <c r="O50" s="8">
        <f>IFERROR(N50/N444, "NA")</f>
        <v>2.6237258045206727E-2</v>
      </c>
      <c r="P50" s="9"/>
      <c r="Q50" s="7">
        <v>11488.07</v>
      </c>
      <c r="R50" s="8">
        <f>IFERROR(Q50/Q444, "NA")</f>
        <v>2.798094964893865E-3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11488.07</v>
      </c>
      <c r="X50" s="8">
        <f>IFERROR(W50/W444, "NA")</f>
        <v>-0.15377480855233286</v>
      </c>
      <c r="Y50" s="9"/>
      <c r="Z50" s="7">
        <v>20883.29</v>
      </c>
      <c r="AA50" s="8">
        <f>IFERROR(Z50/Z444, "NA")</f>
        <v>5.6880948721718325E-3</v>
      </c>
      <c r="AB50" s="9"/>
      <c r="AC50" s="10">
        <f t="shared" si="15"/>
        <v>-9395.2200000000012</v>
      </c>
      <c r="AD50" s="8">
        <f>IFERROR(AC50/AC444, "NA")</f>
        <v>-2.1634400004402792E-2</v>
      </c>
    </row>
    <row r="51" spans="1:30" ht="16.5" customHeight="1" x14ac:dyDescent="0.45">
      <c r="A51" s="17" t="s">
        <v>49</v>
      </c>
      <c r="B51" s="7">
        <v>2376.42</v>
      </c>
      <c r="C51" s="8">
        <f>IFERROR(B51/B444, "NA")</f>
        <v>4.5037327754139048E-3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2376.42</v>
      </c>
      <c r="I51" s="8">
        <f>IFERROR(H51/H444, "NA")</f>
        <v>-6.9836741387001786E-2</v>
      </c>
      <c r="J51" s="9"/>
      <c r="K51" s="7">
        <v>4934.18</v>
      </c>
      <c r="L51" s="8">
        <f>IFERROR(K51/K444, "NA")</f>
        <v>1.0000191727528673E-2</v>
      </c>
      <c r="M51" s="9"/>
      <c r="N51" s="10">
        <f t="shared" si="13"/>
        <v>-2557.7600000000002</v>
      </c>
      <c r="O51" s="8">
        <f>IFERROR(N51/N444, "NA")</f>
        <v>-7.4685447818939349E-2</v>
      </c>
      <c r="P51" s="9"/>
      <c r="Q51" s="7">
        <v>21929.919999999998</v>
      </c>
      <c r="R51" s="8">
        <f>IFERROR(Q51/Q444, "NA")</f>
        <v>5.3413670644873561E-3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21929.919999999998</v>
      </c>
      <c r="X51" s="8">
        <f>IFERROR(W51/W444, "NA")</f>
        <v>-0.29354532567854957</v>
      </c>
      <c r="Y51" s="9"/>
      <c r="Z51" s="7">
        <v>51391.47</v>
      </c>
      <c r="AA51" s="8">
        <f>IFERROR(Z51/Z444, "NA")</f>
        <v>1.3997773194758707E-2</v>
      </c>
      <c r="AB51" s="9"/>
      <c r="AC51" s="10">
        <f t="shared" si="15"/>
        <v>-29461.550000000003</v>
      </c>
      <c r="AD51" s="8">
        <f>IFERROR(AC51/AC444, "NA")</f>
        <v>-6.7841195570695859E-2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2000</v>
      </c>
      <c r="C53" s="8">
        <f>IFERROR(B53/B444, "NA")</f>
        <v>3.7903508432128195E-3</v>
      </c>
      <c r="D53" s="9"/>
      <c r="E53" s="7">
        <v>0</v>
      </c>
      <c r="F53" s="8">
        <f>IFERROR(E53/E444, "NA")</f>
        <v>0</v>
      </c>
      <c r="G53" s="9"/>
      <c r="H53" s="10">
        <f t="shared" si="12"/>
        <v>2000</v>
      </c>
      <c r="I53" s="8">
        <f>IFERROR(H53/H444, "NA")</f>
        <v>-5.8774746372275768E-2</v>
      </c>
      <c r="J53" s="9"/>
      <c r="K53" s="7">
        <v>0</v>
      </c>
      <c r="L53" s="8">
        <f>IFERROR(K53/K444, "NA")</f>
        <v>0</v>
      </c>
      <c r="M53" s="9"/>
      <c r="N53" s="10">
        <f t="shared" si="13"/>
        <v>2000</v>
      </c>
      <c r="O53" s="8">
        <f>IFERROR(N53/N444, "NA")</f>
        <v>5.8399105325706351E-2</v>
      </c>
      <c r="P53" s="9"/>
      <c r="Q53" s="7">
        <v>10000</v>
      </c>
      <c r="R53" s="8">
        <f>IFERROR(Q53/Q444, "NA")</f>
        <v>2.4356527814453298E-3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10000</v>
      </c>
      <c r="X53" s="8">
        <f>IFERROR(W53/W444, "NA")</f>
        <v>-0.13385608596773249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10000</v>
      </c>
      <c r="AD53" s="8">
        <f>IFERROR(AC53/AC444, "NA")</f>
        <v>2.3027028642653168E-2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399</v>
      </c>
      <c r="L54" s="8">
        <f>IFERROR(K54/K444, "NA")</f>
        <v>8.0866050676788048E-4</v>
      </c>
      <c r="M54" s="9"/>
      <c r="N54" s="10">
        <f t="shared" si="13"/>
        <v>-399</v>
      </c>
      <c r="O54" s="8">
        <f>IFERROR(N54/N444, "NA")</f>
        <v>-1.1650621512478417E-2</v>
      </c>
      <c r="P54" s="9"/>
      <c r="Q54" s="7">
        <v>77.75</v>
      </c>
      <c r="R54" s="8">
        <f>IFERROR(Q54/Q444, "NA")</f>
        <v>1.8937200375737441E-5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-1.0407310683991202E-3</v>
      </c>
      <c r="Y54" s="9"/>
      <c r="Z54" s="7">
        <v>1377.7</v>
      </c>
      <c r="AA54" s="8">
        <f>IFERROR(Z54/Z444, "NA")</f>
        <v>3.7525161530540131E-4</v>
      </c>
      <c r="AB54" s="9"/>
      <c r="AC54" s="10">
        <f t="shared" si="15"/>
        <v>-1299.95</v>
      </c>
      <c r="AD54" s="8">
        <f>IFERROR(AC54/AC444, "NA")</f>
        <v>-2.9933985884016989E-3</v>
      </c>
    </row>
    <row r="55" spans="1:30" ht="16.5" customHeight="1" x14ac:dyDescent="0.45">
      <c r="A55" s="17" t="s">
        <v>53</v>
      </c>
      <c r="B55" s="7">
        <v>244.07</v>
      </c>
      <c r="C55" s="8">
        <f>IFERROR(B55/B444, "NA")</f>
        <v>4.6255546515147644E-4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244.07</v>
      </c>
      <c r="I55" s="8">
        <f>IFERROR(H55/H444, "NA")</f>
        <v>-7.1725761735406731E-3</v>
      </c>
      <c r="J55" s="9"/>
      <c r="K55" s="7">
        <v>1699.54</v>
      </c>
      <c r="L55" s="8">
        <f>IFERROR(K55/K444, "NA")</f>
        <v>3.4444884152187555E-3</v>
      </c>
      <c r="M55" s="9"/>
      <c r="N55" s="10">
        <f t="shared" si="13"/>
        <v>-1455.47</v>
      </c>
      <c r="O55" s="8">
        <f>IFERROR(N55/N444, "NA")</f>
        <v>-4.2499072914202914E-2</v>
      </c>
      <c r="P55" s="9"/>
      <c r="Q55" s="7">
        <v>2676.41</v>
      </c>
      <c r="R55" s="8">
        <f>IFERROR(Q55/Q444, "NA")</f>
        <v>6.5188054607880953E-4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2676.41</v>
      </c>
      <c r="X55" s="8">
        <f>IFERROR(W55/W444, "NA")</f>
        <v>-3.5825376704489889E-2</v>
      </c>
      <c r="Y55" s="9"/>
      <c r="Z55" s="7">
        <v>5982.07</v>
      </c>
      <c r="AA55" s="8">
        <f>IFERROR(Z55/Z444, "NA")</f>
        <v>1.6293688251215661E-3</v>
      </c>
      <c r="AB55" s="9"/>
      <c r="AC55" s="10">
        <f t="shared" si="15"/>
        <v>-3305.66</v>
      </c>
      <c r="AD55" s="8">
        <f>IFERROR(AC55/AC444, "NA")</f>
        <v>-7.6119527502872871E-3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163.22999999999999</v>
      </c>
      <c r="L56" s="8">
        <f>IFERROR(K56/K444, "NA")</f>
        <v>3.3082118927248399E-4</v>
      </c>
      <c r="M56" s="9"/>
      <c r="N56" s="10">
        <f t="shared" si="13"/>
        <v>-163.22999999999999</v>
      </c>
      <c r="O56" s="8">
        <f>IFERROR(N56/N444, "NA")</f>
        <v>-4.7662429811575237E-3</v>
      </c>
      <c r="P56" s="9"/>
      <c r="Q56" s="7">
        <v>155.60000000000002</v>
      </c>
      <c r="R56" s="8">
        <f>IFERROR(Q56/Q444, "NA")</f>
        <v>3.7898757279289341E-5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-2.0828006976579177E-3</v>
      </c>
      <c r="Y56" s="9"/>
      <c r="Z56" s="7">
        <v>2901.41</v>
      </c>
      <c r="AA56" s="8">
        <f>IFERROR(Z56/Z444, "NA")</f>
        <v>7.9027276559718684E-4</v>
      </c>
      <c r="AB56" s="9"/>
      <c r="AC56" s="10">
        <f t="shared" si="15"/>
        <v>-2745.81</v>
      </c>
      <c r="AD56" s="8">
        <f>IFERROR(AC56/AC444, "NA")</f>
        <v>-6.3227845517283493E-3</v>
      </c>
    </row>
    <row r="57" spans="1:30" ht="16.5" customHeight="1" x14ac:dyDescent="0.45">
      <c r="A57" s="17" t="s">
        <v>55</v>
      </c>
      <c r="B57" s="7">
        <v>997.94</v>
      </c>
      <c r="C57" s="8">
        <f>IFERROR(B57/B444, "NA")</f>
        <v>1.8912713602379006E-3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997.94</v>
      </c>
      <c r="I57" s="8">
        <f>IFERROR(H57/H444, "NA")</f>
        <v>-2.9326835197374439E-2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997.94</v>
      </c>
      <c r="O57" s="8">
        <f>IFERROR(N57/N444, "NA")</f>
        <v>2.9139401584367699E-2</v>
      </c>
      <c r="P57" s="9"/>
      <c r="Q57" s="7">
        <v>5508.26</v>
      </c>
      <c r="R57" s="8">
        <f>IFERROR(Q57/Q444, "NA")</f>
        <v>1.3416208789924053E-3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5508.26</v>
      </c>
      <c r="X57" s="8">
        <f>IFERROR(W57/W444, "NA")</f>
        <v>-7.3731412409262218E-2</v>
      </c>
      <c r="Y57" s="9"/>
      <c r="Z57" s="7">
        <v>14356.41</v>
      </c>
      <c r="AA57" s="8">
        <f>IFERROR(Z57/Z444, "NA")</f>
        <v>3.9103331948077344E-3</v>
      </c>
      <c r="AB57" s="9"/>
      <c r="AC57" s="10">
        <f t="shared" si="15"/>
        <v>-8848.15</v>
      </c>
      <c r="AD57" s="8">
        <f>IFERROR(AC57/AC444, "NA")</f>
        <v>-2.0374660348449161E-2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1564.22</v>
      </c>
      <c r="R58" s="8">
        <f>IFERROR(Q58/Q444, "NA")</f>
        <v>3.8098967937924138E-4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1564.22</v>
      </c>
      <c r="X58" s="8">
        <f>IFERROR(W58/W444, "NA")</f>
        <v>-2.093803667924465E-2</v>
      </c>
      <c r="Y58" s="9"/>
      <c r="Z58" s="7">
        <v>3884.2</v>
      </c>
      <c r="AA58" s="8">
        <f>IFERROR(Z58/Z444, "NA")</f>
        <v>1.0579606040279012E-3</v>
      </c>
      <c r="AB58" s="9"/>
      <c r="AC58" s="10">
        <f t="shared" si="15"/>
        <v>-2319.9799999999996</v>
      </c>
      <c r="AD58" s="8">
        <f>IFERROR(AC58/AC444, "NA")</f>
        <v>-5.3422245910382492E-3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197.7</v>
      </c>
      <c r="L59" s="8">
        <f>IFERROR(K59/K444, "NA")</f>
        <v>4.0068216087220539E-4</v>
      </c>
      <c r="M59" s="9"/>
      <c r="N59" s="10">
        <f t="shared" si="13"/>
        <v>-197.7</v>
      </c>
      <c r="O59" s="8">
        <f>IFERROR(N59/N444, "NA")</f>
        <v>-5.7727515614460724E-3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4787.2299999999996</v>
      </c>
      <c r="AA59" s="8">
        <f>IFERROR(Z59/Z444, "NA")</f>
        <v>1.3039237790073862E-3</v>
      </c>
      <c r="AB59" s="9"/>
      <c r="AC59" s="10">
        <f t="shared" si="15"/>
        <v>-4787.2299999999996</v>
      </c>
      <c r="AD59" s="8">
        <f>IFERROR(AC59/AC444, "NA")</f>
        <v>-1.1023568232896852E-2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3.129813824157249E-6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-1.7200507046853623E-4</v>
      </c>
      <c r="Y60" s="9"/>
      <c r="Z60" s="7">
        <v>116.96</v>
      </c>
      <c r="AA60" s="8">
        <f>IFERROR(Z60/Z444, "NA")</f>
        <v>3.1857029052856017E-5</v>
      </c>
      <c r="AB60" s="9"/>
      <c r="AC60" s="10">
        <f t="shared" si="15"/>
        <v>-104.11</v>
      </c>
      <c r="AD60" s="8">
        <f>IFERROR(AC60/AC444, "NA")</f>
        <v>-2.3973439519866214E-4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69003.87000000001</v>
      </c>
      <c r="C61" s="15">
        <f>IFERROR(B61/B444, "NA")</f>
        <v>0.13077443841972392</v>
      </c>
      <c r="D61" s="2"/>
      <c r="E61" s="14">
        <f>IFERROR(E46+E47+E48+E49+E50+E51+E52+E53+E54+E55+E56+E57+E58+E59+E60, "NA")</f>
        <v>145069.5</v>
      </c>
      <c r="F61" s="15">
        <f>IFERROR(E61/E444, "NA")</f>
        <v>0.25827607010107073</v>
      </c>
      <c r="G61" s="2"/>
      <c r="H61" s="14">
        <f t="shared" si="12"/>
        <v>-76065.62999999999</v>
      </c>
      <c r="I61" s="15">
        <f>IFERROR(H61/H444, "NA")</f>
        <v>2.2353690554486851</v>
      </c>
      <c r="J61" s="2"/>
      <c r="K61" s="14">
        <f>IFERROR(K46+K47+K48+K49+K50+K51+K52+K53+K54+K55+K56+K57+K58+K59+K60, "NA")</f>
        <v>101330.41999999997</v>
      </c>
      <c r="L61" s="15">
        <f>IFERROR(K61/K444, "NA")</f>
        <v>0.20536819245163446</v>
      </c>
      <c r="M61" s="2"/>
      <c r="N61" s="14">
        <f t="shared" si="13"/>
        <v>-32326.549999999959</v>
      </c>
      <c r="O61" s="15">
        <f>IFERROR(N61/N444, "NA")</f>
        <v>-0.94392079913335514</v>
      </c>
      <c r="P61" s="2"/>
      <c r="Q61" s="14">
        <f>IFERROR(Q46+Q47+Q48+Q49+Q50+Q51+Q52+Q53+Q54+Q55+Q56+Q57+Q58+Q59+Q60, "NA")</f>
        <v>646029.23</v>
      </c>
      <c r="R61" s="15">
        <f>IFERROR(Q61/Q444, "NA")</f>
        <v>0.15735028909444848</v>
      </c>
      <c r="S61" s="2"/>
      <c r="T61" s="14">
        <f>IFERROR(T46+T47+T48+T49+T50+T51+T52+T53+T54+T55+T56+T57+T58+T59+T60, "NA")</f>
        <v>1079195.6299999999</v>
      </c>
      <c r="U61" s="15">
        <f>IFERROR(T61/T444, "NA")</f>
        <v>0.25815714208475971</v>
      </c>
      <c r="V61" s="2"/>
      <c r="W61" s="14">
        <f t="shared" si="14"/>
        <v>-433166.39999999991</v>
      </c>
      <c r="X61" s="15">
        <f>IFERROR(W61/W444, "NA")</f>
        <v>5.7981958876733186</v>
      </c>
      <c r="Y61" s="2"/>
      <c r="Z61" s="14">
        <f>IFERROR(Z46+Z47+Z48+Z49+Z50+Z51+Z52+Z53+Z54+Z55+Z56+Z57+Z58+Z59+Z60, "NA")</f>
        <v>854452.82999999984</v>
      </c>
      <c r="AA61" s="15">
        <f>IFERROR(Z61/Z444, "NA")</f>
        <v>0.23273194792753965</v>
      </c>
      <c r="AB61" s="2"/>
      <c r="AC61" s="14">
        <f t="shared" si="15"/>
        <v>-208423.59999999986</v>
      </c>
      <c r="AD61" s="15">
        <f>IFERROR(AC61/AC444, "NA")</f>
        <v>-0.47993762070048834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84333.840000000011</v>
      </c>
      <c r="C62" s="15">
        <f>IFERROR(B62/B444, "NA")</f>
        <v>0.15982742077768752</v>
      </c>
      <c r="D62" s="2"/>
      <c r="E62" s="14">
        <f>IFERROR(E42+E43+E44+E46+E47+E48+E49+E50+E51+E52+E53+E54+E55+E56+E57+E58+E59+E60, "NA")</f>
        <v>145069.5</v>
      </c>
      <c r="F62" s="15">
        <f>IFERROR(E62/E444, "NA")</f>
        <v>0.25827607010107073</v>
      </c>
      <c r="G62" s="2"/>
      <c r="H62" s="14">
        <f t="shared" si="12"/>
        <v>-60735.659999999989</v>
      </c>
      <c r="I62" s="15">
        <f>IFERROR(H62/H444, "NA")</f>
        <v>1.7848615061263868</v>
      </c>
      <c r="J62" s="2"/>
      <c r="K62" s="14">
        <f>IFERROR(K42+K43+K44+K46+K47+K48+K49+K50+K51+K52+K53+K54+K55+K56+K57+K58+K59+K60, "NA")</f>
        <v>101330.41999999997</v>
      </c>
      <c r="L62" s="15">
        <f>IFERROR(K62/K444, "NA")</f>
        <v>0.20536819245163446</v>
      </c>
      <c r="M62" s="2"/>
      <c r="N62" s="14">
        <f t="shared" si="13"/>
        <v>-16996.579999999958</v>
      </c>
      <c r="O62" s="15">
        <f>IFERROR(N62/N444, "NA")</f>
        <v>-0.4962925327983958</v>
      </c>
      <c r="P62" s="2"/>
      <c r="Q62" s="14">
        <f>IFERROR(Q42+Q43+Q44+Q46+Q47+Q48+Q49+Q50+Q51+Q52+Q53+Q54+Q55+Q56+Q57+Q58+Q59+Q60, "NA")</f>
        <v>860886.32000000007</v>
      </c>
      <c r="R62" s="15">
        <f>IFERROR(Q62/Q444, "NA")</f>
        <v>0.20968201598162345</v>
      </c>
      <c r="S62" s="2"/>
      <c r="T62" s="14">
        <f>IFERROR(T42+T43+T44+T46+T47+T48+T49+T50+T51+T52+T53+T54+T55+T56+T57+T58+T59+T60, "NA")</f>
        <v>1079195.6299999999</v>
      </c>
      <c r="U62" s="15">
        <f>IFERROR(T62/T444, "NA")</f>
        <v>0.25815714208475971</v>
      </c>
      <c r="V62" s="2"/>
      <c r="W62" s="14">
        <f t="shared" si="14"/>
        <v>-218309.30999999982</v>
      </c>
      <c r="X62" s="15">
        <f>IFERROR(W62/W444, "NA")</f>
        <v>2.9222029766916338</v>
      </c>
      <c r="Y62" s="2"/>
      <c r="Z62" s="14">
        <f>IFERROR(Z42+Z43+Z44+Z46+Z47+Z48+Z49+Z50+Z51+Z52+Z53+Z54+Z55+Z56+Z57+Z58+Z59+Z60, "NA")</f>
        <v>880720.27999999991</v>
      </c>
      <c r="AA62" s="15">
        <f>IFERROR(Z62/Z444, "NA")</f>
        <v>0.23988655563782046</v>
      </c>
      <c r="AB62" s="2"/>
      <c r="AC62" s="14">
        <f t="shared" si="15"/>
        <v>-19833.959999999846</v>
      </c>
      <c r="AD62" s="15">
        <f>IFERROR(AC62/AC444, "NA")</f>
        <v>-4.5671716501723372E-2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14907.12</v>
      </c>
      <c r="C65" s="8">
        <f>IFERROR(B65/B444, "NA")</f>
        <v>2.8251607430937346E-2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14907.12</v>
      </c>
      <c r="I65" s="8">
        <f>IFERROR(H65/H444, "NA")</f>
        <v>-0.43808109857053978</v>
      </c>
      <c r="J65" s="9"/>
      <c r="K65" s="7">
        <v>977.27</v>
      </c>
      <c r="L65" s="8">
        <f>IFERROR(K65/K444, "NA")</f>
        <v>1.980650760523926E-3</v>
      </c>
      <c r="M65" s="9"/>
      <c r="N65" s="10">
        <f t="shared" si="17"/>
        <v>13929.85</v>
      </c>
      <c r="O65" s="8">
        <f>IFERROR(N65/N444, "NA")</f>
        <v>0.4067453886606453</v>
      </c>
      <c r="P65" s="9"/>
      <c r="Q65" s="7">
        <v>58540.94999999999</v>
      </c>
      <c r="R65" s="8">
        <f>IFERROR(Q65/Q444, "NA")</f>
        <v>1.4258542769595196E-2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58540.94999999999</v>
      </c>
      <c r="X65" s="8">
        <f>IFERROR(W65/W444, "NA")</f>
        <v>-0.7836062435832728</v>
      </c>
      <c r="Y65" s="9"/>
      <c r="Z65" s="7">
        <v>4220.13</v>
      </c>
      <c r="AA65" s="8">
        <f>IFERROR(Z65/Z444, "NA")</f>
        <v>1.1494596786664609E-3</v>
      </c>
      <c r="AB65" s="9"/>
      <c r="AC65" s="10">
        <f t="shared" si="19"/>
        <v>54320.819999999992</v>
      </c>
      <c r="AD65" s="8">
        <f>IFERROR(AC65/AC444, "NA")</f>
        <v>0.12508470780324069</v>
      </c>
    </row>
    <row r="66" spans="1:30" ht="16.5" customHeight="1" x14ac:dyDescent="0.45">
      <c r="A66" s="12" t="s">
        <v>63</v>
      </c>
      <c r="B66" s="7">
        <v>13989.25</v>
      </c>
      <c r="C66" s="8">
        <f>IFERROR(B66/B444, "NA")</f>
        <v>2.6512082766707468E-2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13989.25</v>
      </c>
      <c r="I66" s="8">
        <f>IFERROR(H66/H444, "NA")</f>
        <v>-0.41110731034417936</v>
      </c>
      <c r="J66" s="9"/>
      <c r="K66" s="7">
        <v>25755.46</v>
      </c>
      <c r="L66" s="8">
        <f>IFERROR(K66/K444, "NA")</f>
        <v>5.2199055979047303E-2</v>
      </c>
      <c r="M66" s="9"/>
      <c r="N66" s="10">
        <f t="shared" si="17"/>
        <v>-11766.21</v>
      </c>
      <c r="O66" s="8">
        <f>IFERROR(N66/N444, "NA")</f>
        <v>-0.34356806853718963</v>
      </c>
      <c r="P66" s="9"/>
      <c r="Q66" s="7">
        <v>136608.99</v>
      </c>
      <c r="R66" s="8">
        <f>IFERROR(Q66/Q444, "NA")</f>
        <v>3.3273206646393723E-2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136608.99</v>
      </c>
      <c r="X66" s="8">
        <f>IFERROR(W66/W444, "NA")</f>
        <v>-1.8285944709405106</v>
      </c>
      <c r="Y66" s="9"/>
      <c r="Z66" s="7">
        <v>95139.06</v>
      </c>
      <c r="AA66" s="8">
        <f>IFERROR(Z66/Z444, "NA")</f>
        <v>2.5913541368685119E-2</v>
      </c>
      <c r="AB66" s="9"/>
      <c r="AC66" s="10">
        <f t="shared" si="19"/>
        <v>41469.929999999993</v>
      </c>
      <c r="AD66" s="8">
        <f>IFERROR(AC66/AC444, "NA")</f>
        <v>9.5492926591882174E-2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2.4070947525828834E-3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-0.13228662335976082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2.2757036731818059E-2</v>
      </c>
    </row>
    <row r="68" spans="1:30" ht="16.5" customHeight="1" x14ac:dyDescent="0.45">
      <c r="A68" s="12" t="s">
        <v>65</v>
      </c>
      <c r="B68" s="7">
        <v>7495.1500000000005</v>
      </c>
      <c r="C68" s="8">
        <f>IFERROR(B68/B444, "NA")</f>
        <v>1.4204624061253283E-2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7495.1500000000005</v>
      </c>
      <c r="I68" s="8">
        <f>IFERROR(H68/H444, "NA")</f>
        <v>-0.22026277013608137</v>
      </c>
      <c r="J68" s="9"/>
      <c r="K68" s="7">
        <v>0</v>
      </c>
      <c r="L68" s="8">
        <f>IFERROR(K68/K444, "NA")</f>
        <v>0</v>
      </c>
      <c r="M68" s="9"/>
      <c r="N68" s="10">
        <f t="shared" si="17"/>
        <v>7495.1500000000005</v>
      </c>
      <c r="O68" s="8">
        <f>IFERROR(N68/N444, "NA")</f>
        <v>0.21885502714098398</v>
      </c>
      <c r="P68" s="9"/>
      <c r="Q68" s="7">
        <v>20529.419999999998</v>
      </c>
      <c r="R68" s="8">
        <f>IFERROR(Q68/Q444, "NA")</f>
        <v>5.000253892445938E-3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20529.419999999998</v>
      </c>
      <c r="X68" s="8">
        <f>IFERROR(W68/W444, "NA")</f>
        <v>-0.27479878083876863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20529.419999999998</v>
      </c>
      <c r="AD68" s="8">
        <f>IFERROR(AC68/AC444, "NA")</f>
        <v>4.7273154235705675E-2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36391.520000000004</v>
      </c>
      <c r="C73" s="15">
        <f>IFERROR(B73/B444, "NA")</f>
        <v>6.89683142588981E-2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36391.520000000004</v>
      </c>
      <c r="I73" s="15">
        <f>IFERROR(H73/H444, "NA")</f>
        <v>-1.0694511790508006</v>
      </c>
      <c r="J73" s="2"/>
      <c r="K73" s="14">
        <f>IFERROR(K64+K65+K66+K67+K68+K69+K70+K71+K72, "NA")</f>
        <v>26732.73</v>
      </c>
      <c r="L73" s="15">
        <f>IFERROR(K73/K444, "NA")</f>
        <v>5.4179706739571232E-2</v>
      </c>
      <c r="M73" s="2"/>
      <c r="N73" s="14">
        <f t="shared" si="17"/>
        <v>9658.7900000000045</v>
      </c>
      <c r="O73" s="15">
        <f>IFERROR(N73/N444, "NA")</f>
        <v>0.28203234726443976</v>
      </c>
      <c r="P73" s="2"/>
      <c r="Q73" s="14">
        <f>IFERROR(Q64+Q65+Q66+Q67+Q68+Q69+Q70+Q71+Q72, "NA")</f>
        <v>225562.11</v>
      </c>
      <c r="R73" s="15">
        <f>IFERROR(Q73/Q444, "NA")</f>
        <v>5.4939098061017745E-2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225562.11</v>
      </c>
      <c r="X73" s="15">
        <f>IFERROR(W73/W444, "NA")</f>
        <v>-3.019286118722313</v>
      </c>
      <c r="Y73" s="2"/>
      <c r="Z73" s="14">
        <f>IFERROR(Z64+Z65+Z66+Z67+Z68+Z69+Z70+Z71+Z72, "NA")</f>
        <v>99359.19</v>
      </c>
      <c r="AA73" s="15">
        <f>IFERROR(Z73/Z444, "NA")</f>
        <v>2.7063001047351581E-2</v>
      </c>
      <c r="AB73" s="2"/>
      <c r="AC73" s="14">
        <f t="shared" si="19"/>
        <v>126202.91999999998</v>
      </c>
      <c r="AD73" s="15">
        <f>IFERROR(AC73/AC444, "NA")</f>
        <v>0.29060782536264662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9963.119999999999</v>
      </c>
      <c r="F75" s="8">
        <f>IFERROR(E75/E444, "NA")</f>
        <v>1.7737949600332113E-2</v>
      </c>
      <c r="G75" s="9"/>
      <c r="H75" s="10">
        <f t="shared" ref="H75:H92" si="20">IFERROR(B75-E75, "NA")</f>
        <v>-9963.119999999999</v>
      </c>
      <c r="I75" s="8">
        <f>IFERROR(H75/H444, "NA")</f>
        <v>0.29278992553827404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74199.08</v>
      </c>
      <c r="U75" s="8">
        <f>IFERROR(T75/T444, "NA")</f>
        <v>1.7749351373965862E-2</v>
      </c>
      <c r="V75" s="9"/>
      <c r="W75" s="10">
        <f t="shared" ref="W75:W92" si="22">IFERROR(Q75-T75, "NA")</f>
        <v>-74199.08</v>
      </c>
      <c r="X75" s="8">
        <f>IFERROR(W75/W444, "NA")</f>
        <v>0.993199843120666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1560.9099999999999</v>
      </c>
      <c r="C77" s="8">
        <f>IFERROR(B77/B444, "NA")</f>
        <v>2.9581982673396608E-3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1560.9099999999999</v>
      </c>
      <c r="I77" s="8">
        <f>IFERROR(H77/H444, "NA")</f>
        <v>-4.5871044679974479E-2</v>
      </c>
      <c r="J77" s="9"/>
      <c r="K77" s="7">
        <v>481.39</v>
      </c>
      <c r="L77" s="8">
        <f>IFERROR(K77/K444, "NA")</f>
        <v>9.7564180790223054E-4</v>
      </c>
      <c r="M77" s="9"/>
      <c r="N77" s="10">
        <f t="shared" si="21"/>
        <v>1079.52</v>
      </c>
      <c r="O77" s="8">
        <f>IFERROR(N77/N444, "NA")</f>
        <v>3.1521501090603261E-2</v>
      </c>
      <c r="P77" s="9"/>
      <c r="Q77" s="7">
        <v>18071.21</v>
      </c>
      <c r="R77" s="8">
        <f>IFERROR(Q77/Q444, "NA")</f>
        <v>4.401519290058266E-3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18071.21</v>
      </c>
      <c r="X77" s="8">
        <f>IFERROR(W77/W444, "NA")</f>
        <v>-0.24189414393009467</v>
      </c>
      <c r="Y77" s="9"/>
      <c r="Z77" s="7">
        <v>3309.9300000000003</v>
      </c>
      <c r="AA77" s="8">
        <f>IFERROR(Z77/Z444, "NA")</f>
        <v>9.015435719298882E-4</v>
      </c>
      <c r="AB77" s="9"/>
      <c r="AC77" s="10">
        <f t="shared" si="23"/>
        <v>14761.279999999999</v>
      </c>
      <c r="AD77" s="8">
        <f>IFERROR(AC77/AC444, "NA")</f>
        <v>3.3990841736222334E-2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9.4758771080320488E-5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-1.4693686593068942E-3</v>
      </c>
      <c r="J78" s="9"/>
      <c r="K78" s="7">
        <v>25</v>
      </c>
      <c r="L78" s="8">
        <f>IFERROR(K78/K444, "NA")</f>
        <v>5.066795155187221E-5</v>
      </c>
      <c r="M78" s="9"/>
      <c r="N78" s="10">
        <f t="shared" si="21"/>
        <v>25</v>
      </c>
      <c r="O78" s="8">
        <f>IFERROR(N78/N444, "NA")</f>
        <v>7.2998881657132943E-4</v>
      </c>
      <c r="P78" s="9"/>
      <c r="Q78" s="7">
        <v>375</v>
      </c>
      <c r="R78" s="8">
        <f>IFERROR(Q78/Q444, "NA")</f>
        <v>9.1336979304199874E-5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375</v>
      </c>
      <c r="X78" s="8">
        <f>IFERROR(W78/W444, "NA")</f>
        <v>-5.0196032237899684E-3</v>
      </c>
      <c r="Y78" s="9"/>
      <c r="Z78" s="7">
        <v>275</v>
      </c>
      <c r="AA78" s="8">
        <f>IFERROR(Z78/Z444, "NA")</f>
        <v>7.4903240334605025E-5</v>
      </c>
      <c r="AB78" s="9"/>
      <c r="AC78" s="10">
        <f t="shared" si="23"/>
        <v>100</v>
      </c>
      <c r="AD78" s="8">
        <f>IFERROR(AC78/AC444, "NA")</f>
        <v>2.3027028642653169E-4</v>
      </c>
    </row>
    <row r="79" spans="1:30" ht="16.5" customHeight="1" x14ac:dyDescent="0.45">
      <c r="A79" s="12" t="s">
        <v>75</v>
      </c>
      <c r="B79" s="7">
        <v>8.9700000000000006</v>
      </c>
      <c r="C79" s="8">
        <f>IFERROR(B79/B444, "NA")</f>
        <v>1.6999723531809496E-5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8.9700000000000006</v>
      </c>
      <c r="I79" s="8">
        <f>IFERROR(H79/H444, "NA")</f>
        <v>-2.6360473747965684E-4</v>
      </c>
      <c r="J79" s="9"/>
      <c r="K79" s="7">
        <v>0</v>
      </c>
      <c r="L79" s="8">
        <f>IFERROR(K79/K444, "NA")</f>
        <v>0</v>
      </c>
      <c r="M79" s="9"/>
      <c r="N79" s="10">
        <f t="shared" si="21"/>
        <v>8.9700000000000006</v>
      </c>
      <c r="O79" s="8">
        <f>IFERROR(N79/N444, "NA")</f>
        <v>2.6191998738579303E-4</v>
      </c>
      <c r="P79" s="9"/>
      <c r="Q79" s="7">
        <v>14.080000000000002</v>
      </c>
      <c r="R79" s="8">
        <f>IFERROR(Q79/Q444, "NA")</f>
        <v>3.4293991162750247E-6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14.080000000000002</v>
      </c>
      <c r="X79" s="8">
        <f>IFERROR(W79/W444, "NA")</f>
        <v>-1.8846936904256737E-4</v>
      </c>
      <c r="Y79" s="9"/>
      <c r="Z79" s="7">
        <v>272.09000000000003</v>
      </c>
      <c r="AA79" s="8">
        <f>IFERROR(Z79/Z444, "NA")</f>
        <v>7.4110627864155219E-5</v>
      </c>
      <c r="AB79" s="9"/>
      <c r="AC79" s="10">
        <f t="shared" si="23"/>
        <v>-258.01000000000005</v>
      </c>
      <c r="AD79" s="8">
        <f>IFERROR(AC79/AC444, "NA")</f>
        <v>-5.9412036600909452E-4</v>
      </c>
    </row>
    <row r="80" spans="1:30" ht="16.5" customHeight="1" x14ac:dyDescent="0.45">
      <c r="A80" s="12" t="s">
        <v>76</v>
      </c>
      <c r="B80" s="7">
        <v>5067.96</v>
      </c>
      <c r="C80" s="8">
        <f>IFERROR(B80/B444, "NA")</f>
        <v>9.6046732296844201E-3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5067.96</v>
      </c>
      <c r="I80" s="8">
        <f>IFERROR(H80/H444, "NA")</f>
        <v>-0.14893403181241935</v>
      </c>
      <c r="J80" s="9"/>
      <c r="K80" s="7">
        <v>7727.0499999999993</v>
      </c>
      <c r="L80" s="8">
        <f>IFERROR(K80/K444, "NA")</f>
        <v>1.5660551801555764E-2</v>
      </c>
      <c r="M80" s="9"/>
      <c r="N80" s="10">
        <f t="shared" si="21"/>
        <v>-2659.0899999999992</v>
      </c>
      <c r="O80" s="8">
        <f>IFERROR(N80/N444, "NA")</f>
        <v>-7.7644238490266221E-2</v>
      </c>
      <c r="P80" s="9"/>
      <c r="Q80" s="7">
        <v>49840.49</v>
      </c>
      <c r="R80" s="8">
        <f>IFERROR(Q80/Q444, "NA")</f>
        <v>1.2139412809709815E-2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49840.49</v>
      </c>
      <c r="X80" s="8">
        <f>IFERROR(W80/W444, "NA")</f>
        <v>-0.66714529141139112</v>
      </c>
      <c r="Y80" s="9"/>
      <c r="Z80" s="7">
        <v>61268.2</v>
      </c>
      <c r="AA80" s="8">
        <f>IFERROR(Z80/Z444, "NA")</f>
        <v>1.6687951670795082E-2</v>
      </c>
      <c r="AB80" s="9"/>
      <c r="AC80" s="10">
        <f t="shared" si="23"/>
        <v>-11427.71</v>
      </c>
      <c r="AD80" s="8">
        <f>IFERROR(AC80/AC444, "NA")</f>
        <v>-2.6314620548993403E-2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50</v>
      </c>
      <c r="R82" s="8">
        <f>IFERROR(Q82/Q444, "NA")</f>
        <v>1.2178263907226649E-5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-6.6928042983866246E-4</v>
      </c>
      <c r="Y82" s="9"/>
      <c r="Z82" s="7">
        <v>100</v>
      </c>
      <c r="AA82" s="8">
        <f>IFERROR(Z82/Z444, "NA")</f>
        <v>2.7237541939856374E-5</v>
      </c>
      <c r="AB82" s="9"/>
      <c r="AC82" s="10">
        <f t="shared" si="23"/>
        <v>-50</v>
      </c>
      <c r="AD82" s="8">
        <f>IFERROR(AC82/AC444, "NA")</f>
        <v>-1.1513514321326585E-4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235.98000000000002</v>
      </c>
      <c r="AA85" s="8">
        <f>IFERROR(Z85/Z444, "NA")</f>
        <v>6.4275151469673085E-5</v>
      </c>
      <c r="AB85" s="9"/>
      <c r="AC85" s="10">
        <f t="shared" si="23"/>
        <v>-235.98000000000002</v>
      </c>
      <c r="AD85" s="8">
        <f>IFERROR(AC85/AC444, "NA")</f>
        <v>-5.433918219093295E-4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4.7379385540160244E-5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-7.3468432965344711E-4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7.2998881657132943E-4</v>
      </c>
      <c r="P86" s="9"/>
      <c r="Q86" s="7">
        <v>100</v>
      </c>
      <c r="R86" s="8">
        <f>IFERROR(Q86/Q444, "NA")</f>
        <v>2.4356527814453299E-5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100</v>
      </c>
      <c r="X86" s="8">
        <f>IFERROR(W86/W444, "NA")</f>
        <v>-1.3385608596773249E-3</v>
      </c>
      <c r="Y86" s="9"/>
      <c r="Z86" s="7">
        <v>820</v>
      </c>
      <c r="AA86" s="8">
        <f>IFERROR(Z86/Z444, "NA")</f>
        <v>2.2334784390682229E-4</v>
      </c>
      <c r="AB86" s="9"/>
      <c r="AC86" s="10">
        <f t="shared" si="23"/>
        <v>-720</v>
      </c>
      <c r="AD86" s="8">
        <f>IFERROR(AC86/AC444, "NA")</f>
        <v>-1.6579460622710282E-3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2.4071069308467905E-4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-1.3228729264019065E-2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2.2757151866961271E-3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6712.84</v>
      </c>
      <c r="C88" s="15">
        <f>IFERROR(B88/B444, "NA")</f>
        <v>1.2722009377176373E-2</v>
      </c>
      <c r="D88" s="2"/>
      <c r="E88" s="14">
        <f>IFERROR(E75+E76+E77+E78+E79+E80+E81+E82+E83+E84+E85+E86+E87, "NA")</f>
        <v>9963.119999999999</v>
      </c>
      <c r="F88" s="15">
        <f>IFERROR(E88/E444, "NA")</f>
        <v>1.7737949600332113E-2</v>
      </c>
      <c r="G88" s="2"/>
      <c r="H88" s="14">
        <f t="shared" si="20"/>
        <v>-3250.2799999999988</v>
      </c>
      <c r="I88" s="15">
        <f>IFERROR(H88/H444, "NA")</f>
        <v>9.5517191319440198E-2</v>
      </c>
      <c r="J88" s="2"/>
      <c r="K88" s="14">
        <f>IFERROR(K75+K76+K77+K78+K79+K80+K81+K82+K83+K84+K85+K86+K87, "NA")</f>
        <v>8233.4399999999987</v>
      </c>
      <c r="L88" s="15">
        <f>IFERROR(K88/K444, "NA")</f>
        <v>1.6686861561009868E-2</v>
      </c>
      <c r="M88" s="2"/>
      <c r="N88" s="14">
        <f t="shared" si="21"/>
        <v>-1520.5999999999985</v>
      </c>
      <c r="O88" s="15">
        <f>IFERROR(N88/N444, "NA")</f>
        <v>-4.4400839779134497E-2</v>
      </c>
      <c r="P88" s="2"/>
      <c r="Q88" s="14">
        <f>IFERROR(Q75+Q76+Q77+Q78+Q79+Q80+Q81+Q82+Q83+Q84+Q85+Q86+Q87, "NA")</f>
        <v>69439.06</v>
      </c>
      <c r="R88" s="15">
        <f>IFERROR(Q88/Q444, "NA")</f>
        <v>1.6912943962994913E-2</v>
      </c>
      <c r="S88" s="2"/>
      <c r="T88" s="14">
        <f>IFERROR(T75+T76+T77+T78+T79+T80+T81+T82+T83+T84+T85+T86+T87, "NA")</f>
        <v>74199.08</v>
      </c>
      <c r="U88" s="15">
        <f>IFERROR(T88/T444, "NA")</f>
        <v>1.7749351373965862E-2</v>
      </c>
      <c r="V88" s="2"/>
      <c r="W88" s="14">
        <f t="shared" si="22"/>
        <v>-4760.0200000000041</v>
      </c>
      <c r="X88" s="15">
        <f>IFERROR(W88/W444, "NA")</f>
        <v>6.3715764632812658E-2</v>
      </c>
      <c r="Y88" s="2"/>
      <c r="Z88" s="14">
        <f>IFERROR(Z75+Z76+Z77+Z78+Z79+Z80+Z81+Z82+Z83+Z84+Z85+Z86+Z87, "NA")</f>
        <v>66281.200000000012</v>
      </c>
      <c r="AA88" s="15">
        <f>IFERROR(Z88/Z444, "NA")</f>
        <v>1.8053369648240086E-2</v>
      </c>
      <c r="AB88" s="2"/>
      <c r="AC88" s="14">
        <f t="shared" si="23"/>
        <v>3157.859999999986</v>
      </c>
      <c r="AD88" s="15">
        <f>IFERROR(AC88/AC444, "NA")</f>
        <v>7.2716132669488412E-3</v>
      </c>
    </row>
    <row r="89" spans="1:30" ht="16.5" customHeight="1" x14ac:dyDescent="0.45">
      <c r="A89" s="6" t="s">
        <v>85</v>
      </c>
      <c r="B89" s="7">
        <v>-114.28</v>
      </c>
      <c r="C89" s="8">
        <f>IFERROR(B89/B444, "NA")</f>
        <v>-2.1658064718118052E-4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-114.28</v>
      </c>
      <c r="I89" s="8">
        <f>IFERROR(H89/H444, "NA")</f>
        <v>3.3583890077118371E-3</v>
      </c>
      <c r="J89" s="9"/>
      <c r="K89" s="7">
        <v>2181.7399999999998</v>
      </c>
      <c r="L89" s="8">
        <f>IFERROR(K89/K444, "NA")</f>
        <v>4.4217718647512668E-3</v>
      </c>
      <c r="M89" s="9"/>
      <c r="N89" s="10">
        <f t="shared" si="21"/>
        <v>-2296.02</v>
      </c>
      <c r="O89" s="8">
        <f>IFERROR(N89/N444, "NA")</f>
        <v>-6.704275690496414E-2</v>
      </c>
      <c r="P89" s="9"/>
      <c r="Q89" s="7">
        <v>-316.47000000000003</v>
      </c>
      <c r="R89" s="8">
        <f>IFERROR(Q89/Q444, "NA")</f>
        <v>-7.7081103574400361E-5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-316.47000000000003</v>
      </c>
      <c r="X89" s="8">
        <f>IFERROR(W89/W444, "NA")</f>
        <v>4.2361435526208305E-3</v>
      </c>
      <c r="Y89" s="9"/>
      <c r="Z89" s="7">
        <v>-2307.6600000000003</v>
      </c>
      <c r="AA89" s="8">
        <f>IFERROR(Z89/Z444, "NA")</f>
        <v>-6.2854986032928974E-4</v>
      </c>
      <c r="AB89" s="9"/>
      <c r="AC89" s="10">
        <f t="shared" si="23"/>
        <v>1991.1900000000003</v>
      </c>
      <c r="AD89" s="8">
        <f>IFERROR(AC89/AC444, "NA")</f>
        <v>4.5851189162964571E-3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-20960.14</v>
      </c>
      <c r="F94" s="8">
        <f>IFERROR(E94/E444, "NA")</f>
        <v>-3.7316614367377404E-2</v>
      </c>
      <c r="G94" s="9"/>
      <c r="H94" s="10">
        <f t="shared" ref="H94:H124" si="24">IFERROR(B94-E94, "NA")</f>
        <v>20960.14</v>
      </c>
      <c r="I94" s="8">
        <f>IFERROR(H94/H444, "NA")</f>
        <v>-0.61596345621369608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-156384.88</v>
      </c>
      <c r="U94" s="8">
        <f>IFERROR(T94/T444, "NA")</f>
        <v>-3.7409226431048555E-2</v>
      </c>
      <c r="V94" s="9"/>
      <c r="W94" s="10">
        <f t="shared" ref="W94:W124" si="26">IFERROR(Q94-T94, "NA")</f>
        <v>156384.88</v>
      </c>
      <c r="X94" s="8">
        <f>IFERROR(W94/W444, "NA")</f>
        <v>-2.093306794133353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-7649.2400000000007</v>
      </c>
      <c r="C96" s="8">
        <f>IFERROR(B96/B444, "NA")</f>
        <v>-1.4496651641968615E-2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-7649.2400000000007</v>
      </c>
      <c r="I96" s="8">
        <f>IFERROR(H96/H444, "NA")</f>
        <v>0.22479107047033337</v>
      </c>
      <c r="J96" s="9"/>
      <c r="K96" s="7">
        <v>-2207.52</v>
      </c>
      <c r="L96" s="8">
        <f>IFERROR(K96/K444, "NA")</f>
        <v>-4.4740206563915579E-3</v>
      </c>
      <c r="M96" s="9"/>
      <c r="N96" s="10">
        <f t="shared" si="25"/>
        <v>-5441.7200000000012</v>
      </c>
      <c r="O96" s="8">
        <f>IFERROR(N96/N444, "NA")</f>
        <v>-0.15889578971650142</v>
      </c>
      <c r="P96" s="9"/>
      <c r="Q96" s="7">
        <v>-54871.150000000009</v>
      </c>
      <c r="R96" s="8">
        <f>IFERROR(Q96/Q444, "NA")</f>
        <v>-1.3364706911860393E-2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-54871.150000000009</v>
      </c>
      <c r="X96" s="8">
        <f>IFERROR(W96/W444, "NA")</f>
        <v>0.7344837371548345</v>
      </c>
      <c r="Y96" s="9"/>
      <c r="Z96" s="7">
        <v>-18154.300000000003</v>
      </c>
      <c r="AA96" s="8">
        <f>IFERROR(Z96/Z444, "NA")</f>
        <v>-4.9447850763873471E-3</v>
      </c>
      <c r="AB96" s="9"/>
      <c r="AC96" s="10">
        <f t="shared" si="27"/>
        <v>-36716.850000000006</v>
      </c>
      <c r="AD96" s="8">
        <f>IFERROR(AC96/AC444, "NA")</f>
        <v>-8.4547995661800018E-2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-15881.539999999999</v>
      </c>
      <c r="C98" s="8">
        <f>IFERROR(B98/B444, "NA")</f>
        <v>-3.0098304265259061E-2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-15881.539999999999</v>
      </c>
      <c r="I98" s="8">
        <f>IFERROR(H98/H444, "NA")</f>
        <v>0.46671674275057617</v>
      </c>
      <c r="J98" s="9"/>
      <c r="K98" s="7">
        <v>-10731.48</v>
      </c>
      <c r="L98" s="8">
        <f>IFERROR(K98/K444, "NA")</f>
        <v>-2.1749684348795421E-2</v>
      </c>
      <c r="M98" s="9"/>
      <c r="N98" s="10">
        <f t="shared" si="25"/>
        <v>-5150.0599999999995</v>
      </c>
      <c r="O98" s="8">
        <f>IFERROR(N98/N444, "NA")</f>
        <v>-0.15037944818685361</v>
      </c>
      <c r="P98" s="9"/>
      <c r="Q98" s="7">
        <v>-81229.299999999988</v>
      </c>
      <c r="R98" s="8">
        <f>IFERROR(Q98/Q444, "NA")</f>
        <v>-1.978463704798571E-2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-81229.299999999988</v>
      </c>
      <c r="X98" s="8">
        <f>IFERROR(W98/W444, "NA")</f>
        <v>1.0873036163898731</v>
      </c>
      <c r="Y98" s="9"/>
      <c r="Z98" s="7">
        <v>-68102.33</v>
      </c>
      <c r="AA98" s="8">
        <f>IFERROR(Z98/Z444, "NA")</f>
        <v>-1.8549400695769391E-2</v>
      </c>
      <c r="AB98" s="9"/>
      <c r="AC98" s="10">
        <f t="shared" si="27"/>
        <v>-13126.969999999987</v>
      </c>
      <c r="AD98" s="8">
        <f>IFERROR(AC98/AC444, "NA")</f>
        <v>-3.0227511418124856E-2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-2419.5100000000002</v>
      </c>
      <c r="C100" s="8">
        <f>IFERROR(B100/B444, "NA")</f>
        <v>-4.5853958843309253E-3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-2419.5100000000002</v>
      </c>
      <c r="I100" s="8">
        <f>IFERROR(H100/H444, "NA")</f>
        <v>7.1103043297592469E-2</v>
      </c>
      <c r="J100" s="9"/>
      <c r="K100" s="7">
        <v>-235.3</v>
      </c>
      <c r="L100" s="8">
        <f>IFERROR(K100/K444, "NA")</f>
        <v>-4.7688676000622125E-4</v>
      </c>
      <c r="M100" s="9"/>
      <c r="N100" s="10">
        <f t="shared" si="25"/>
        <v>-2184.21</v>
      </c>
      <c r="O100" s="8">
        <f>IFERROR(N100/N444, "NA")</f>
        <v>-6.3777954921730537E-2</v>
      </c>
      <c r="P100" s="9"/>
      <c r="Q100" s="7">
        <v>-14429.869999999999</v>
      </c>
      <c r="R100" s="8">
        <f>IFERROR(Q100/Q444, "NA")</f>
        <v>-3.5146153001394519E-3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-14429.869999999999</v>
      </c>
      <c r="X100" s="8">
        <f>IFERROR(W100/W444, "NA")</f>
        <v>0.19315259192232037</v>
      </c>
      <c r="Y100" s="9"/>
      <c r="Z100" s="7">
        <v>-8936.35</v>
      </c>
      <c r="AA100" s="8">
        <f>IFERROR(Z100/Z444, "NA")</f>
        <v>-2.4340420791423554E-3</v>
      </c>
      <c r="AB100" s="9"/>
      <c r="AC100" s="10">
        <f t="shared" si="27"/>
        <v>-5493.5199999999986</v>
      </c>
      <c r="AD100" s="8">
        <f>IFERROR(AC100/AC444, "NA")</f>
        <v>-1.26499442388988E-2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-4652.9400000000005</v>
      </c>
      <c r="C102" s="8">
        <f>IFERROR(B102/B444, "NA")</f>
        <v>-8.8181375262093298E-3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-4652.9400000000005</v>
      </c>
      <c r="I102" s="8">
        <f>IFERROR(H102/H444, "NA")</f>
        <v>0.1367376841927084</v>
      </c>
      <c r="J102" s="9"/>
      <c r="K102" s="7">
        <v>-869.86</v>
      </c>
      <c r="L102" s="8">
        <f>IFERROR(K102/K444, "NA")</f>
        <v>-1.7629609734764625E-3</v>
      </c>
      <c r="M102" s="9"/>
      <c r="N102" s="10">
        <f t="shared" si="25"/>
        <v>-3783.0800000000004</v>
      </c>
      <c r="O102" s="8">
        <f>IFERROR(N102/N444, "NA")</f>
        <v>-0.1104642436877866</v>
      </c>
      <c r="P102" s="9"/>
      <c r="Q102" s="7">
        <v>-36170.449999999997</v>
      </c>
      <c r="R102" s="8">
        <f>IFERROR(Q102/Q444, "NA")</f>
        <v>-8.8098657148629224E-3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-36170.449999999997</v>
      </c>
      <c r="X102" s="8">
        <f>IFERROR(W102/W444, "NA")</f>
        <v>0.48416348646915691</v>
      </c>
      <c r="Y102" s="9"/>
      <c r="Z102" s="7">
        <v>-12636.49</v>
      </c>
      <c r="AA102" s="8">
        <f>IFERROR(Z102/Z444, "NA")</f>
        <v>-3.4418692634757566E-3</v>
      </c>
      <c r="AB102" s="9"/>
      <c r="AC102" s="10">
        <f t="shared" si="27"/>
        <v>-23533.96</v>
      </c>
      <c r="AD102" s="8">
        <f>IFERROR(AC102/AC444, "NA")</f>
        <v>-5.4191717099505397E-2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-2938.36</v>
      </c>
      <c r="C104" s="8">
        <f>IFERROR(B104/B444, "NA")</f>
        <v>-5.56870765183141E-3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-2938.36</v>
      </c>
      <c r="I104" s="8">
        <f>IFERROR(H104/H444, "NA")</f>
        <v>8.6350681875220117E-2</v>
      </c>
      <c r="J104" s="9"/>
      <c r="K104" s="7">
        <v>-2345.94</v>
      </c>
      <c r="L104" s="8">
        <f>IFERROR(K104/K444, "NA")</f>
        <v>-4.7545589705439636E-3</v>
      </c>
      <c r="M104" s="9"/>
      <c r="N104" s="10">
        <f t="shared" si="25"/>
        <v>-592.42000000000007</v>
      </c>
      <c r="O104" s="8">
        <f>IFERROR(N104/N444, "NA")</f>
        <v>-1.7298398988527482E-2</v>
      </c>
      <c r="P104" s="9"/>
      <c r="Q104" s="7">
        <v>-23881.040000000001</v>
      </c>
      <c r="R104" s="8">
        <f>IFERROR(Q104/Q444, "NA")</f>
        <v>-5.8165921499807186E-3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-23881.040000000001</v>
      </c>
      <c r="X104" s="8">
        <f>IFERROR(W104/W444, "NA")</f>
        <v>0.31966225432388584</v>
      </c>
      <c r="Y104" s="9"/>
      <c r="Z104" s="7">
        <v>-22931.07</v>
      </c>
      <c r="AA104" s="8">
        <f>IFERROR(Z104/Z444, "NA")</f>
        <v>-6.2458598085078235E-3</v>
      </c>
      <c r="AB104" s="9"/>
      <c r="AC104" s="10">
        <f t="shared" si="27"/>
        <v>-949.97000000000116</v>
      </c>
      <c r="AD104" s="8">
        <f>IFERROR(AC104/AC444, "NA")</f>
        <v>-2.1874986399661256E-3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-299.99</v>
      </c>
      <c r="C106" s="8">
        <f>IFERROR(B106/B444, "NA")</f>
        <v>-5.6853367472770684E-4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-299.99</v>
      </c>
      <c r="I106" s="8">
        <f>IFERROR(H106/H444, "NA")</f>
        <v>8.8159180821095039E-3</v>
      </c>
      <c r="J106" s="9"/>
      <c r="K106" s="7">
        <v>-2540.3200000000006</v>
      </c>
      <c r="L106" s="8">
        <f>IFERROR(K106/K444, "NA")</f>
        <v>-5.1485124274500815E-3</v>
      </c>
      <c r="M106" s="9"/>
      <c r="N106" s="10">
        <f t="shared" si="25"/>
        <v>2240.3300000000008</v>
      </c>
      <c r="O106" s="8">
        <f>IFERROR(N106/N444, "NA")</f>
        <v>6.5416633817169875E-2</v>
      </c>
      <c r="P106" s="9"/>
      <c r="Q106" s="7">
        <v>-4233.7300000000005</v>
      </c>
      <c r="R106" s="8">
        <f>IFERROR(Q106/Q444, "NA")</f>
        <v>-1.0311896250388539E-3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-4233.7300000000005</v>
      </c>
      <c r="X106" s="8">
        <f>IFERROR(W106/W444, "NA")</f>
        <v>5.6671052684416814E-2</v>
      </c>
      <c r="Y106" s="9"/>
      <c r="Z106" s="7">
        <v>-24687.24</v>
      </c>
      <c r="AA106" s="8">
        <f>IFERROR(Z106/Z444, "NA")</f>
        <v>-6.7241973487929992E-3</v>
      </c>
      <c r="AB106" s="9"/>
      <c r="AC106" s="10">
        <f t="shared" si="27"/>
        <v>20453.510000000002</v>
      </c>
      <c r="AD106" s="8">
        <f>IFERROR(AC106/AC444, "NA")</f>
        <v>4.7098356061279302E-2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-1.0133590310374442E-5</v>
      </c>
      <c r="M108" s="9"/>
      <c r="N108" s="10">
        <f t="shared" si="25"/>
        <v>5</v>
      </c>
      <c r="O108" s="8">
        <f>IFERROR(N108/N444, "NA")</f>
        <v>1.4599776331426589E-4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-276.71999999999997</v>
      </c>
      <c r="AA108" s="8">
        <f>IFERROR(Z108/Z444, "NA")</f>
        <v>-7.5371726055970548E-5</v>
      </c>
      <c r="AB108" s="9"/>
      <c r="AC108" s="10">
        <f t="shared" si="27"/>
        <v>276.71999999999997</v>
      </c>
      <c r="AD108" s="8">
        <f>IFERROR(AC108/AC444, "NA")</f>
        <v>6.372039365994984E-4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-3.1459360940534114E-6</v>
      </c>
      <c r="AB111" s="9"/>
      <c r="AC111" s="10">
        <f t="shared" si="27"/>
        <v>11.55</v>
      </c>
      <c r="AD111" s="8">
        <f>IFERROR(AC111/AC444, "NA")</f>
        <v>2.659621808226441E-5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-33841.58</v>
      </c>
      <c r="C118" s="15">
        <f>IFERROR(B118/B444, "NA")</f>
        <v>-6.4135730644327052E-2</v>
      </c>
      <c r="D118" s="2"/>
      <c r="E118" s="14">
        <f>IFERROR(E94+E95+E96+E97+E98+E99+E100+E101+E102+E103+E104+E105+E106+E107+E108+E109+E110+E111+E112+E113+E114+E115+E116+E117, "NA")</f>
        <v>-20960.14</v>
      </c>
      <c r="F118" s="15">
        <f>IFERROR(E118/E444, "NA")</f>
        <v>-3.7316614367377404E-2</v>
      </c>
      <c r="G118" s="2"/>
      <c r="H118" s="14">
        <f t="shared" si="24"/>
        <v>-12881.440000000002</v>
      </c>
      <c r="I118" s="15">
        <f>IFERROR(H118/H444, "NA")</f>
        <v>0.37855168445484405</v>
      </c>
      <c r="J118" s="2"/>
      <c r="K118" s="14">
        <f>IFERROR(K94+K95+K96+K97+K98+K99+K100+K101+K102+K103+K104+K105+K106+K107+K108+K109+K110+K111+K112+K113+K114+K115+K116+K117, "NA")</f>
        <v>-18935.419999999998</v>
      </c>
      <c r="L118" s="15">
        <f>IFERROR(K118/K444, "NA")</f>
        <v>-3.8376757726974083E-2</v>
      </c>
      <c r="M118" s="2"/>
      <c r="N118" s="14">
        <f t="shared" si="25"/>
        <v>-14906.160000000003</v>
      </c>
      <c r="O118" s="15">
        <f>IFERROR(N118/N444, "NA")</f>
        <v>-0.4352532039209156</v>
      </c>
      <c r="P118" s="2"/>
      <c r="Q118" s="14">
        <f>IFERROR(Q94+Q95+Q96+Q97+Q98+Q99+Q100+Q101+Q102+Q103+Q104+Q105+Q106+Q107+Q108+Q109+Q110+Q111+Q112+Q113+Q114+Q115+Q116+Q117, "NA")</f>
        <v>-214815.54000000004</v>
      </c>
      <c r="R118" s="15">
        <f>IFERROR(Q118/Q444, "NA")</f>
        <v>-5.2321606749868063E-2</v>
      </c>
      <c r="S118" s="2"/>
      <c r="T118" s="14">
        <f>IFERROR(T94+T95+T96+T97+T98+T99+T100+T101+T102+T103+T104+T105+T106+T107+T108+T109+T110+T111+T112+T113+T114+T115+T116+T117, "NA")</f>
        <v>-156384.88</v>
      </c>
      <c r="U118" s="15">
        <f>IFERROR(T118/T444, "NA")</f>
        <v>-3.7409226431048555E-2</v>
      </c>
      <c r="V118" s="2"/>
      <c r="W118" s="14">
        <f t="shared" si="26"/>
        <v>-58430.660000000033</v>
      </c>
      <c r="X118" s="15">
        <f>IFERROR(W118/W444, "NA")</f>
        <v>0.78212994481113518</v>
      </c>
      <c r="Y118" s="2"/>
      <c r="Z118" s="14">
        <f>IFERROR(Z94+Z95+Z96+Z97+Z98+Z99+Z100+Z101+Z102+Z103+Z104+Z105+Z106+Z107+Z108+Z109+Z110+Z111+Z112+Z113+Z114+Z115+Z116+Z117, "NA")</f>
        <v>-155736.04999999999</v>
      </c>
      <c r="AA118" s="15">
        <f>IFERROR(Z118/Z444, "NA")</f>
        <v>-4.2418671934225688E-2</v>
      </c>
      <c r="AB118" s="2"/>
      <c r="AC118" s="14">
        <f t="shared" si="27"/>
        <v>-59079.490000000049</v>
      </c>
      <c r="AD118" s="15">
        <f>IFERROR(AC118/AC444, "NA")</f>
        <v>-0.13604251084233426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527655.64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561683.86</v>
      </c>
      <c r="F122" s="15">
        <f>IFERROR(E122/E444, "NA")</f>
        <v>1</v>
      </c>
      <c r="G122" s="2"/>
      <c r="H122" s="14">
        <f t="shared" si="24"/>
        <v>-34028.219999999972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493408.5400000001</v>
      </c>
      <c r="L122" s="15">
        <f>IFERROR(K122/K444, "NA")</f>
        <v>1.0000000000000002</v>
      </c>
      <c r="M122" s="2"/>
      <c r="N122" s="14">
        <f t="shared" si="25"/>
        <v>34247.099999999919</v>
      </c>
      <c r="O122" s="15">
        <f>IFERROR(N122/N444, "NA")</f>
        <v>0.99999999999999656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4105675.5200000009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4180382.62</v>
      </c>
      <c r="U122" s="15">
        <f>IFERROR(T122/T444, "NA")</f>
        <v>1.0000000000000002</v>
      </c>
      <c r="V122" s="2"/>
      <c r="W122" s="14">
        <f t="shared" si="26"/>
        <v>-74707.099999999162</v>
      </c>
      <c r="X122" s="15">
        <f>IFERROR(W122/W444, "NA")</f>
        <v>0.99999999999998757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3671403.2500000009</v>
      </c>
      <c r="AA122" s="15">
        <f>IFERROR(Z122/Z444, "NA")</f>
        <v>1.0000000000000002</v>
      </c>
      <c r="AB122" s="2"/>
      <c r="AC122" s="14">
        <f t="shared" si="27"/>
        <v>434272.27</v>
      </c>
      <c r="AD122" s="15">
        <f>IFERROR(AC122/AC444, "NA")</f>
        <v>1.0000000000000011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527655.64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561683.86</v>
      </c>
      <c r="F124" s="15">
        <f>IFERROR(E124/E444, "NA")</f>
        <v>1</v>
      </c>
      <c r="G124" s="2"/>
      <c r="H124" s="14">
        <f t="shared" si="24"/>
        <v>-34028.219999999972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493408.5400000001</v>
      </c>
      <c r="L124" s="15">
        <f>IFERROR(K124/K444, "NA")</f>
        <v>1.0000000000000002</v>
      </c>
      <c r="M124" s="2"/>
      <c r="N124" s="14">
        <f t="shared" si="25"/>
        <v>34247.099999999919</v>
      </c>
      <c r="O124" s="15">
        <f>IFERROR(N124/N444, "NA")</f>
        <v>0.99999999999999656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4105675.5200000009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4180382.62</v>
      </c>
      <c r="U124" s="15">
        <f>IFERROR(T124/T444, "NA")</f>
        <v>1.0000000000000002</v>
      </c>
      <c r="V124" s="2"/>
      <c r="W124" s="14">
        <f t="shared" si="26"/>
        <v>-74707.099999999162</v>
      </c>
      <c r="X124" s="15">
        <f>IFERROR(W124/W444, "NA")</f>
        <v>0.99999999999998757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3671403.2500000009</v>
      </c>
      <c r="AA124" s="15">
        <f>IFERROR(Z124/Z444, "NA")</f>
        <v>1.0000000000000002</v>
      </c>
      <c r="AB124" s="2"/>
      <c r="AC124" s="14">
        <f t="shared" si="27"/>
        <v>434272.27</v>
      </c>
      <c r="AD124" s="15">
        <f>IFERROR(AC124/AC444, "NA")</f>
        <v>1.0000000000000011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126393.87</v>
      </c>
      <c r="F129" s="8">
        <f>IFERROR(E129/E444, "NA")</f>
        <v>0.22502670808450861</v>
      </c>
      <c r="G129" s="9"/>
      <c r="H129" s="10">
        <f t="shared" ref="H129:H141" si="28">IFERROR(-(B129-E129), "NA")</f>
        <v>126393.87</v>
      </c>
      <c r="I129" s="8">
        <f>IFERROR(H129/H444, "NA")</f>
        <v>-3.7143838261301974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970114.97999999986</v>
      </c>
      <c r="U129" s="8">
        <f>IFERROR(T129/T444, "NA")</f>
        <v>0.23206368129049393</v>
      </c>
      <c r="V129" s="9"/>
      <c r="W129" s="10">
        <f t="shared" ref="W129:W141" si="30">IFERROR(-(Q129-T129), "NA")</f>
        <v>970114.97999999986</v>
      </c>
      <c r="X129" s="8">
        <f>IFERROR(W129/W444, "NA")</f>
        <v>-12.985579416146507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28125.940000000002</v>
      </c>
      <c r="C130" s="8">
        <f>IFERROR(B130/B444, "NA")</f>
        <v>5.3303590197576592E-2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-28125.940000000002</v>
      </c>
      <c r="I130" s="8">
        <f>IFERROR(H130/H444, "NA")</f>
        <v>0.82654749499092295</v>
      </c>
      <c r="J130" s="9"/>
      <c r="K130" s="7">
        <v>33111.200000000004</v>
      </c>
      <c r="L130" s="8">
        <f>IFERROR(K130/K444, "NA")</f>
        <v>6.7107067096974046E-2</v>
      </c>
      <c r="M130" s="9"/>
      <c r="N130" s="10">
        <f t="shared" si="29"/>
        <v>4985.260000000002</v>
      </c>
      <c r="O130" s="8">
        <f>IFERROR(N130/N444, "NA")</f>
        <v>0.14556736190801547</v>
      </c>
      <c r="P130" s="9"/>
      <c r="Q130" s="7">
        <v>225448.07</v>
      </c>
      <c r="R130" s="8">
        <f>IFERROR(Q130/Q444, "NA")</f>
        <v>5.4911321876698144E-2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-225448.07</v>
      </c>
      <c r="X130" s="8">
        <f>IFERROR(W130/W444, "NA")</f>
        <v>3.0177596239179372</v>
      </c>
      <c r="Y130" s="9"/>
      <c r="Z130" s="7">
        <v>237277.89</v>
      </c>
      <c r="AA130" s="8">
        <f>IFERROR(Z130/Z444, "NA")</f>
        <v>6.462866480275628E-2</v>
      </c>
      <c r="AB130" s="9"/>
      <c r="AC130" s="10">
        <f t="shared" si="31"/>
        <v>11829.820000000007</v>
      </c>
      <c r="AD130" s="8">
        <f>IFERROR(AC130/AC444, "NA")</f>
        <v>2.7240560397743148E-2</v>
      </c>
    </row>
    <row r="131" spans="1:30" ht="16.5" customHeight="1" x14ac:dyDescent="0.45">
      <c r="A131" s="12" t="s">
        <v>123</v>
      </c>
      <c r="B131" s="7">
        <v>14185.37</v>
      </c>
      <c r="C131" s="8">
        <f>IFERROR(B131/B444, "NA")</f>
        <v>2.6883764570392918E-2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-14185.37</v>
      </c>
      <c r="I131" s="8">
        <f>IFERROR(H131/H444, "NA")</f>
        <v>0.41687076197344475</v>
      </c>
      <c r="J131" s="9"/>
      <c r="K131" s="7">
        <v>16194.05</v>
      </c>
      <c r="L131" s="8">
        <f>IFERROR(K131/K444, "NA")</f>
        <v>3.2820773633143847E-2</v>
      </c>
      <c r="M131" s="9"/>
      <c r="N131" s="10">
        <f t="shared" si="29"/>
        <v>2008.6799999999985</v>
      </c>
      <c r="O131" s="8">
        <f>IFERROR(N131/N444, "NA")</f>
        <v>5.8652557442819872E-2</v>
      </c>
      <c r="P131" s="9"/>
      <c r="Q131" s="7">
        <v>124479.47</v>
      </c>
      <c r="R131" s="8">
        <f>IFERROR(Q131/Q444, "NA")</f>
        <v>3.0318876733834051E-2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-124479.47</v>
      </c>
      <c r="X131" s="8">
        <f>IFERROR(W131/W444, "NA")</f>
        <v>1.6662334637537777</v>
      </c>
      <c r="Y131" s="9"/>
      <c r="Z131" s="7">
        <v>117308.95999999999</v>
      </c>
      <c r="AA131" s="8">
        <f>IFERROR(Z131/Z444, "NA")</f>
        <v>3.1952077179209337E-2</v>
      </c>
      <c r="AB131" s="9"/>
      <c r="AC131" s="10">
        <f t="shared" si="31"/>
        <v>-7170.5100000000093</v>
      </c>
      <c r="AD131" s="8">
        <f>IFERROR(AC131/AC444, "NA")</f>
        <v>-1.6511553915243119E-2</v>
      </c>
    </row>
    <row r="132" spans="1:30" ht="16.5" customHeight="1" x14ac:dyDescent="0.45">
      <c r="A132" s="12" t="s">
        <v>124</v>
      </c>
      <c r="B132" s="7">
        <v>29463.16</v>
      </c>
      <c r="C132" s="8">
        <f>IFERROR(B132/B444, "NA")</f>
        <v>5.5837856674857106E-2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-29463.16</v>
      </c>
      <c r="I132" s="8">
        <f>IFERROR(H132/H444, "NA")</f>
        <v>0.86584487816289024</v>
      </c>
      <c r="J132" s="9"/>
      <c r="K132" s="7">
        <v>19317.289999999997</v>
      </c>
      <c r="L132" s="8">
        <f>IFERROR(K132/K444, "NA")</f>
        <v>3.9150700553338615E-2</v>
      </c>
      <c r="M132" s="9"/>
      <c r="N132" s="10">
        <f t="shared" si="29"/>
        <v>-10145.870000000003</v>
      </c>
      <c r="O132" s="8">
        <f>IFERROR(N132/N444, "NA")</f>
        <v>-0.2962548653754622</v>
      </c>
      <c r="P132" s="9"/>
      <c r="Q132" s="7">
        <v>183939.28000000003</v>
      </c>
      <c r="R132" s="8">
        <f>IFERROR(Q132/Q444, "NA")</f>
        <v>4.4801221894905138E-2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-183939.28000000003</v>
      </c>
      <c r="X132" s="8">
        <f>IFERROR(W132/W444, "NA")</f>
        <v>2.4621392076522821</v>
      </c>
      <c r="Y132" s="9"/>
      <c r="Z132" s="7">
        <v>130234.06</v>
      </c>
      <c r="AA132" s="8">
        <f>IFERROR(Z132/Z444, "NA")</f>
        <v>3.5472556712477718E-2</v>
      </c>
      <c r="AB132" s="9"/>
      <c r="AC132" s="10">
        <f t="shared" si="31"/>
        <v>-53705.22000000003</v>
      </c>
      <c r="AD132" s="8">
        <f>IFERROR(AC132/AC444, "NA")</f>
        <v>-0.12366716391999905</v>
      </c>
    </row>
    <row r="133" spans="1:30" ht="16.5" customHeight="1" x14ac:dyDescent="0.45">
      <c r="A133" s="12" t="s">
        <v>125</v>
      </c>
      <c r="B133" s="7">
        <v>14227.86</v>
      </c>
      <c r="C133" s="8">
        <f>IFERROR(B133/B444, "NA")</f>
        <v>2.6964290574056974E-2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-14227.86</v>
      </c>
      <c r="I133" s="8">
        <f>IFERROR(H133/H444, "NA")</f>
        <v>0.41811943146012376</v>
      </c>
      <c r="J133" s="9"/>
      <c r="K133" s="7">
        <v>11253.050000000001</v>
      </c>
      <c r="L133" s="8">
        <f>IFERROR(K133/K444, "NA")</f>
        <v>2.2806759688431825E-2</v>
      </c>
      <c r="M133" s="9"/>
      <c r="N133" s="10">
        <f t="shared" si="29"/>
        <v>-2974.8099999999995</v>
      </c>
      <c r="O133" s="8">
        <f>IFERROR(N133/N444, "NA")</f>
        <v>-8.6863121256982243E-2</v>
      </c>
      <c r="P133" s="9"/>
      <c r="Q133" s="7">
        <v>98085.39</v>
      </c>
      <c r="R133" s="8">
        <f>IFERROR(Q133/Q444, "NA")</f>
        <v>2.3890195297264993E-2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-98085.39</v>
      </c>
      <c r="X133" s="8">
        <f>IFERROR(W133/W444, "NA")</f>
        <v>1.3129326396018568</v>
      </c>
      <c r="Y133" s="9"/>
      <c r="Z133" s="7">
        <v>75902.22</v>
      </c>
      <c r="AA133" s="8">
        <f>IFERROR(Z133/Z444, "NA")</f>
        <v>2.0673899005782054E-2</v>
      </c>
      <c r="AB133" s="9"/>
      <c r="AC133" s="10">
        <f t="shared" si="31"/>
        <v>-22183.17</v>
      </c>
      <c r="AD133" s="8">
        <f>IFERROR(AC133/AC444, "NA")</f>
        <v>-5.1081249097484446E-2</v>
      </c>
    </row>
    <row r="134" spans="1:30" ht="16.5" customHeight="1" x14ac:dyDescent="0.45">
      <c r="A134" s="12" t="s">
        <v>126</v>
      </c>
      <c r="B134" s="7">
        <v>4858.2699999999995</v>
      </c>
      <c r="C134" s="8">
        <f>IFERROR(B134/B444, "NA")</f>
        <v>9.2072738955277719E-3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-4858.2699999999995</v>
      </c>
      <c r="I134" s="8">
        <f>IFERROR(H134/H444, "NA")</f>
        <v>0.14277179352901809</v>
      </c>
      <c r="J134" s="9"/>
      <c r="K134" s="7">
        <v>4087.29</v>
      </c>
      <c r="L134" s="8">
        <f>IFERROR(K134/K444, "NA")</f>
        <v>8.2837844679380709E-3</v>
      </c>
      <c r="M134" s="9"/>
      <c r="N134" s="10">
        <f t="shared" si="29"/>
        <v>-770.97999999999956</v>
      </c>
      <c r="O134" s="8">
        <f>IFERROR(N134/N444, "NA")</f>
        <v>-2.2512271112006529E-2</v>
      </c>
      <c r="P134" s="9"/>
      <c r="Q134" s="7">
        <v>35794.400000000001</v>
      </c>
      <c r="R134" s="8">
        <f>IFERROR(Q134/Q444, "NA")</f>
        <v>8.7182729920166711E-3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-35794.400000000001</v>
      </c>
      <c r="X134" s="8">
        <f>IFERROR(W134/W444, "NA")</f>
        <v>0.47912982835634038</v>
      </c>
      <c r="Y134" s="9"/>
      <c r="Z134" s="7">
        <v>38765.58</v>
      </c>
      <c r="AA134" s="8">
        <f>IFERROR(Z134/Z444, "NA")</f>
        <v>1.0558791110728575E-2</v>
      </c>
      <c r="AB134" s="9"/>
      <c r="AC134" s="10">
        <f t="shared" si="31"/>
        <v>2971.1800000000003</v>
      </c>
      <c r="AD134" s="8">
        <f>IFERROR(AC134/AC444, "NA")</f>
        <v>6.8417446962478244E-3</v>
      </c>
    </row>
    <row r="135" spans="1:30" ht="16.5" customHeight="1" x14ac:dyDescent="0.45">
      <c r="A135" s="12" t="s">
        <v>127</v>
      </c>
      <c r="B135" s="7">
        <v>3945.18</v>
      </c>
      <c r="C135" s="8">
        <f>IFERROR(B135/B444, "NA")</f>
        <v>7.4768081698131754E-3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-3945.18</v>
      </c>
      <c r="I135" s="8">
        <f>IFERROR(H135/H444, "NA")</f>
        <v>0.11593847694648744</v>
      </c>
      <c r="J135" s="9"/>
      <c r="K135" s="7">
        <v>4410.0200000000004</v>
      </c>
      <c r="L135" s="8">
        <f>IFERROR(K135/K444, "NA")</f>
        <v>8.9378671881115007E-3</v>
      </c>
      <c r="M135" s="9"/>
      <c r="N135" s="10">
        <f t="shared" si="29"/>
        <v>464.8400000000006</v>
      </c>
      <c r="O135" s="8">
        <f>IFERROR(N135/N444, "NA")</f>
        <v>1.3573120059800688E-2</v>
      </c>
      <c r="P135" s="9"/>
      <c r="Q135" s="7">
        <v>33814.379999999997</v>
      </c>
      <c r="R135" s="8">
        <f>IFERROR(Q135/Q444, "NA")</f>
        <v>8.2360088699849326E-3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-33814.379999999997</v>
      </c>
      <c r="X135" s="8">
        <f>IFERROR(W135/W444, "NA")</f>
        <v>0.45262605562255737</v>
      </c>
      <c r="Y135" s="9"/>
      <c r="Z135" s="7">
        <v>32730.129999999997</v>
      </c>
      <c r="AA135" s="8">
        <f>IFERROR(Z135/Z444, "NA")</f>
        <v>8.9148828857195123E-3</v>
      </c>
      <c r="AB135" s="9"/>
      <c r="AC135" s="10">
        <f t="shared" si="31"/>
        <v>-1084.25</v>
      </c>
      <c r="AD135" s="8">
        <f>IFERROR(AC135/AC444, "NA")</f>
        <v>-2.4967055805796699E-3</v>
      </c>
    </row>
    <row r="136" spans="1:30" ht="16.5" customHeight="1" x14ac:dyDescent="0.45">
      <c r="A136" s="12" t="s">
        <v>128</v>
      </c>
      <c r="B136" s="7">
        <v>115</v>
      </c>
      <c r="C136" s="8">
        <f>IFERROR(B136/B444, "NA")</f>
        <v>2.1794517348473712E-4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-115</v>
      </c>
      <c r="I136" s="8">
        <f>IFERROR(H136/H444, "NA")</f>
        <v>3.3795479164058567E-3</v>
      </c>
      <c r="J136" s="9"/>
      <c r="K136" s="7">
        <v>3744.94</v>
      </c>
      <c r="L136" s="8">
        <f>IFERROR(K136/K444, "NA")</f>
        <v>7.5899375393867329E-3</v>
      </c>
      <c r="M136" s="9"/>
      <c r="N136" s="10">
        <f t="shared" si="29"/>
        <v>3629.94</v>
      </c>
      <c r="O136" s="8">
        <f>IFERROR(N136/N444, "NA")</f>
        <v>0.10599262419299725</v>
      </c>
      <c r="P136" s="9"/>
      <c r="Q136" s="7">
        <v>25042.32</v>
      </c>
      <c r="R136" s="8">
        <f>IFERROR(Q136/Q444, "NA")</f>
        <v>6.0994396361844011E-3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-25042.32</v>
      </c>
      <c r="X136" s="8">
        <f>IFERROR(W136/W444, "NA")</f>
        <v>0.33520669387514668</v>
      </c>
      <c r="Y136" s="9"/>
      <c r="Z136" s="7">
        <v>33110.270000000004</v>
      </c>
      <c r="AA136" s="8">
        <f>IFERROR(Z136/Z444, "NA")</f>
        <v>9.018423677649684E-3</v>
      </c>
      <c r="AB136" s="9"/>
      <c r="AC136" s="10">
        <f t="shared" si="31"/>
        <v>8067.9500000000044</v>
      </c>
      <c r="AD136" s="8">
        <f>IFERROR(AC136/AC444, "NA")</f>
        <v>1.8578091573749372E-2</v>
      </c>
    </row>
    <row r="137" spans="1:30" ht="16.5" customHeight="1" x14ac:dyDescent="0.45">
      <c r="A137" s="12" t="s">
        <v>129</v>
      </c>
      <c r="B137" s="7">
        <v>2445.11</v>
      </c>
      <c r="C137" s="8">
        <f>IFERROR(B137/B444, "NA")</f>
        <v>4.6339123751240486E-3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-2445.11</v>
      </c>
      <c r="I137" s="8">
        <f>IFERROR(H137/H444, "NA")</f>
        <v>7.1855360051157599E-2</v>
      </c>
      <c r="J137" s="9"/>
      <c r="K137" s="7">
        <v>2451.0500000000002</v>
      </c>
      <c r="L137" s="8">
        <f>IFERROR(K137/K444, "NA")</f>
        <v>4.9675873060486559E-3</v>
      </c>
      <c r="M137" s="9"/>
      <c r="N137" s="10">
        <f t="shared" si="29"/>
        <v>5.9400000000000546</v>
      </c>
      <c r="O137" s="8">
        <f>IFERROR(N137/N444, "NA")</f>
        <v>1.7344534281734945E-4</v>
      </c>
      <c r="P137" s="9"/>
      <c r="Q137" s="7">
        <v>22154.05</v>
      </c>
      <c r="R137" s="8">
        <f>IFERROR(Q137/Q444, "NA")</f>
        <v>5.3959573502778907E-3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-22154.05</v>
      </c>
      <c r="X137" s="8">
        <f>IFERROR(W137/W444, "NA")</f>
        <v>0.29654544213334438</v>
      </c>
      <c r="Y137" s="9"/>
      <c r="Z137" s="7">
        <v>19271.45</v>
      </c>
      <c r="AA137" s="8">
        <f>IFERROR(Z137/Z444, "NA")</f>
        <v>5.2490692761684513E-3</v>
      </c>
      <c r="AB137" s="9"/>
      <c r="AC137" s="10">
        <f t="shared" si="31"/>
        <v>-2882.5999999999985</v>
      </c>
      <c r="AD137" s="8">
        <f>IFERROR(AC137/AC444, "NA")</f>
        <v>-6.6377712765311988E-3</v>
      </c>
    </row>
    <row r="138" spans="1:30" ht="16.5" customHeight="1" x14ac:dyDescent="0.45">
      <c r="A138" s="12" t="s">
        <v>130</v>
      </c>
      <c r="B138" s="7">
        <v>31518.55</v>
      </c>
      <c r="C138" s="8">
        <f>IFERROR(B138/B444, "NA")</f>
        <v>5.9733181284672705E-2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-31518.55</v>
      </c>
      <c r="I138" s="8">
        <f>IFERROR(H138/H444, "NA")</f>
        <v>0.92624739113594612</v>
      </c>
      <c r="J138" s="9"/>
      <c r="K138" s="7">
        <v>22816.739999999998</v>
      </c>
      <c r="L138" s="8">
        <f>IFERROR(K138/K444, "NA")</f>
        <v>4.6243099075666587E-2</v>
      </c>
      <c r="M138" s="9"/>
      <c r="N138" s="10">
        <f t="shared" si="29"/>
        <v>-8701.8100000000013</v>
      </c>
      <c r="O138" s="8">
        <f>IFERROR(N138/N444, "NA")</f>
        <v>-0.25408895935714243</v>
      </c>
      <c r="P138" s="9"/>
      <c r="Q138" s="7">
        <v>237487.19</v>
      </c>
      <c r="R138" s="8">
        <f>IFERROR(Q138/Q444, "NA")</f>
        <v>5.7843633488113555E-2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-237487.19</v>
      </c>
      <c r="X138" s="8">
        <f>IFERROR(W138/W444, "NA")</f>
        <v>3.1789105720875219</v>
      </c>
      <c r="Y138" s="9"/>
      <c r="Z138" s="7">
        <v>179520.94</v>
      </c>
      <c r="AA138" s="8">
        <f>IFERROR(Z138/Z444, "NA")</f>
        <v>4.8897091323324399E-2</v>
      </c>
      <c r="AB138" s="9"/>
      <c r="AC138" s="10">
        <f t="shared" si="31"/>
        <v>-57966.25</v>
      </c>
      <c r="AD138" s="8">
        <f>IFERROR(AC138/AC444, "NA")</f>
        <v>-0.13347904990571943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10.89</v>
      </c>
      <c r="C140" s="8">
        <f>IFERROR(B140/B444, "NA")</f>
        <v>2.0638460341293803E-5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-10.89</v>
      </c>
      <c r="I140" s="8">
        <f>IFERROR(H140/H444, "NA")</f>
        <v>3.2002849399704155E-4</v>
      </c>
      <c r="J140" s="9"/>
      <c r="K140" s="7">
        <v>21.78</v>
      </c>
      <c r="L140" s="8">
        <f>IFERROR(K140/K444, "NA")</f>
        <v>4.414191939199107E-5</v>
      </c>
      <c r="M140" s="9"/>
      <c r="N140" s="10">
        <f t="shared" si="29"/>
        <v>10.89</v>
      </c>
      <c r="O140" s="8">
        <f>IFERROR(N140/N444, "NA")</f>
        <v>3.1798312849847112E-4</v>
      </c>
      <c r="P140" s="9"/>
      <c r="Q140" s="7">
        <v>82.45</v>
      </c>
      <c r="R140" s="8">
        <f>IFERROR(Q140/Q444, "NA")</f>
        <v>2.0081957183016746E-5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-82.45</v>
      </c>
      <c r="X140" s="8">
        <f>IFERROR(W140/W444, "NA")</f>
        <v>1.1036434288039544E-3</v>
      </c>
      <c r="Y140" s="9"/>
      <c r="Z140" s="7">
        <v>257.69</v>
      </c>
      <c r="AA140" s="8">
        <f>IFERROR(Z140/Z444, "NA")</f>
        <v>7.0188421824815894E-5</v>
      </c>
      <c r="AB140" s="9"/>
      <c r="AC140" s="10">
        <f t="shared" si="31"/>
        <v>175.24</v>
      </c>
      <c r="AD140" s="8">
        <f>IFERROR(AC140/AC444, "NA")</f>
        <v>4.0352564993385414E-4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128895.33</v>
      </c>
      <c r="C141" s="15">
        <f>IFERROR(B141/B444, "NA")</f>
        <v>0.24427926137584732</v>
      </c>
      <c r="D141" s="2"/>
      <c r="E141" s="14">
        <f>IFERROR(E129+E130+E131+E132+E133+E134+E135+E136+E137+E138+E139+E140, "NA")</f>
        <v>126393.87</v>
      </c>
      <c r="F141" s="15">
        <f>IFERROR(E141/E444, "NA")</f>
        <v>0.22502670808450861</v>
      </c>
      <c r="G141" s="2"/>
      <c r="H141" s="14">
        <f t="shared" si="28"/>
        <v>-2501.4600000000064</v>
      </c>
      <c r="I141" s="15">
        <f>IFERROR(H141/H444, "NA")</f>
        <v>7.351133853019666E-2</v>
      </c>
      <c r="J141" s="2"/>
      <c r="K141" s="14">
        <f>IFERROR(K129+K130+K131+K132+K133+K134+K135+K136+K137+K138+K139+K140, "NA")</f>
        <v>117407.41</v>
      </c>
      <c r="L141" s="15">
        <f>IFERROR(K141/K444, "NA")</f>
        <v>0.23795171846843188</v>
      </c>
      <c r="M141" s="2"/>
      <c r="N141" s="14">
        <f t="shared" si="29"/>
        <v>-11487.919999999998</v>
      </c>
      <c r="O141" s="15">
        <f>IFERROR(N141/N444, "NA")</f>
        <v>-0.33544212502664422</v>
      </c>
      <c r="P141" s="2"/>
      <c r="Q141" s="14">
        <f>IFERROR(Q129+Q130+Q131+Q132+Q133+Q134+Q135+Q136+Q137+Q138+Q139+Q140, "NA")</f>
        <v>986327</v>
      </c>
      <c r="R141" s="15">
        <f>IFERROR(Q141/Q444, "NA")</f>
        <v>0.24023501009646278</v>
      </c>
      <c r="S141" s="2"/>
      <c r="T141" s="14">
        <f>IFERROR(T129+T130+T131+T132+T133+T134+T135+T136+T137+T138+T139+T140, "NA")</f>
        <v>970114.97999999986</v>
      </c>
      <c r="U141" s="15">
        <f>IFERROR(T141/T444, "NA")</f>
        <v>0.23206368129049393</v>
      </c>
      <c r="V141" s="2"/>
      <c r="W141" s="14">
        <f t="shared" si="30"/>
        <v>-16212.020000000135</v>
      </c>
      <c r="X141" s="15">
        <f>IFERROR(W141/W444, "NA")</f>
        <v>0.21700775428306165</v>
      </c>
      <c r="Y141" s="2"/>
      <c r="Z141" s="14">
        <f>IFERROR(Z129+Z130+Z131+Z132+Z133+Z134+Z135+Z136+Z137+Z138+Z139+Z140, "NA")</f>
        <v>864379.19</v>
      </c>
      <c r="AA141" s="15">
        <f>IFERROR(Z141/Z444, "NA")</f>
        <v>0.2354356443956408</v>
      </c>
      <c r="AB141" s="2"/>
      <c r="AC141" s="14">
        <f t="shared" si="31"/>
        <v>-121947.81000000006</v>
      </c>
      <c r="AD141" s="15">
        <f>IFERROR(AC141/AC444, "NA")</f>
        <v>-0.28080957137788276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7108.7699999999995</v>
      </c>
      <c r="C144" s="8">
        <f>IFERROR(B144/B444, "NA")</f>
        <v>1.3472366181852997E-2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-7108.7699999999995</v>
      </c>
      <c r="I144" s="8">
        <f>IFERROR(H144/H444, "NA")</f>
        <v>0.2089080768844214</v>
      </c>
      <c r="J144" s="9"/>
      <c r="K144" s="7">
        <v>5332.52</v>
      </c>
      <c r="L144" s="8">
        <f>IFERROR(K144/K444, "NA")</f>
        <v>1.0807514600375585E-2</v>
      </c>
      <c r="M144" s="9"/>
      <c r="N144" s="10">
        <f t="shared" si="33"/>
        <v>-1776.2499999999991</v>
      </c>
      <c r="O144" s="8">
        <f>IFERROR(N144/N444, "NA")</f>
        <v>-5.1865705417392924E-2</v>
      </c>
      <c r="P144" s="9"/>
      <c r="Q144" s="7">
        <v>52825.07</v>
      </c>
      <c r="R144" s="8">
        <f>IFERROR(Q144/Q444, "NA")</f>
        <v>1.2866352867554425E-2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-52825.07</v>
      </c>
      <c r="X144" s="8">
        <f>IFERROR(W144/W444, "NA")</f>
        <v>0.70709571111714864</v>
      </c>
      <c r="Y144" s="9"/>
      <c r="Z144" s="7">
        <v>38583.050000000003</v>
      </c>
      <c r="AA144" s="8">
        <f>IFERROR(Z144/Z444, "NA")</f>
        <v>1.0509074425425756E-2</v>
      </c>
      <c r="AB144" s="9"/>
      <c r="AC144" s="10">
        <f t="shared" si="35"/>
        <v>-14242.019999999997</v>
      </c>
      <c r="AD144" s="8">
        <f>IFERROR(AC144/AC444, "NA")</f>
        <v>-3.2795140246923919E-2</v>
      </c>
    </row>
    <row r="145" spans="1:30" ht="16.5" customHeight="1" x14ac:dyDescent="0.45">
      <c r="A145" s="12" t="s">
        <v>136</v>
      </c>
      <c r="B145" s="7">
        <v>206.42999999999998</v>
      </c>
      <c r="C145" s="8">
        <f>IFERROR(B145/B444, "NA")</f>
        <v>3.9122106228221115E-4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-206.42999999999998</v>
      </c>
      <c r="I145" s="8">
        <f>IFERROR(H145/H444, "NA")</f>
        <v>6.0664354468144424E-3</v>
      </c>
      <c r="J145" s="9"/>
      <c r="K145" s="7">
        <v>378.12</v>
      </c>
      <c r="L145" s="8">
        <f>IFERROR(K145/K444, "NA")</f>
        <v>7.6634263363175681E-4</v>
      </c>
      <c r="M145" s="9"/>
      <c r="N145" s="10">
        <f t="shared" si="33"/>
        <v>171.69000000000003</v>
      </c>
      <c r="O145" s="8">
        <f>IFERROR(N145/N444, "NA")</f>
        <v>5.0132711966852624E-3</v>
      </c>
      <c r="P145" s="9"/>
      <c r="Q145" s="7">
        <v>2883.29</v>
      </c>
      <c r="R145" s="8">
        <f>IFERROR(Q145/Q444, "NA")</f>
        <v>7.0226933082135051E-4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-2883.29</v>
      </c>
      <c r="X145" s="8">
        <f>IFERROR(W145/W444, "NA")</f>
        <v>3.8594591410990337E-2</v>
      </c>
      <c r="Y145" s="9"/>
      <c r="Z145" s="7">
        <v>3138.73</v>
      </c>
      <c r="AA145" s="8">
        <f>IFERROR(Z145/Z444, "NA")</f>
        <v>8.5491290012885404E-4</v>
      </c>
      <c r="AB145" s="9"/>
      <c r="AC145" s="10">
        <f t="shared" si="35"/>
        <v>255.44000000000005</v>
      </c>
      <c r="AD145" s="8">
        <f>IFERROR(AC145/AC444, "NA")</f>
        <v>5.8820241964793263E-4</v>
      </c>
    </row>
    <row r="146" spans="1:30" ht="16.5" customHeight="1" x14ac:dyDescent="0.45">
      <c r="A146" s="12" t="s">
        <v>137</v>
      </c>
      <c r="B146" s="7">
        <v>460.91</v>
      </c>
      <c r="C146" s="8">
        <f>IFERROR(B146/B444, "NA")</f>
        <v>8.7350530357261042E-4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-460.91</v>
      </c>
      <c r="I146" s="8">
        <f>IFERROR(H146/H444, "NA")</f>
        <v>1.3544934175222812E-2</v>
      </c>
      <c r="J146" s="9"/>
      <c r="K146" s="7">
        <v>334.15000000000003</v>
      </c>
      <c r="L146" s="8">
        <f>IFERROR(K146/K444, "NA")</f>
        <v>6.77227840442324E-4</v>
      </c>
      <c r="M146" s="9"/>
      <c r="N146" s="10">
        <f t="shared" si="33"/>
        <v>-126.75999999999999</v>
      </c>
      <c r="O146" s="8">
        <f>IFERROR(N146/N444, "NA")</f>
        <v>-3.7013352955432683E-3</v>
      </c>
      <c r="P146" s="9"/>
      <c r="Q146" s="7">
        <v>3793.3500000000004</v>
      </c>
      <c r="R146" s="8">
        <f>IFERROR(Q146/Q444, "NA")</f>
        <v>9.2392834784956433E-4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-3793.3500000000004</v>
      </c>
      <c r="X146" s="8">
        <f>IFERROR(W146/W444, "NA")</f>
        <v>5.0776298370569808E-2</v>
      </c>
      <c r="Y146" s="9"/>
      <c r="Z146" s="7">
        <v>11868.67</v>
      </c>
      <c r="AA146" s="8">
        <f>IFERROR(Z146/Z444, "NA")</f>
        <v>3.2327339689531514E-3</v>
      </c>
      <c r="AB146" s="9"/>
      <c r="AC146" s="10">
        <f t="shared" si="35"/>
        <v>8075.32</v>
      </c>
      <c r="AD146" s="8">
        <f>IFERROR(AC146/AC444, "NA")</f>
        <v>1.8595062493858998E-2</v>
      </c>
    </row>
    <row r="147" spans="1:30" ht="16.5" customHeight="1" x14ac:dyDescent="0.45">
      <c r="A147" s="12" t="s">
        <v>138</v>
      </c>
      <c r="B147" s="7">
        <v>60.05</v>
      </c>
      <c r="C147" s="8">
        <f>IFERROR(B147/B444, "NA")</f>
        <v>1.138052840674649E-4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-60.05</v>
      </c>
      <c r="I147" s="8">
        <f>IFERROR(H147/H444, "NA")</f>
        <v>1.7647117598275797E-3</v>
      </c>
      <c r="J147" s="9"/>
      <c r="K147" s="7">
        <v>370.31</v>
      </c>
      <c r="L147" s="8">
        <f>IFERROR(K147/K444, "NA")</f>
        <v>7.5051396556695188E-4</v>
      </c>
      <c r="M147" s="9"/>
      <c r="N147" s="10">
        <f t="shared" si="33"/>
        <v>310.26</v>
      </c>
      <c r="O147" s="8">
        <f>IFERROR(N147/N444, "NA")</f>
        <v>9.0594532091768255E-3</v>
      </c>
      <c r="P147" s="9"/>
      <c r="Q147" s="7">
        <v>688.75</v>
      </c>
      <c r="R147" s="8">
        <f>IFERROR(Q147/Q444, "NA")</f>
        <v>1.6775558532204711E-4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-688.75</v>
      </c>
      <c r="X147" s="8">
        <f>IFERROR(W147/W444, "NA")</f>
        <v>9.2193379210275747E-3</v>
      </c>
      <c r="Y147" s="9"/>
      <c r="Z147" s="7">
        <v>600.99</v>
      </c>
      <c r="AA147" s="8">
        <f>IFERROR(Z147/Z444, "NA")</f>
        <v>1.6369490330434282E-4</v>
      </c>
      <c r="AB147" s="9"/>
      <c r="AC147" s="10">
        <f t="shared" si="35"/>
        <v>-87.759999999999991</v>
      </c>
      <c r="AD147" s="8">
        <f>IFERROR(AC147/AC444, "NA")</f>
        <v>-2.0208520336792419E-4</v>
      </c>
    </row>
    <row r="148" spans="1:30" ht="16.5" customHeight="1" x14ac:dyDescent="0.45">
      <c r="A148" s="13" t="s">
        <v>139</v>
      </c>
      <c r="B148" s="14">
        <f>IFERROR(B143+B144+B145+B146+B147, "NA")</f>
        <v>7836.16</v>
      </c>
      <c r="C148" s="15">
        <f>IFERROR(B148/B444, "NA")</f>
        <v>1.4850897831775284E-2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-7836.16</v>
      </c>
      <c r="I148" s="15">
        <f>IFERROR(H148/H444, "NA")</f>
        <v>0.23028415826628623</v>
      </c>
      <c r="J148" s="2"/>
      <c r="K148" s="14">
        <f>IFERROR(K143+K144+K145+K146+K147, "NA")</f>
        <v>6415.1</v>
      </c>
      <c r="L148" s="15">
        <f>IFERROR(K148/K444, "NA")</f>
        <v>1.3001599040016618E-2</v>
      </c>
      <c r="M148" s="2"/>
      <c r="N148" s="14">
        <f t="shared" si="33"/>
        <v>-1421.0599999999995</v>
      </c>
      <c r="O148" s="15">
        <f>IFERROR(N148/N444, "NA")</f>
        <v>-4.1494316307074119E-2</v>
      </c>
      <c r="P148" s="2"/>
      <c r="Q148" s="14">
        <f>IFERROR(Q143+Q144+Q145+Q146+Q147, "NA")</f>
        <v>60190.46</v>
      </c>
      <c r="R148" s="15">
        <f>IFERROR(Q148/Q444, "NA")</f>
        <v>1.4660306131547387E-2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-60190.46</v>
      </c>
      <c r="X148" s="15">
        <f>IFERROR(W148/W444, "NA")</f>
        <v>0.80568593881973638</v>
      </c>
      <c r="Y148" s="2"/>
      <c r="Z148" s="14">
        <f>IFERROR(Z143+Z144+Z145+Z146+Z147, "NA")</f>
        <v>54191.44</v>
      </c>
      <c r="AA148" s="15">
        <f>IFERROR(Z148/Z444, "NA")</f>
        <v>1.4760416197812104E-2</v>
      </c>
      <c r="AB148" s="2"/>
      <c r="AC148" s="14">
        <f t="shared" si="35"/>
        <v>-5999.0199999999968</v>
      </c>
      <c r="AD148" s="15">
        <f>IFERROR(AC148/AC444, "NA")</f>
        <v>-1.3813960536784914E-2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136731.49</v>
      </c>
      <c r="C149" s="15">
        <f>IFERROR(B149/B444, "NA")</f>
        <v>0.25913015920762256</v>
      </c>
      <c r="D149" s="2"/>
      <c r="E149" s="14">
        <f>IFERROR(E127+E129+E130+E131+E132+E133+E134+E135+E136+E137+E138+E139+E140+E143+E144+E145+E146+E147, "NA")</f>
        <v>126393.87</v>
      </c>
      <c r="F149" s="15">
        <f>IFERROR(E149/E444, "NA")</f>
        <v>0.22502670808450861</v>
      </c>
      <c r="G149" s="2"/>
      <c r="H149" s="14">
        <f t="shared" si="32"/>
        <v>-10337.619999999995</v>
      </c>
      <c r="I149" s="15">
        <f>IFERROR(H149/H444, "NA")</f>
        <v>0.30379549679648254</v>
      </c>
      <c r="J149" s="2"/>
      <c r="K149" s="14">
        <f>IFERROR(K127+K129+K130+K131+K132+K133+K134+K135+K136+K137+K138+K139+K140+K143+K144+K145+K146+K147, "NA")</f>
        <v>123822.51</v>
      </c>
      <c r="L149" s="15">
        <f>IFERROR(K149/K444, "NA")</f>
        <v>0.25095331750844846</v>
      </c>
      <c r="M149" s="2"/>
      <c r="N149" s="14">
        <f t="shared" si="33"/>
        <v>-12908.979999999996</v>
      </c>
      <c r="O149" s="15">
        <f>IFERROR(N149/N444, "NA")</f>
        <v>-0.37693644133371829</v>
      </c>
      <c r="P149" s="2"/>
      <c r="Q149" s="14">
        <f>IFERROR(Q127+Q129+Q130+Q131+Q132+Q133+Q134+Q135+Q136+Q137+Q138+Q139+Q140+Q143+Q144+Q145+Q146+Q147, "NA")</f>
        <v>1046517.46</v>
      </c>
      <c r="R149" s="15">
        <f>IFERROR(Q149/Q444, "NA")</f>
        <v>0.25489531622801015</v>
      </c>
      <c r="S149" s="2"/>
      <c r="T149" s="14">
        <f>IFERROR(T127+T129+T130+T131+T132+T133+T134+T135+T136+T137+T138+T139+T140+T143+T144+T145+T146+T147, "NA")</f>
        <v>970114.97999999986</v>
      </c>
      <c r="U149" s="15">
        <f>IFERROR(T149/T444, "NA")</f>
        <v>0.23206368129049393</v>
      </c>
      <c r="V149" s="2"/>
      <c r="W149" s="14">
        <f t="shared" si="34"/>
        <v>-76402.480000000098</v>
      </c>
      <c r="X149" s="15">
        <f>IFERROR(W149/W444, "NA")</f>
        <v>1.0226936931027975</v>
      </c>
      <c r="Y149" s="2"/>
      <c r="Z149" s="14">
        <f>IFERROR(Z127+Z129+Z130+Z131+Z132+Z133+Z134+Z135+Z136+Z137+Z138+Z139+Z140+Z143+Z144+Z145+Z146+Z147, "NA")</f>
        <v>918570.63</v>
      </c>
      <c r="AA149" s="15">
        <f>IFERROR(Z149/Z444, "NA")</f>
        <v>0.25019606059345295</v>
      </c>
      <c r="AB149" s="2"/>
      <c r="AC149" s="14">
        <f t="shared" si="35"/>
        <v>-127946.82999999996</v>
      </c>
      <c r="AD149" s="15">
        <f>IFERROR(AC149/AC444, "NA")</f>
        <v>-0.29462353191466745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9238.17</v>
      </c>
      <c r="F153" s="8">
        <f>IFERROR(E153/E444, "NA")</f>
        <v>1.6447276943296892E-2</v>
      </c>
      <c r="G153" s="9"/>
      <c r="H153" s="10">
        <f t="shared" ref="H153:H158" si="36">IFERROR(-(B153-E153), "NA")</f>
        <v>9238.17</v>
      </c>
      <c r="I153" s="8">
        <f>IFERROR(H153/H444, "NA")</f>
        <v>-0.27148554934698338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73879.37</v>
      </c>
      <c r="U153" s="8">
        <f>IFERROR(T153/T444, "NA")</f>
        <v>1.7672872728573347E-2</v>
      </c>
      <c r="V153" s="9"/>
      <c r="W153" s="10">
        <f t="shared" ref="W153:W158" si="38">IFERROR(-(Q153-T153), "NA")</f>
        <v>73879.37</v>
      </c>
      <c r="X153" s="8">
        <f>IFERROR(W153/W444, "NA")</f>
        <v>-0.98892033019619152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18241.11</v>
      </c>
      <c r="C154" s="8">
        <f>IFERROR(B154/B444, "NA")</f>
        <v>3.45701033348189E-2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-18241.11</v>
      </c>
      <c r="I154" s="8">
        <f>IFERROR(H154/H444, "NA")</f>
        <v>0.5360583068993916</v>
      </c>
      <c r="J154" s="9"/>
      <c r="K154" s="7">
        <v>15435.58</v>
      </c>
      <c r="L154" s="8">
        <f>IFERROR(K154/K444, "NA")</f>
        <v>3.1283568784601902E-2</v>
      </c>
      <c r="M154" s="9"/>
      <c r="N154" s="10">
        <f t="shared" si="37"/>
        <v>-2805.5300000000007</v>
      </c>
      <c r="O154" s="8">
        <f>IFERROR(N154/N444, "NA")</f>
        <v>-8.1920220982214492E-2</v>
      </c>
      <c r="P154" s="9"/>
      <c r="Q154" s="7">
        <v>132752.15</v>
      </c>
      <c r="R154" s="8">
        <f>IFERROR(Q154/Q444, "NA")</f>
        <v>3.2333814339034761E-2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-132752.15</v>
      </c>
      <c r="X154" s="8">
        <f>IFERROR(W154/W444, "NA")</f>
        <v>1.7769683202801316</v>
      </c>
      <c r="Y154" s="9"/>
      <c r="Z154" s="7">
        <v>122142.44000000002</v>
      </c>
      <c r="AA154" s="8">
        <f>IFERROR(Z154/Z444, "NA")</f>
        <v>3.3268598321363911E-2</v>
      </c>
      <c r="AB154" s="9"/>
      <c r="AC154" s="10">
        <f t="shared" si="39"/>
        <v>-10609.709999999977</v>
      </c>
      <c r="AD154" s="8">
        <f>IFERROR(AC154/AC444, "NA")</f>
        <v>-2.4431009606024321E-2</v>
      </c>
    </row>
    <row r="155" spans="1:30" ht="16.5" customHeight="1" x14ac:dyDescent="0.45">
      <c r="A155" s="12" t="s">
        <v>144</v>
      </c>
      <c r="B155" s="7">
        <v>3805.4300000000003</v>
      </c>
      <c r="C155" s="8">
        <f>IFERROR(B155/B444, "NA")</f>
        <v>7.2119574046436803E-3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-3805.4300000000003</v>
      </c>
      <c r="I155" s="8">
        <f>IFERROR(H155/H444, "NA")</f>
        <v>0.1118315915437247</v>
      </c>
      <c r="J155" s="9"/>
      <c r="K155" s="7">
        <v>5370.33</v>
      </c>
      <c r="L155" s="8">
        <f>IFERROR(K155/K444, "NA")</f>
        <v>1.0884144810302636E-2</v>
      </c>
      <c r="M155" s="9"/>
      <c r="N155" s="10">
        <f t="shared" si="37"/>
        <v>1564.8999999999996</v>
      </c>
      <c r="O155" s="8">
        <f>IFERROR(N155/N444, "NA")</f>
        <v>4.5694379962098922E-2</v>
      </c>
      <c r="P155" s="9"/>
      <c r="Q155" s="7">
        <v>43566.43</v>
      </c>
      <c r="R155" s="8">
        <f>IFERROR(Q155/Q444, "NA")</f>
        <v>1.0611269640714327E-2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-43566.43</v>
      </c>
      <c r="X155" s="8">
        <f>IFERROR(W155/W444, "NA")</f>
        <v>0.58316317993871991</v>
      </c>
      <c r="Y155" s="9"/>
      <c r="Z155" s="7">
        <v>45976.97</v>
      </c>
      <c r="AA155" s="8">
        <f>IFERROR(Z155/Z444, "NA")</f>
        <v>1.2522996486425185E-2</v>
      </c>
      <c r="AB155" s="9"/>
      <c r="AC155" s="10">
        <f t="shared" si="39"/>
        <v>2410.5400000000009</v>
      </c>
      <c r="AD155" s="8">
        <f>IFERROR(AC155/AC444, "NA")</f>
        <v>5.5507573624261185E-3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401.78999999999996</v>
      </c>
      <c r="AA156" s="8">
        <f>IFERROR(Z156/Z444, "NA")</f>
        <v>1.0943771976014892E-4</v>
      </c>
      <c r="AB156" s="9"/>
      <c r="AC156" s="10">
        <f t="shared" si="39"/>
        <v>401.78999999999996</v>
      </c>
      <c r="AD156" s="8">
        <f>IFERROR(AC156/AC444, "NA")</f>
        <v>9.2520298383316161E-4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22046.54</v>
      </c>
      <c r="C158" s="15">
        <f>IFERROR(B158/B444, "NA")</f>
        <v>4.1782060739462577E-2</v>
      </c>
      <c r="D158" s="2"/>
      <c r="E158" s="14">
        <f>IFERROR(E153+E154+E155+E156+E157, "NA")</f>
        <v>9238.17</v>
      </c>
      <c r="F158" s="15">
        <f>IFERROR(E158/E444, "NA")</f>
        <v>1.6447276943296892E-2</v>
      </c>
      <c r="G158" s="2"/>
      <c r="H158" s="14">
        <f t="shared" si="36"/>
        <v>-12808.37</v>
      </c>
      <c r="I158" s="15">
        <f>IFERROR(H158/H444, "NA")</f>
        <v>0.37640434909613291</v>
      </c>
      <c r="J158" s="2"/>
      <c r="K158" s="14">
        <f>IFERROR(K153+K154+K155+K156+K157, "NA")</f>
        <v>20805.91</v>
      </c>
      <c r="L158" s="15">
        <f>IFERROR(K158/K444, "NA")</f>
        <v>4.2167713594904538E-2</v>
      </c>
      <c r="M158" s="2"/>
      <c r="N158" s="14">
        <f t="shared" si="37"/>
        <v>-1240.630000000001</v>
      </c>
      <c r="O158" s="15">
        <f>IFERROR(N158/N444, "NA")</f>
        <v>-3.6225841020115564E-2</v>
      </c>
      <c r="P158" s="2"/>
      <c r="Q158" s="14">
        <f>IFERROR(Q153+Q154+Q155+Q156+Q157, "NA")</f>
        <v>176318.58</v>
      </c>
      <c r="R158" s="15">
        <f>IFERROR(Q158/Q444, "NA")</f>
        <v>4.2945083979749089E-2</v>
      </c>
      <c r="S158" s="2"/>
      <c r="T158" s="14">
        <f>IFERROR(T153+T154+T155+T156+T157, "NA")</f>
        <v>73879.37</v>
      </c>
      <c r="U158" s="15">
        <f>IFERROR(T158/T444, "NA")</f>
        <v>1.7672872728573347E-2</v>
      </c>
      <c r="V158" s="2"/>
      <c r="W158" s="14">
        <f t="shared" si="38"/>
        <v>-102439.20999999999</v>
      </c>
      <c r="X158" s="15">
        <f>IFERROR(W158/W444, "NA")</f>
        <v>1.3712111700226599</v>
      </c>
      <c r="Y158" s="2"/>
      <c r="Z158" s="14">
        <f>IFERROR(Z153+Z154+Z155+Z156+Z157, "NA")</f>
        <v>168521.20000000004</v>
      </c>
      <c r="AA158" s="15">
        <f>IFERROR(Z158/Z444, "NA")</f>
        <v>4.5901032527549256E-2</v>
      </c>
      <c r="AB158" s="2"/>
      <c r="AC158" s="14">
        <f t="shared" si="39"/>
        <v>-7797.3799999999464</v>
      </c>
      <c r="AD158" s="15">
        <f>IFERROR(AC158/AC444, "NA")</f>
        <v>-1.7955049259764974E-2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1252.69</v>
      </c>
      <c r="C161" s="8">
        <f>IFERROR(B161/B444, "NA")</f>
        <v>2.3740672988921334E-3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-1252.69</v>
      </c>
      <c r="I161" s="8">
        <f>IFERROR(H161/H444, "NA")</f>
        <v>3.6813268516543068E-2</v>
      </c>
      <c r="J161" s="9"/>
      <c r="K161" s="7">
        <v>1621.34</v>
      </c>
      <c r="L161" s="8">
        <f>IFERROR(K161/K444, "NA")</f>
        <v>3.2859990627644993E-3</v>
      </c>
      <c r="M161" s="9"/>
      <c r="N161" s="10">
        <f t="shared" si="41"/>
        <v>368.64999999999986</v>
      </c>
      <c r="O161" s="8">
        <f>IFERROR(N161/N444, "NA")</f>
        <v>1.0764415089160819E-2</v>
      </c>
      <c r="P161" s="9"/>
      <c r="Q161" s="7">
        <v>10386.950000000001</v>
      </c>
      <c r="R161" s="8">
        <f>IFERROR(Q161/Q444, "NA")</f>
        <v>2.5299003658233571E-3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-10386.950000000001</v>
      </c>
      <c r="X161" s="8">
        <f>IFERROR(W161/W444, "NA")</f>
        <v>0.1390356472142539</v>
      </c>
      <c r="Y161" s="9"/>
      <c r="Z161" s="7">
        <v>11896.78</v>
      </c>
      <c r="AA161" s="8">
        <f>IFERROR(Z161/Z444, "NA")</f>
        <v>3.2403904419924454E-3</v>
      </c>
      <c r="AB161" s="9"/>
      <c r="AC161" s="10">
        <f t="shared" si="43"/>
        <v>1509.83</v>
      </c>
      <c r="AD161" s="8">
        <f>IFERROR(AC161/AC444, "NA")</f>
        <v>3.4766898655537032E-3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7.4086114076409342E-7</v>
      </c>
      <c r="AB162" s="9"/>
      <c r="AC162" s="10">
        <f t="shared" si="43"/>
        <v>2.72</v>
      </c>
      <c r="AD162" s="8">
        <f>IFERROR(AC162/AC444, "NA")</f>
        <v>6.2633517908016623E-6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1252.69</v>
      </c>
      <c r="C166" s="15">
        <f>IFERROR(B166/B444, "NA")</f>
        <v>2.3740672988921334E-3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-1252.69</v>
      </c>
      <c r="I166" s="15">
        <f>IFERROR(H166/H444, "NA")</f>
        <v>3.6813268516543068E-2</v>
      </c>
      <c r="J166" s="2"/>
      <c r="K166" s="14">
        <f>IFERROR(K160+K161+K162+K163+K164+K165, "NA")</f>
        <v>1621.34</v>
      </c>
      <c r="L166" s="15">
        <f>IFERROR(K166/K444, "NA")</f>
        <v>3.2859990627644993E-3</v>
      </c>
      <c r="M166" s="2"/>
      <c r="N166" s="14">
        <f t="shared" si="41"/>
        <v>368.64999999999986</v>
      </c>
      <c r="O166" s="15">
        <f>IFERROR(N166/N444, "NA")</f>
        <v>1.0764415089160819E-2</v>
      </c>
      <c r="P166" s="2"/>
      <c r="Q166" s="14">
        <f>IFERROR(Q160+Q161+Q162+Q163+Q164+Q165, "NA")</f>
        <v>10386.950000000001</v>
      </c>
      <c r="R166" s="15">
        <f>IFERROR(Q166/Q444, "NA")</f>
        <v>2.5299003658233571E-3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-10386.950000000001</v>
      </c>
      <c r="X166" s="15">
        <f>IFERROR(W166/W444, "NA")</f>
        <v>0.1390356472142539</v>
      </c>
      <c r="Y166" s="2"/>
      <c r="Z166" s="14">
        <f>IFERROR(Z160+Z161+Z162+Z163+Z164+Z165, "NA")</f>
        <v>11899.5</v>
      </c>
      <c r="AA166" s="15">
        <f>IFERROR(Z166/Z444, "NA")</f>
        <v>3.2411313031332095E-3</v>
      </c>
      <c r="AB166" s="2"/>
      <c r="AC166" s="14">
        <f t="shared" si="43"/>
        <v>1512.5499999999993</v>
      </c>
      <c r="AD166" s="15">
        <f>IFERROR(AC166/AC444, "NA")</f>
        <v>3.4829532173445035E-3</v>
      </c>
    </row>
    <row r="167" spans="1:30" ht="16.5" customHeight="1" x14ac:dyDescent="0.45">
      <c r="A167" s="6" t="s">
        <v>155</v>
      </c>
      <c r="B167" s="7">
        <v>746.31000000000006</v>
      </c>
      <c r="C167" s="8">
        <f>IFERROR(B167/B444, "NA")</f>
        <v>1.4143883688990798E-3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-746.31000000000006</v>
      </c>
      <c r="I167" s="8">
        <f>IFERROR(H167/H444, "NA")</f>
        <v>2.1932090482546567E-2</v>
      </c>
      <c r="J167" s="9"/>
      <c r="K167" s="7">
        <v>711.39</v>
      </c>
      <c r="L167" s="8">
        <f>IFERROR(K167/K444, "NA")</f>
        <v>1.4417869621794548E-3</v>
      </c>
      <c r="M167" s="9"/>
      <c r="N167" s="10">
        <f t="shared" si="41"/>
        <v>-34.920000000000073</v>
      </c>
      <c r="O167" s="8">
        <f>IFERROR(N167/N444, "NA")</f>
        <v>-1.0196483789868349E-3</v>
      </c>
      <c r="P167" s="9"/>
      <c r="Q167" s="7">
        <v>5641.6600000000008</v>
      </c>
      <c r="R167" s="8">
        <f>IFERROR(Q167/Q444, "NA")</f>
        <v>1.3741124870968861E-3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-5641.6600000000008</v>
      </c>
      <c r="X167" s="8">
        <f>IFERROR(W167/W444, "NA")</f>
        <v>7.5517052596071776E-2</v>
      </c>
      <c r="Y167" s="9"/>
      <c r="Z167" s="7">
        <v>6404.86</v>
      </c>
      <c r="AA167" s="8">
        <f>IFERROR(Z167/Z444, "NA")</f>
        <v>1.744526428689085E-3</v>
      </c>
      <c r="AB167" s="9"/>
      <c r="AC167" s="10">
        <f t="shared" si="43"/>
        <v>763.19999999999891</v>
      </c>
      <c r="AD167" s="8">
        <f>IFERROR(AC167/AC444, "NA")</f>
        <v>1.7574228260072873E-3</v>
      </c>
    </row>
    <row r="168" spans="1:30" ht="16.5" customHeight="1" x14ac:dyDescent="0.45">
      <c r="A168" s="6" t="s">
        <v>156</v>
      </c>
      <c r="B168" s="7">
        <v>170.79</v>
      </c>
      <c r="C168" s="8">
        <f>IFERROR(B168/B444, "NA")</f>
        <v>3.2367701025615869E-4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-170.79</v>
      </c>
      <c r="I168" s="8">
        <f>IFERROR(H168/H444, "NA")</f>
        <v>5.0190694664604884E-3</v>
      </c>
      <c r="J168" s="9"/>
      <c r="K168" s="7">
        <v>207.6</v>
      </c>
      <c r="L168" s="8">
        <f>IFERROR(K168/K444, "NA")</f>
        <v>4.2074666968674681E-4</v>
      </c>
      <c r="M168" s="9"/>
      <c r="N168" s="10">
        <f t="shared" si="41"/>
        <v>36.81</v>
      </c>
      <c r="O168" s="8">
        <f>IFERROR(N168/N444, "NA")</f>
        <v>1.0748355335196255E-3</v>
      </c>
      <c r="P168" s="9"/>
      <c r="Q168" s="7">
        <v>1402.72</v>
      </c>
      <c r="R168" s="8">
        <f>IFERROR(Q168/Q444, "NA")</f>
        <v>3.4165388695889931E-4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-1402.72</v>
      </c>
      <c r="X168" s="8">
        <f>IFERROR(W168/W444, "NA")</f>
        <v>1.8776260890865773E-2</v>
      </c>
      <c r="Y168" s="9"/>
      <c r="Z168" s="7">
        <v>1626.19</v>
      </c>
      <c r="AA168" s="8">
        <f>IFERROR(Z168/Z444, "NA")</f>
        <v>4.4293418327175039E-4</v>
      </c>
      <c r="AB168" s="9"/>
      <c r="AC168" s="10">
        <f t="shared" si="43"/>
        <v>223.47000000000003</v>
      </c>
      <c r="AD168" s="8">
        <f>IFERROR(AC168/AC444, "NA")</f>
        <v>5.1458500907737039E-4</v>
      </c>
    </row>
    <row r="169" spans="1:30" ht="16.5" customHeight="1" x14ac:dyDescent="0.45">
      <c r="A169" s="6" t="s">
        <v>157</v>
      </c>
      <c r="B169" s="7">
        <v>-7868.88</v>
      </c>
      <c r="C169" s="8">
        <f>IFERROR(B169/B444, "NA")</f>
        <v>-1.4912907971570246E-2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7868.88</v>
      </c>
      <c r="I169" s="8">
        <f>IFERROR(H169/H444, "NA")</f>
        <v>-0.23124571311693667</v>
      </c>
      <c r="J169" s="9"/>
      <c r="K169" s="7">
        <v>-13731.02</v>
      </c>
      <c r="L169" s="8">
        <f>IFERROR(K169/K444, "NA")</f>
        <v>-2.7828906244711536E-2</v>
      </c>
      <c r="M169" s="9"/>
      <c r="N169" s="10">
        <f t="shared" si="41"/>
        <v>-5862.14</v>
      </c>
      <c r="O169" s="8">
        <f>IFERROR(N169/N444, "NA")</f>
        <v>-0.17117186564701811</v>
      </c>
      <c r="P169" s="9"/>
      <c r="Q169" s="7">
        <v>-70590.13</v>
      </c>
      <c r="R169" s="8">
        <f>IFERROR(Q169/Q444, "NA")</f>
        <v>-1.7193304647708744E-2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70590.13</v>
      </c>
      <c r="X169" s="8">
        <f>IFERROR(W169/W444, "NA")</f>
        <v>-0.94489185097534123</v>
      </c>
      <c r="Y169" s="9"/>
      <c r="Z169" s="7">
        <v>-79862.740000000005</v>
      </c>
      <c r="AA169" s="8">
        <f>IFERROR(Z169/Z444, "NA")</f>
        <v>-2.1752647301818456E-2</v>
      </c>
      <c r="AB169" s="9"/>
      <c r="AC169" s="10">
        <f t="shared" si="43"/>
        <v>-9272.61</v>
      </c>
      <c r="AD169" s="8">
        <f>IFERROR(AC169/AC444, "NA")</f>
        <v>-2.135206560621522E-2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16347.45</v>
      </c>
      <c r="C170" s="15">
        <f>IFERROR(B170/B444, "NA")</f>
        <v>3.0981285445939706E-2</v>
      </c>
      <c r="D170" s="2"/>
      <c r="E170" s="14">
        <f>IFERROR(E151+E153+E154+E155+E156+E157+E160+E161+E162+E163+E164+E165+E167+E168+E169, "NA")</f>
        <v>9238.17</v>
      </c>
      <c r="F170" s="15">
        <f>IFERROR(E170/E444, "NA")</f>
        <v>1.6447276943296892E-2</v>
      </c>
      <c r="G170" s="2"/>
      <c r="H170" s="14">
        <f t="shared" si="40"/>
        <v>-7109.2800000000007</v>
      </c>
      <c r="I170" s="15">
        <f>IFERROR(H170/H444, "NA")</f>
        <v>0.20892306444474634</v>
      </c>
      <c r="J170" s="2"/>
      <c r="K170" s="14">
        <f>IFERROR(K151+K153+K154+K155+K156+K157+K160+K161+K162+K163+K164+K165+K167+K168+K169, "NA")</f>
        <v>9615.2199999999975</v>
      </c>
      <c r="L170" s="15">
        <f>IFERROR(K170/K444, "NA")</f>
        <v>1.9487340044823703E-2</v>
      </c>
      <c r="M170" s="2"/>
      <c r="N170" s="14">
        <f t="shared" si="41"/>
        <v>-6732.2300000000032</v>
      </c>
      <c r="O170" s="15">
        <f>IFERROR(N170/N444, "NA")</f>
        <v>-0.19657810442344012</v>
      </c>
      <c r="P170" s="2"/>
      <c r="Q170" s="14">
        <f>IFERROR(Q151+Q153+Q154+Q155+Q156+Q157+Q160+Q161+Q162+Q163+Q164+Q165+Q167+Q168+Q169, "NA")</f>
        <v>123159.78</v>
      </c>
      <c r="R170" s="15">
        <f>IFERROR(Q170/Q444, "NA")</f>
        <v>2.9997446071919492E-2</v>
      </c>
      <c r="S170" s="2"/>
      <c r="T170" s="14">
        <f>IFERROR(T151+T153+T154+T155+T156+T157+T160+T161+T162+T163+T164+T165+T167+T168+T169, "NA")</f>
        <v>73879.37</v>
      </c>
      <c r="U170" s="15">
        <f>IFERROR(T170/T444, "NA")</f>
        <v>1.7672872728573347E-2</v>
      </c>
      <c r="V170" s="2"/>
      <c r="W170" s="14">
        <f t="shared" si="42"/>
        <v>-49280.41</v>
      </c>
      <c r="X170" s="15">
        <f>IFERROR(W170/W444, "NA")</f>
        <v>0.65964827974851037</v>
      </c>
      <c r="Y170" s="2"/>
      <c r="Z170" s="14">
        <f>IFERROR(Z151+Z153+Z154+Z155+Z156+Z157+Z160+Z161+Z162+Z163+Z164+Z165+Z167+Z168+Z169, "NA")</f>
        <v>108589.01000000002</v>
      </c>
      <c r="AA170" s="15">
        <f>IFERROR(Z170/Z444, "NA")</f>
        <v>2.9576977140824839E-2</v>
      </c>
      <c r="AB170" s="2"/>
      <c r="AC170" s="14">
        <f t="shared" si="43"/>
        <v>-14570.769999999975</v>
      </c>
      <c r="AD170" s="15">
        <f>IFERROR(AC170/AC444, "NA")</f>
        <v>-3.3552153813551096E-2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153078.93999999997</v>
      </c>
      <c r="C171" s="15">
        <f>IFERROR(B171/B444, "NA")</f>
        <v>0.29011144465356226</v>
      </c>
      <c r="D171" s="2"/>
      <c r="E171" s="14">
        <f>IFERROR(E127+E129+E130+E131+E132+E133+E134+E135+E136+E137+E138+E139+E140+E143+E144+E145+E146+E147+E151+E153+E154+E155+E156+E157+E160+E161+E162+E163+E164+E165+E167+E168+E169, "NA")</f>
        <v>135632.04</v>
      </c>
      <c r="F171" s="15">
        <f>IFERROR(E171/E444, "NA")</f>
        <v>0.24147398502780551</v>
      </c>
      <c r="G171" s="2"/>
      <c r="H171" s="14">
        <f t="shared" si="40"/>
        <v>-17446.899999999965</v>
      </c>
      <c r="I171" s="15">
        <f>IFERROR(H171/H444, "NA")</f>
        <v>0.51271856124122794</v>
      </c>
      <c r="J171" s="2"/>
      <c r="K171" s="14">
        <f>IFERROR(K127+K129+K130+K131+K132+K133+K134+K135+K136+K137+K138+K139+K140+K143+K144+K145+K146+K147+K151+K153+K154+K155+K156+K157+K160+K161+K162+K163+K164+K165+K167+K168+K169, "NA")</f>
        <v>133437.73000000001</v>
      </c>
      <c r="L171" s="15">
        <f>IFERROR(K171/K444, "NA")</f>
        <v>0.27044065755327223</v>
      </c>
      <c r="M171" s="2"/>
      <c r="N171" s="14">
        <f t="shared" si="41"/>
        <v>-19641.209999999963</v>
      </c>
      <c r="O171" s="15">
        <f>IFERROR(N171/N444, "NA")</f>
        <v>-0.57351454575715732</v>
      </c>
      <c r="P171" s="2"/>
      <c r="Q171" s="14">
        <f>IFERROR(Q127+Q129+Q130+Q131+Q132+Q133+Q134+Q135+Q136+Q137+Q138+Q139+Q140+Q143+Q144+Q145+Q146+Q147+Q151+Q153+Q154+Q155+Q156+Q157+Q160+Q161+Q162+Q163+Q164+Q165+Q167+Q168+Q169, "NA")</f>
        <v>1169677.2399999998</v>
      </c>
      <c r="R171" s="15">
        <f>IFERROR(Q171/Q444, "NA")</f>
        <v>0.2848927622999296</v>
      </c>
      <c r="S171" s="2"/>
      <c r="T171" s="14">
        <f>IFERROR(T127+T129+T130+T131+T132+T133+T134+T135+T136+T137+T138+T139+T140+T143+T144+T145+T146+T147+T151+T153+T154+T155+T156+T157+T160+T161+T162+T163+T164+T165+T167+T168+T169, "NA")</f>
        <v>1043994.3499999999</v>
      </c>
      <c r="U171" s="15">
        <f>IFERROR(T171/T444, "NA")</f>
        <v>0.24973655401906728</v>
      </c>
      <c r="V171" s="2"/>
      <c r="W171" s="14">
        <f t="shared" si="42"/>
        <v>-125682.8899999999</v>
      </c>
      <c r="X171" s="15">
        <f>IFERROR(W171/W444, "NA")</f>
        <v>1.6823419728513052</v>
      </c>
      <c r="Y171" s="2"/>
      <c r="Z171" s="14">
        <f>IFERROR(Z127+Z129+Z130+Z131+Z132+Z133+Z134+Z135+Z136+Z137+Z138+Z139+Z140+Z143+Z144+Z145+Z146+Z147+Z151+Z153+Z154+Z155+Z156+Z157+Z160+Z161+Z162+Z163+Z164+Z165+Z167+Z168+Z169, "NA")</f>
        <v>1027159.6400000001</v>
      </c>
      <c r="AA171" s="15">
        <f>IFERROR(Z171/Z444, "NA")</f>
        <v>0.27977303773427781</v>
      </c>
      <c r="AB171" s="2"/>
      <c r="AC171" s="14">
        <f t="shared" si="43"/>
        <v>-142517.59999999963</v>
      </c>
      <c r="AD171" s="15">
        <f>IFERROR(AC171/AC444, "NA")</f>
        <v>-0.32817568572821787</v>
      </c>
    </row>
    <row r="172" spans="1:30" ht="16.5" customHeight="1" x14ac:dyDescent="0.45">
      <c r="A172" s="22" t="s">
        <v>160</v>
      </c>
      <c r="B172" s="23">
        <f>IFERROR(B124-B171, "NA")</f>
        <v>374576.70000000007</v>
      </c>
      <c r="C172" s="24">
        <f>IFERROR(B172/B444, "NA")</f>
        <v>0.7098885553464378</v>
      </c>
      <c r="D172" s="25"/>
      <c r="E172" s="23">
        <f>IFERROR(E124-E171, "NA")</f>
        <v>426051.81999999995</v>
      </c>
      <c r="F172" s="24">
        <f>IFERROR(E172/E444, "NA")</f>
        <v>0.75852601497219441</v>
      </c>
      <c r="G172" s="25"/>
      <c r="H172" s="23">
        <f>IFERROR(B172-E172, "NA")</f>
        <v>-51475.119999999879</v>
      </c>
      <c r="I172" s="24">
        <f>IFERROR(H172/H444, "NA")</f>
        <v>1.5127185612412264</v>
      </c>
      <c r="J172" s="25"/>
      <c r="K172" s="23">
        <f>IFERROR(K124-K171, "NA")</f>
        <v>359970.81000000006</v>
      </c>
      <c r="L172" s="24">
        <f>IFERROR(K172/K444, "NA")</f>
        <v>0.72955934244672793</v>
      </c>
      <c r="M172" s="25"/>
      <c r="N172" s="23">
        <f>IFERROR(B172-K172, "NA")</f>
        <v>14605.890000000014</v>
      </c>
      <c r="O172" s="24">
        <f>IFERROR(N172/N444, "NA")</f>
        <v>0.42648545424284096</v>
      </c>
      <c r="P172" s="25"/>
      <c r="Q172" s="23">
        <f>IFERROR(Q124-Q171, "NA")</f>
        <v>2935998.2800000012</v>
      </c>
      <c r="R172" s="24">
        <f>IFERROR(Q172/Q444, "NA")</f>
        <v>0.71510723770007079</v>
      </c>
      <c r="S172" s="25"/>
      <c r="T172" s="23">
        <f>IFERROR(T124-T171, "NA")</f>
        <v>3136388.2700000005</v>
      </c>
      <c r="U172" s="24">
        <f>IFERROR(T172/T444, "NA")</f>
        <v>0.75026344598093286</v>
      </c>
      <c r="V172" s="25"/>
      <c r="W172" s="23">
        <f>IFERROR(Q172-T172, "NA")</f>
        <v>-200389.98999999929</v>
      </c>
      <c r="X172" s="24">
        <f>IFERROR(W172/W444, "NA")</f>
        <v>2.6823419728512956</v>
      </c>
      <c r="Y172" s="25"/>
      <c r="Z172" s="23">
        <f>IFERROR(Z124-Z171, "NA")</f>
        <v>2644243.6100000008</v>
      </c>
      <c r="AA172" s="24">
        <f>IFERROR(Z172/Z444, "NA")</f>
        <v>0.72022696226572247</v>
      </c>
      <c r="AB172" s="25"/>
      <c r="AC172" s="23">
        <f>IFERROR(Q172-Z172, "NA")</f>
        <v>291754.67000000039</v>
      </c>
      <c r="AD172" s="24">
        <f>IFERROR(AC172/AC444, "NA")</f>
        <v>0.67182431427178324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31832.32</v>
      </c>
      <c r="C178" s="8">
        <f>IFERROR(B178/B444, "NA")</f>
        <v>6.0327830476710149E-2</v>
      </c>
      <c r="D178" s="9"/>
      <c r="E178" s="7">
        <v>32038.460000000003</v>
      </c>
      <c r="F178" s="8">
        <f>IFERROR(E178/E444, "NA")</f>
        <v>5.704002247812498E-2</v>
      </c>
      <c r="G178" s="9"/>
      <c r="H178" s="10">
        <f t="shared" si="44"/>
        <v>206.14000000000306</v>
      </c>
      <c r="I178" s="8">
        <f>IFERROR(H178/H444, "NA")</f>
        <v>-6.0579131085905531E-3</v>
      </c>
      <c r="J178" s="9"/>
      <c r="K178" s="7">
        <v>25961.559999999998</v>
      </c>
      <c r="L178" s="8">
        <f>IFERROR(K178/K444, "NA")</f>
        <v>5.2616762571640933E-2</v>
      </c>
      <c r="M178" s="9"/>
      <c r="N178" s="10">
        <f t="shared" si="45"/>
        <v>-5870.760000000002</v>
      </c>
      <c r="O178" s="8">
        <f>IFERROR(N178/N444, "NA")</f>
        <v>-0.17142356579097195</v>
      </c>
      <c r="P178" s="9"/>
      <c r="Q178" s="7">
        <v>234367.52</v>
      </c>
      <c r="R178" s="8">
        <f>IFERROR(Q178/Q444, "NA")</f>
        <v>5.7083790196844397E-2</v>
      </c>
      <c r="S178" s="9"/>
      <c r="T178" s="7">
        <v>240288.44</v>
      </c>
      <c r="U178" s="8">
        <f>IFERROR(T178/T444, "NA")</f>
        <v>5.7480011243564118E-2</v>
      </c>
      <c r="V178" s="9"/>
      <c r="W178" s="10">
        <f t="shared" si="46"/>
        <v>5920.9200000000128</v>
      </c>
      <c r="X178" s="8">
        <f>IFERROR(W178/W444, "NA")</f>
        <v>-7.9255117652806836E-2</v>
      </c>
      <c r="Y178" s="9"/>
      <c r="Z178" s="7">
        <v>194711.69999999998</v>
      </c>
      <c r="AA178" s="8">
        <f>IFERROR(Z178/Z444, "NA")</f>
        <v>5.3034680949307321E-2</v>
      </c>
      <c r="AB178" s="9"/>
      <c r="AC178" s="10">
        <f t="shared" si="47"/>
        <v>-39655.820000000007</v>
      </c>
      <c r="AD178" s="8">
        <f>IFERROR(AC178/AC444, "NA")</f>
        <v>-9.1315570298789853E-2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102657.87000000001</v>
      </c>
      <c r="C180" s="8">
        <f>IFERROR(B180/B444, "NA")</f>
        <v>0.19455467205846602</v>
      </c>
      <c r="D180" s="9"/>
      <c r="E180" s="7">
        <v>101653.13999999998</v>
      </c>
      <c r="F180" s="8">
        <f>IFERROR(E180/E444, "NA")</f>
        <v>0.18097927898444507</v>
      </c>
      <c r="G180" s="9"/>
      <c r="H180" s="10">
        <f t="shared" si="44"/>
        <v>-1004.730000000025</v>
      </c>
      <c r="I180" s="8">
        <f>IFERROR(H180/H444, "NA")</f>
        <v>2.9526375461309051E-2</v>
      </c>
      <c r="J180" s="9"/>
      <c r="K180" s="7">
        <v>101224.62999999999</v>
      </c>
      <c r="L180" s="8">
        <f>IFERROR(K180/K444, "NA")</f>
        <v>0.20515378594784758</v>
      </c>
      <c r="M180" s="9"/>
      <c r="N180" s="10">
        <f t="shared" si="45"/>
        <v>-1433.2400000000198</v>
      </c>
      <c r="O180" s="8">
        <f>IFERROR(N180/N444, "NA")</f>
        <v>-4.184996685850826E-2</v>
      </c>
      <c r="P180" s="9"/>
      <c r="Q180" s="7">
        <v>773471.02999999991</v>
      </c>
      <c r="R180" s="8">
        <f>IFERROR(Q180/Q444, "NA")</f>
        <v>0.1883906865586884</v>
      </c>
      <c r="S180" s="9"/>
      <c r="T180" s="7">
        <v>788700.8</v>
      </c>
      <c r="U180" s="8">
        <f>IFERROR(T180/T444, "NA")</f>
        <v>0.18866713210093675</v>
      </c>
      <c r="V180" s="9"/>
      <c r="W180" s="10">
        <f t="shared" si="46"/>
        <v>15229.770000000135</v>
      </c>
      <c r="X180" s="8">
        <f>IFERROR(W180/W444, "NA")</f>
        <v>-0.20385974023888112</v>
      </c>
      <c r="Y180" s="9"/>
      <c r="Z180" s="7">
        <v>751896.98999999987</v>
      </c>
      <c r="AA180" s="8">
        <f>IFERROR(Z180/Z444, "NA")</f>
        <v>0.20479825799576767</v>
      </c>
      <c r="AB180" s="9"/>
      <c r="AC180" s="10">
        <f t="shared" si="47"/>
        <v>-21574.040000000037</v>
      </c>
      <c r="AD180" s="8">
        <f>IFERROR(AC180/AC444, "NA")</f>
        <v>-4.9678603701774605E-2</v>
      </c>
    </row>
    <row r="181" spans="1:30" ht="16.5" customHeight="1" x14ac:dyDescent="0.45">
      <c r="A181" s="12" t="s">
        <v>166</v>
      </c>
      <c r="B181" s="7">
        <v>1138.7</v>
      </c>
      <c r="C181" s="8">
        <f>IFERROR(B181/B444, "NA")</f>
        <v>2.158036252583219E-3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-1138.7</v>
      </c>
      <c r="I181" s="8">
        <f>IFERROR(H181/H444, "NA")</f>
        <v>3.3463401847055207E-2</v>
      </c>
      <c r="J181" s="9"/>
      <c r="K181" s="7">
        <v>495.63000000000005</v>
      </c>
      <c r="L181" s="8">
        <f>IFERROR(K181/K444, "NA")</f>
        <v>1.004502273106177E-3</v>
      </c>
      <c r="M181" s="9"/>
      <c r="N181" s="10">
        <f t="shared" si="45"/>
        <v>-643.06999999999994</v>
      </c>
      <c r="O181" s="8">
        <f>IFERROR(N181/N444, "NA")</f>
        <v>-1.8777356330900989E-2</v>
      </c>
      <c r="P181" s="9"/>
      <c r="Q181" s="7">
        <v>10968.44</v>
      </c>
      <c r="R181" s="8">
        <f>IFERROR(Q181/Q444, "NA")</f>
        <v>2.6715311394116216E-3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-10968.44</v>
      </c>
      <c r="X181" s="8">
        <f>IFERROR(W181/W444, "NA")</f>
        <v>0.14681924475719157</v>
      </c>
      <c r="Y181" s="9"/>
      <c r="Z181" s="7">
        <v>7380.1799999999994</v>
      </c>
      <c r="AA181" s="8">
        <f>IFERROR(Z181/Z444, "NA")</f>
        <v>2.010179622736892E-3</v>
      </c>
      <c r="AB181" s="9"/>
      <c r="AC181" s="10">
        <f t="shared" si="47"/>
        <v>-3588.2600000000011</v>
      </c>
      <c r="AD181" s="8">
        <f>IFERROR(AC181/AC444, "NA")</f>
        <v>-8.2626965797286678E-3</v>
      </c>
    </row>
    <row r="182" spans="1:30" ht="16.5" customHeight="1" x14ac:dyDescent="0.45">
      <c r="A182" s="13" t="s">
        <v>167</v>
      </c>
      <c r="B182" s="14">
        <f>IFERROR(B177+B178+B179+B180+B181, "NA")</f>
        <v>135628.89000000001</v>
      </c>
      <c r="C182" s="15">
        <f>IFERROR(B182/B444, "NA")</f>
        <v>0.2570405387877594</v>
      </c>
      <c r="D182" s="2"/>
      <c r="E182" s="14">
        <f>IFERROR(E177+E178+E179+E180+E181, "NA")</f>
        <v>133691.59999999998</v>
      </c>
      <c r="F182" s="15">
        <f>IFERROR(E182/E444, "NA")</f>
        <v>0.23801930146257003</v>
      </c>
      <c r="G182" s="2"/>
      <c r="H182" s="14">
        <f t="shared" si="44"/>
        <v>-1937.2900000000373</v>
      </c>
      <c r="I182" s="15">
        <f>IFERROR(H182/H444, "NA")</f>
        <v>5.6931864199774154E-2</v>
      </c>
      <c r="J182" s="2"/>
      <c r="K182" s="14">
        <f>IFERROR(K177+K178+K179+K180+K181, "NA")</f>
        <v>127681.81999999999</v>
      </c>
      <c r="L182" s="15">
        <f>IFERROR(K182/K444, "NA")</f>
        <v>0.25877505079259472</v>
      </c>
      <c r="M182" s="2"/>
      <c r="N182" s="14">
        <f t="shared" si="45"/>
        <v>-7947.0700000000215</v>
      </c>
      <c r="O182" s="15">
        <f>IFERROR(N182/N444, "NA")</f>
        <v>-0.2320508889803812</v>
      </c>
      <c r="P182" s="2"/>
      <c r="Q182" s="14">
        <f>IFERROR(Q177+Q178+Q179+Q180+Q181, "NA")</f>
        <v>1018806.9899999999</v>
      </c>
      <c r="R182" s="15">
        <f>IFERROR(Q182/Q444, "NA")</f>
        <v>0.2481460078949444</v>
      </c>
      <c r="S182" s="2"/>
      <c r="T182" s="14">
        <f>IFERROR(T177+T178+T179+T180+T181, "NA")</f>
        <v>1028989.24</v>
      </c>
      <c r="U182" s="15">
        <f>IFERROR(T182/T444, "NA")</f>
        <v>0.24614714334450086</v>
      </c>
      <c r="V182" s="2"/>
      <c r="W182" s="14">
        <f t="shared" si="46"/>
        <v>10182.250000000116</v>
      </c>
      <c r="X182" s="15">
        <f>IFERROR(W182/W444, "NA")</f>
        <v>-0.13629561313449598</v>
      </c>
      <c r="Y182" s="2"/>
      <c r="Z182" s="14">
        <f>IFERROR(Z177+Z178+Z179+Z180+Z181, "NA")</f>
        <v>953988.86999999988</v>
      </c>
      <c r="AA182" s="15">
        <f>IFERROR(Z182/Z444, "NA")</f>
        <v>0.25984311856781189</v>
      </c>
      <c r="AB182" s="2"/>
      <c r="AC182" s="14">
        <f t="shared" si="47"/>
        <v>-64818.119999999995</v>
      </c>
      <c r="AD182" s="15">
        <f>IFERROR(AC182/AC444, "NA")</f>
        <v>-0.14925687058029302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-5900</v>
      </c>
      <c r="C184" s="8">
        <f>IFERROR(B184/B444, "NA")</f>
        <v>-1.1181534987477818E-2</v>
      </c>
      <c r="D184" s="9"/>
      <c r="E184" s="7">
        <v>2950</v>
      </c>
      <c r="F184" s="8">
        <f>IFERROR(E184/E444, "NA")</f>
        <v>5.2520647468844838E-3</v>
      </c>
      <c r="G184" s="9"/>
      <c r="H184" s="10">
        <f t="shared" si="44"/>
        <v>8850</v>
      </c>
      <c r="I184" s="8">
        <f>IFERROR(H184/H444, "NA")</f>
        <v>-0.26007825269732027</v>
      </c>
      <c r="J184" s="9"/>
      <c r="K184" s="7">
        <v>1500</v>
      </c>
      <c r="L184" s="8">
        <f>IFERROR(K184/K444, "NA")</f>
        <v>3.0400770931123325E-3</v>
      </c>
      <c r="M184" s="9"/>
      <c r="N184" s="10">
        <f t="shared" si="45"/>
        <v>7400</v>
      </c>
      <c r="O184" s="8">
        <f>IFERROR(N184/N444, "NA")</f>
        <v>0.21607668970511348</v>
      </c>
      <c r="P184" s="9"/>
      <c r="Q184" s="7">
        <v>8100</v>
      </c>
      <c r="R184" s="8">
        <f>IFERROR(Q184/Q444, "NA")</f>
        <v>1.972878752970717E-3</v>
      </c>
      <c r="S184" s="9"/>
      <c r="T184" s="7">
        <v>20650</v>
      </c>
      <c r="U184" s="8">
        <f>IFERROR(T184/T444, "NA")</f>
        <v>4.939739224157429E-3</v>
      </c>
      <c r="V184" s="9"/>
      <c r="W184" s="10">
        <f t="shared" si="46"/>
        <v>12550</v>
      </c>
      <c r="X184" s="8">
        <f>IFERROR(W184/W444, "NA")</f>
        <v>-0.16798938788950427</v>
      </c>
      <c r="Y184" s="9"/>
      <c r="Z184" s="7">
        <v>9400</v>
      </c>
      <c r="AA184" s="8">
        <f>IFERROR(Z184/Z444, "NA")</f>
        <v>2.5603289423464992E-3</v>
      </c>
      <c r="AB184" s="9"/>
      <c r="AC184" s="10">
        <f t="shared" si="47"/>
        <v>1300</v>
      </c>
      <c r="AD184" s="8">
        <f>IFERROR(AC184/AC444, "NA")</f>
        <v>2.9935137235449121E-3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11605.560000000001</v>
      </c>
      <c r="C186" s="8">
        <f>IFERROR(B186/B444, "NA")</f>
        <v>2.1994572065978487E-2</v>
      </c>
      <c r="D186" s="9"/>
      <c r="E186" s="7">
        <v>13647.9</v>
      </c>
      <c r="F186" s="8">
        <f>IFERROR(E186/E444, "NA")</f>
        <v>2.4298187952205001E-2</v>
      </c>
      <c r="G186" s="9"/>
      <c r="H186" s="10">
        <f t="shared" ref="H186:H197" si="48">IFERROR(-(B186-E186), "NA")</f>
        <v>2042.3399999999983</v>
      </c>
      <c r="I186" s="8">
        <f>IFERROR(H186/H444, "NA")</f>
        <v>-6.0019007752976791E-2</v>
      </c>
      <c r="J186" s="9"/>
      <c r="K186" s="7">
        <v>12420.310000000001</v>
      </c>
      <c r="L186" s="8">
        <f>IFERROR(K186/K444, "NA")</f>
        <v>2.5172466613569359E-2</v>
      </c>
      <c r="M186" s="9"/>
      <c r="N186" s="10">
        <f t="shared" ref="N186:N197" si="49">IFERROR(-(B186-K186), "NA")</f>
        <v>814.75</v>
      </c>
      <c r="O186" s="8">
        <f>IFERROR(N186/N444, "NA")</f>
        <v>2.3790335532059625E-2</v>
      </c>
      <c r="P186" s="9"/>
      <c r="Q186" s="7">
        <v>102661.47</v>
      </c>
      <c r="R186" s="8">
        <f>IFERROR(Q186/Q444, "NA")</f>
        <v>2.5004769495276628E-2</v>
      </c>
      <c r="S186" s="9"/>
      <c r="T186" s="7">
        <v>116848.4</v>
      </c>
      <c r="U186" s="8">
        <f>IFERROR(T186/T444, "NA")</f>
        <v>2.7951604104602273E-2</v>
      </c>
      <c r="V186" s="9"/>
      <c r="W186" s="10">
        <f t="shared" ref="W186:W197" si="50">IFERROR(-(Q186-T186), "NA")</f>
        <v>14186.929999999993</v>
      </c>
      <c r="X186" s="8">
        <f>IFERROR(W186/W444, "NA")</f>
        <v>-0.1899006921698202</v>
      </c>
      <c r="Y186" s="9"/>
      <c r="Z186" s="7">
        <v>100734.5</v>
      </c>
      <c r="AA186" s="8">
        <f>IFERROR(Z186/Z444, "NA")</f>
        <v>2.7437601685404621E-2</v>
      </c>
      <c r="AB186" s="9"/>
      <c r="AC186" s="10">
        <f t="shared" ref="AC186:AC197" si="51">IFERROR(-(Q186-Z186), "NA")</f>
        <v>-1926.9700000000012</v>
      </c>
      <c r="AD186" s="8">
        <f>IFERROR(AC186/AC444, "NA")</f>
        <v>-4.4372393383533401E-3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1.9066279357899465E-8</v>
      </c>
      <c r="AB187" s="9"/>
      <c r="AC187" s="10">
        <f t="shared" si="51"/>
        <v>7.0000000000000007E-2</v>
      </c>
      <c r="AD187" s="8">
        <f>IFERROR(AC187/AC444, "NA")</f>
        <v>1.6118920049857218E-7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11605.560000000001</v>
      </c>
      <c r="C193" s="15">
        <f>IFERROR(B193/B444, "NA")</f>
        <v>2.1994572065978487E-2</v>
      </c>
      <c r="D193" s="2"/>
      <c r="E193" s="14">
        <f>IFERROR(E186+E187+E188+E189+E190+E191+E192, "NA")</f>
        <v>13647.9</v>
      </c>
      <c r="F193" s="15">
        <f>IFERROR(E193/E444, "NA")</f>
        <v>2.4298187952205001E-2</v>
      </c>
      <c r="G193" s="2"/>
      <c r="H193" s="14">
        <f t="shared" si="48"/>
        <v>2042.3399999999983</v>
      </c>
      <c r="I193" s="15">
        <f>IFERROR(H193/H444, "NA")</f>
        <v>-6.0019007752976791E-2</v>
      </c>
      <c r="J193" s="2"/>
      <c r="K193" s="14">
        <f>IFERROR(K186+K187+K188+K189+K190+K191+K192, "NA")</f>
        <v>12420.310000000001</v>
      </c>
      <c r="L193" s="15">
        <f>IFERROR(K193/K444, "NA")</f>
        <v>2.5172466613569359E-2</v>
      </c>
      <c r="M193" s="2"/>
      <c r="N193" s="14">
        <f t="shared" si="49"/>
        <v>814.75</v>
      </c>
      <c r="O193" s="15">
        <f>IFERROR(N193/N444, "NA")</f>
        <v>2.3790335532059625E-2</v>
      </c>
      <c r="P193" s="2"/>
      <c r="Q193" s="14">
        <f>IFERROR(Q186+Q187+Q188+Q189+Q190+Q191+Q192, "NA")</f>
        <v>102661.47</v>
      </c>
      <c r="R193" s="15">
        <f>IFERROR(Q193/Q444, "NA")</f>
        <v>2.5004769495276628E-2</v>
      </c>
      <c r="S193" s="2"/>
      <c r="T193" s="14">
        <f>IFERROR(T186+T187+T188+T189+T190+T191+T192, "NA")</f>
        <v>116848.4</v>
      </c>
      <c r="U193" s="15">
        <f>IFERROR(T193/T444, "NA")</f>
        <v>2.7951604104602273E-2</v>
      </c>
      <c r="V193" s="2"/>
      <c r="W193" s="14">
        <f t="shared" si="50"/>
        <v>14186.929999999993</v>
      </c>
      <c r="X193" s="15">
        <f>IFERROR(W193/W444, "NA")</f>
        <v>-0.1899006921698202</v>
      </c>
      <c r="Y193" s="2"/>
      <c r="Z193" s="14">
        <f>IFERROR(Z186+Z187+Z188+Z189+Z190+Z191+Z192, "NA")</f>
        <v>100734.57</v>
      </c>
      <c r="AA193" s="15">
        <f>IFERROR(Z193/Z444, "NA")</f>
        <v>2.7437620751683978E-2</v>
      </c>
      <c r="AB193" s="2"/>
      <c r="AC193" s="14">
        <f t="shared" si="51"/>
        <v>-1926.8999999999942</v>
      </c>
      <c r="AD193" s="15">
        <f>IFERROR(AC193/AC444, "NA")</f>
        <v>-4.4370781491528261E-3</v>
      </c>
    </row>
    <row r="194" spans="1:30" ht="16.5" customHeight="1" x14ac:dyDescent="0.45">
      <c r="A194" s="6" t="s">
        <v>178</v>
      </c>
      <c r="B194" s="7">
        <v>1272.6399999999999</v>
      </c>
      <c r="C194" s="8">
        <f>IFERROR(B194/B444, "NA")</f>
        <v>2.4118760485531809E-3</v>
      </c>
      <c r="D194" s="9"/>
      <c r="E194" s="7">
        <v>1093.1300000000001</v>
      </c>
      <c r="F194" s="8">
        <f>IFERROR(E194/E444, "NA")</f>
        <v>1.9461659446650295E-3</v>
      </c>
      <c r="G194" s="9"/>
      <c r="H194" s="10">
        <f t="shared" si="48"/>
        <v>-179.50999999999976</v>
      </c>
      <c r="I194" s="8">
        <f>IFERROR(H194/H444, "NA")</f>
        <v>5.2753273606436042E-3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-1272.6399999999999</v>
      </c>
      <c r="O194" s="8">
        <f>IFERROR(N194/N444, "NA")</f>
        <v>-3.7160518700853462E-2</v>
      </c>
      <c r="P194" s="9"/>
      <c r="Q194" s="7">
        <v>9093.2000000000007</v>
      </c>
      <c r="R194" s="8">
        <f>IFERROR(Q194/Q444, "NA")</f>
        <v>2.2147877872238674E-3</v>
      </c>
      <c r="S194" s="9"/>
      <c r="T194" s="7">
        <v>8397.1400000000012</v>
      </c>
      <c r="U194" s="8">
        <f>IFERROR(T194/T444, "NA")</f>
        <v>2.008701299212655E-3</v>
      </c>
      <c r="V194" s="9"/>
      <c r="W194" s="10">
        <f t="shared" si="50"/>
        <v>-696.05999999999949</v>
      </c>
      <c r="X194" s="8">
        <f>IFERROR(W194/W444, "NA")</f>
        <v>9.3171867198699812E-3</v>
      </c>
      <c r="Y194" s="9"/>
      <c r="Z194" s="7">
        <v>7730.07</v>
      </c>
      <c r="AA194" s="8">
        <f>IFERROR(Z194/Z444, "NA")</f>
        <v>2.1054810582302554E-3</v>
      </c>
      <c r="AB194" s="9"/>
      <c r="AC194" s="10">
        <f t="shared" si="51"/>
        <v>-1363.130000000001</v>
      </c>
      <c r="AD194" s="8">
        <f>IFERROR(AC194/AC444, "NA")</f>
        <v>-3.1388833553659839E-3</v>
      </c>
    </row>
    <row r="195" spans="1:30" ht="16.5" customHeight="1" x14ac:dyDescent="0.45">
      <c r="A195" s="6" t="s">
        <v>179</v>
      </c>
      <c r="B195" s="7">
        <v>1219.2399999999998</v>
      </c>
      <c r="C195" s="8">
        <f>IFERROR(B195/B444, "NA")</f>
        <v>2.3106736810393986E-3</v>
      </c>
      <c r="D195" s="9"/>
      <c r="E195" s="7">
        <v>539.29</v>
      </c>
      <c r="F195" s="8">
        <f>IFERROR(E195/E444, "NA")</f>
        <v>9.601308465584181E-4</v>
      </c>
      <c r="G195" s="9"/>
      <c r="H195" s="10">
        <f t="shared" si="48"/>
        <v>-679.94999999999982</v>
      </c>
      <c r="I195" s="8">
        <f>IFERROR(H195/H444, "NA")</f>
        <v>1.9981944397914449E-2</v>
      </c>
      <c r="J195" s="9"/>
      <c r="K195" s="7">
        <v>1444.55</v>
      </c>
      <c r="L195" s="8">
        <f>IFERROR(K195/K444, "NA")</f>
        <v>2.9276955765702799E-3</v>
      </c>
      <c r="M195" s="9"/>
      <c r="N195" s="10">
        <f t="shared" si="49"/>
        <v>225.31000000000017</v>
      </c>
      <c r="O195" s="8">
        <f>IFERROR(N195/N444, "NA")</f>
        <v>6.5789512104674538E-3</v>
      </c>
      <c r="P195" s="9"/>
      <c r="Q195" s="7">
        <v>9243.2000000000007</v>
      </c>
      <c r="R195" s="8">
        <f>IFERROR(Q195/Q444, "NA")</f>
        <v>2.2513225789455474E-3</v>
      </c>
      <c r="S195" s="9"/>
      <c r="T195" s="7">
        <v>4123.43</v>
      </c>
      <c r="U195" s="8">
        <f>IFERROR(T195/T444, "NA")</f>
        <v>9.8637621835677815E-4</v>
      </c>
      <c r="V195" s="9"/>
      <c r="W195" s="10">
        <f t="shared" si="50"/>
        <v>-5119.7700000000004</v>
      </c>
      <c r="X195" s="8">
        <f>IFERROR(W195/W444, "NA")</f>
        <v>6.8531237325501787E-2</v>
      </c>
      <c r="Y195" s="9"/>
      <c r="Z195" s="7">
        <v>8573.66</v>
      </c>
      <c r="AA195" s="8">
        <f>IFERROR(Z195/Z444, "NA")</f>
        <v>2.33525423828069E-3</v>
      </c>
      <c r="AB195" s="9"/>
      <c r="AC195" s="10">
        <f t="shared" si="51"/>
        <v>-669.54000000000087</v>
      </c>
      <c r="AD195" s="8">
        <f>IFERROR(AC195/AC444, "NA")</f>
        <v>-1.5417516757402024E-3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143826.33000000002</v>
      </c>
      <c r="C196" s="15">
        <f>IFERROR(B196/B444, "NA")</f>
        <v>0.27257612559585265</v>
      </c>
      <c r="D196" s="2"/>
      <c r="E196" s="14">
        <f>IFERROR(E175+E177+E178+E179+E180+E181+E183+E184+E186+E187+E188+E189+E190+E191+E192+E194+E195, "NA")</f>
        <v>151921.91999999998</v>
      </c>
      <c r="F196" s="15">
        <f>IFERROR(E196/E444, "NA")</f>
        <v>0.27047585095288296</v>
      </c>
      <c r="G196" s="2"/>
      <c r="H196" s="14">
        <f t="shared" si="48"/>
        <v>8095.5899999999674</v>
      </c>
      <c r="I196" s="15">
        <f>IFERROR(H196/H444, "NA")</f>
        <v>-0.23790812449196502</v>
      </c>
      <c r="J196" s="2"/>
      <c r="K196" s="14">
        <f>IFERROR(K175+K177+K178+K179+K180+K181+K183+K184+K186+K187+K188+K189+K190+K191+K192+K194+K195, "NA")</f>
        <v>143046.68</v>
      </c>
      <c r="L196" s="15">
        <f>IFERROR(K196/K444, "NA")</f>
        <v>0.28991529007584665</v>
      </c>
      <c r="M196" s="2"/>
      <c r="N196" s="14">
        <f t="shared" si="49"/>
        <v>-779.65000000002328</v>
      </c>
      <c r="O196" s="15">
        <f>IFERROR(N196/N444, "NA")</f>
        <v>-2.2765431233594157E-2</v>
      </c>
      <c r="P196" s="2"/>
      <c r="Q196" s="14">
        <f>IFERROR(Q175+Q177+Q178+Q179+Q180+Q181+Q183+Q184+Q186+Q187+Q188+Q189+Q190+Q191+Q192+Q194+Q195, "NA")</f>
        <v>1147904.8599999999</v>
      </c>
      <c r="R196" s="15">
        <f>IFERROR(Q196/Q444, "NA")</f>
        <v>0.27958976650936118</v>
      </c>
      <c r="S196" s="2"/>
      <c r="T196" s="14">
        <f>IFERROR(T175+T177+T178+T179+T180+T181+T183+T184+T186+T187+T188+T189+T190+T191+T192+T194+T195, "NA")</f>
        <v>1179008.2099999997</v>
      </c>
      <c r="U196" s="15">
        <f>IFERROR(T196/T444, "NA")</f>
        <v>0.28203356419082992</v>
      </c>
      <c r="V196" s="2"/>
      <c r="W196" s="14">
        <f t="shared" si="50"/>
        <v>31103.34999999986</v>
      </c>
      <c r="X196" s="15">
        <f>IFERROR(W196/W444, "NA")</f>
        <v>-0.41633726914844532</v>
      </c>
      <c r="Y196" s="2"/>
      <c r="Z196" s="14">
        <f>IFERROR(Z175+Z177+Z178+Z179+Z180+Z181+Z183+Z184+Z186+Z187+Z188+Z189+Z190+Z191+Z192+Z194+Z195, "NA")</f>
        <v>1080427.17</v>
      </c>
      <c r="AA196" s="15">
        <f>IFERROR(Z196/Z444, "NA")</f>
        <v>0.29428180355835332</v>
      </c>
      <c r="AB196" s="2"/>
      <c r="AC196" s="14">
        <f t="shared" si="51"/>
        <v>-67477.689999999944</v>
      </c>
      <c r="AD196" s="15">
        <f>IFERROR(AC196/AC444, "NA")</f>
        <v>-0.15538107003700699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143826.33000000002</v>
      </c>
      <c r="C197" s="15">
        <f>IFERROR(B197/B444, "NA")</f>
        <v>0.27257612559585265</v>
      </c>
      <c r="D197" s="2"/>
      <c r="E197" s="14">
        <f>IFERROR(E175+E177+E178+E179+E180+E181+E183+E184+E186+E187+E188+E189+E190+E191+E192+E194+E195, "NA")</f>
        <v>151921.91999999998</v>
      </c>
      <c r="F197" s="15">
        <f>IFERROR(E197/E444, "NA")</f>
        <v>0.27047585095288296</v>
      </c>
      <c r="G197" s="2"/>
      <c r="H197" s="14">
        <f t="shared" si="48"/>
        <v>8095.5899999999674</v>
      </c>
      <c r="I197" s="15">
        <f>IFERROR(H197/H444, "NA")</f>
        <v>-0.23790812449196502</v>
      </c>
      <c r="J197" s="2"/>
      <c r="K197" s="14">
        <f>IFERROR(K175+K177+K178+K179+K180+K181+K183+K184+K186+K187+K188+K189+K190+K191+K192+K194+K195, "NA")</f>
        <v>143046.68</v>
      </c>
      <c r="L197" s="15">
        <f>IFERROR(K197/K444, "NA")</f>
        <v>0.28991529007584665</v>
      </c>
      <c r="M197" s="2"/>
      <c r="N197" s="14">
        <f t="shared" si="49"/>
        <v>-779.65000000002328</v>
      </c>
      <c r="O197" s="15">
        <f>IFERROR(N197/N444, "NA")</f>
        <v>-2.2765431233594157E-2</v>
      </c>
      <c r="P197" s="2"/>
      <c r="Q197" s="14">
        <f>IFERROR(Q175+Q177+Q178+Q179+Q180+Q181+Q183+Q184+Q186+Q187+Q188+Q189+Q190+Q191+Q192+Q194+Q195, "NA")</f>
        <v>1147904.8599999999</v>
      </c>
      <c r="R197" s="15">
        <f>IFERROR(Q197/Q444, "NA")</f>
        <v>0.27958976650936118</v>
      </c>
      <c r="S197" s="2"/>
      <c r="T197" s="14">
        <f>IFERROR(T175+T177+T178+T179+T180+T181+T183+T184+T186+T187+T188+T189+T190+T191+T192+T194+T195, "NA")</f>
        <v>1179008.2099999997</v>
      </c>
      <c r="U197" s="15">
        <f>IFERROR(T197/T444, "NA")</f>
        <v>0.28203356419082992</v>
      </c>
      <c r="V197" s="2"/>
      <c r="W197" s="14">
        <f t="shared" si="50"/>
        <v>31103.34999999986</v>
      </c>
      <c r="X197" s="15">
        <f>IFERROR(W197/W444, "NA")</f>
        <v>-0.41633726914844532</v>
      </c>
      <c r="Y197" s="2"/>
      <c r="Z197" s="14">
        <f>IFERROR(Z175+Z177+Z178+Z179+Z180+Z181+Z183+Z184+Z186+Z187+Z188+Z189+Z190+Z191+Z192+Z194+Z195, "NA")</f>
        <v>1080427.17</v>
      </c>
      <c r="AA197" s="15">
        <f>IFERROR(Z197/Z444, "NA")</f>
        <v>0.29428180355835332</v>
      </c>
      <c r="AB197" s="2"/>
      <c r="AC197" s="14">
        <f t="shared" si="51"/>
        <v>-67477.689999999944</v>
      </c>
      <c r="AD197" s="15">
        <f>IFERROR(AC197/AC444, "NA")</f>
        <v>-0.15538107003700699</v>
      </c>
    </row>
    <row r="198" spans="1:30" ht="16.5" customHeight="1" x14ac:dyDescent="0.45">
      <c r="A198" s="22" t="s">
        <v>181</v>
      </c>
      <c r="B198" s="23">
        <f>IFERROR(B172-B197, "NA")</f>
        <v>230750.37000000005</v>
      </c>
      <c r="C198" s="24">
        <f>IFERROR(B198/B444, "NA")</f>
        <v>0.43731242975058515</v>
      </c>
      <c r="D198" s="25"/>
      <c r="E198" s="23">
        <f>IFERROR(E172-E197, "NA")</f>
        <v>274129.89999999997</v>
      </c>
      <c r="F198" s="24">
        <f>IFERROR(E198/E444, "NA")</f>
        <v>0.48805016401931145</v>
      </c>
      <c r="G198" s="25"/>
      <c r="H198" s="23">
        <f>IFERROR(B198-E198, "NA")</f>
        <v>-43379.529999999912</v>
      </c>
      <c r="I198" s="24">
        <f>IFERROR(H198/H444, "NA")</f>
        <v>1.2748104367492612</v>
      </c>
      <c r="J198" s="25"/>
      <c r="K198" s="23">
        <f>IFERROR(K172-K197, "NA")</f>
        <v>216924.13000000006</v>
      </c>
      <c r="L198" s="24">
        <f>IFERROR(K198/K444, "NA")</f>
        <v>0.43964405237088128</v>
      </c>
      <c r="M198" s="25"/>
      <c r="N198" s="23">
        <f>IFERROR(B198-K198, "NA")</f>
        <v>13826.239999999991</v>
      </c>
      <c r="O198" s="24">
        <f>IFERROR(N198/N444, "NA")</f>
        <v>0.40372002300924681</v>
      </c>
      <c r="P198" s="25"/>
      <c r="Q198" s="23">
        <f>IFERROR(Q172-Q197, "NA")</f>
        <v>1788093.4200000013</v>
      </c>
      <c r="R198" s="24">
        <f>IFERROR(Q198/Q444, "NA")</f>
        <v>0.43551747119070955</v>
      </c>
      <c r="S198" s="25"/>
      <c r="T198" s="23">
        <f>IFERROR(T172-T197, "NA")</f>
        <v>1957380.0600000008</v>
      </c>
      <c r="U198" s="24">
        <f>IFERROR(T198/T444, "NA")</f>
        <v>0.46822988179010294</v>
      </c>
      <c r="V198" s="25"/>
      <c r="W198" s="23">
        <f>IFERROR(Q198-T198, "NA")</f>
        <v>-169286.63999999943</v>
      </c>
      <c r="X198" s="24">
        <f>IFERROR(W198/W444, "NA")</f>
        <v>2.2660047037028503</v>
      </c>
      <c r="Y198" s="25"/>
      <c r="Z198" s="23">
        <f>IFERROR(Z172-Z197, "NA")</f>
        <v>1563816.4400000009</v>
      </c>
      <c r="AA198" s="24">
        <f>IFERROR(Z198/Z444, "NA")</f>
        <v>0.42594515870736915</v>
      </c>
      <c r="AB198" s="25"/>
      <c r="AC198" s="23">
        <f>IFERROR(Q198-Z198, "NA")</f>
        <v>224276.98000000045</v>
      </c>
      <c r="AD198" s="24">
        <f>IFERROR(AC198/AC444, "NA")</f>
        <v>0.51644324423477617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10866.72</v>
      </c>
      <c r="F201" s="8">
        <f>IFERROR(E201/E444, "NA")</f>
        <v>1.9346683737716801E-2</v>
      </c>
      <c r="G201" s="9"/>
      <c r="H201" s="10">
        <f t="shared" ref="H201:H209" si="52">IFERROR(-(B201-E201), "NA")</f>
        <v>10866.72</v>
      </c>
      <c r="I201" s="8">
        <f>IFERROR(H201/H444, "NA")</f>
        <v>-0.31934435594926824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81880.479999999996</v>
      </c>
      <c r="U201" s="8">
        <f>IFERROR(T201/T444, "NA")</f>
        <v>1.9586838680331134E-2</v>
      </c>
      <c r="V201" s="9"/>
      <c r="W201" s="10">
        <f t="shared" ref="W201:W209" si="54">IFERROR(-(Q201-T201), "NA")</f>
        <v>81880.479999999996</v>
      </c>
      <c r="X201" s="8">
        <f>IFERROR(W201/W444, "NA")</f>
        <v>-1.09602005699592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5990.3000000000011</v>
      </c>
      <c r="C202" s="8">
        <f>IFERROR(B202/B444, "NA")</f>
        <v>1.1352669328048879E-2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-5990.3000000000011</v>
      </c>
      <c r="I202" s="8">
        <f>IFERROR(H202/H444, "NA")</f>
        <v>0.17603918159692178</v>
      </c>
      <c r="J202" s="9"/>
      <c r="K202" s="7">
        <v>5899.08</v>
      </c>
      <c r="L202" s="8">
        <f>IFERROR(K202/K444, "NA")</f>
        <v>1.1955771985624732E-2</v>
      </c>
      <c r="M202" s="9"/>
      <c r="N202" s="10">
        <f t="shared" si="53"/>
        <v>-91.220000000001164</v>
      </c>
      <c r="O202" s="8">
        <f>IFERROR(N202/N444, "NA")</f>
        <v>-2.6635831939055008E-3</v>
      </c>
      <c r="P202" s="9"/>
      <c r="Q202" s="7">
        <v>41719.040000000001</v>
      </c>
      <c r="R202" s="8">
        <f>IFERROR(Q202/Q444, "NA")</f>
        <v>1.0161309581522898E-2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-41719.040000000001</v>
      </c>
      <c r="X202" s="8">
        <f>IFERROR(W202/W444, "NA")</f>
        <v>0.55843474047312702</v>
      </c>
      <c r="Y202" s="9"/>
      <c r="Z202" s="7">
        <v>35836.959999999999</v>
      </c>
      <c r="AA202" s="8">
        <f>IFERROR(Z202/Z444, "NA")</f>
        <v>9.7611070099695527E-3</v>
      </c>
      <c r="AB202" s="9"/>
      <c r="AC202" s="10">
        <f t="shared" si="55"/>
        <v>-5882.0800000000017</v>
      </c>
      <c r="AD202" s="8">
        <f>IFERROR(AC202/AC444, "NA")</f>
        <v>-1.354468246383774E-2</v>
      </c>
    </row>
    <row r="203" spans="1:30" ht="16.5" customHeight="1" x14ac:dyDescent="0.45">
      <c r="A203" s="6" t="s">
        <v>185</v>
      </c>
      <c r="B203" s="7">
        <v>3766.2999999999997</v>
      </c>
      <c r="C203" s="8">
        <f>IFERROR(B203/B444, "NA")</f>
        <v>7.1377991903962207E-3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-3766.2999999999997</v>
      </c>
      <c r="I203" s="8">
        <f>IFERROR(H203/H444, "NA")</f>
        <v>0.1106816636309511</v>
      </c>
      <c r="J203" s="9"/>
      <c r="K203" s="7">
        <v>5001.6299999999992</v>
      </c>
      <c r="L203" s="8">
        <f>IFERROR(K203/K444, "NA")</f>
        <v>1.0136893860815623E-2</v>
      </c>
      <c r="M203" s="9"/>
      <c r="N203" s="10">
        <f t="shared" si="53"/>
        <v>1235.3299999999995</v>
      </c>
      <c r="O203" s="8">
        <f>IFERROR(N203/N444, "NA")</f>
        <v>3.6071083391002401E-2</v>
      </c>
      <c r="P203" s="9"/>
      <c r="Q203" s="7">
        <v>35670.629999999997</v>
      </c>
      <c r="R203" s="8">
        <f>IFERROR(Q203/Q444, "NA")</f>
        <v>8.6881269175407214E-3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-35670.629999999997</v>
      </c>
      <c r="X203" s="8">
        <f>IFERROR(W203/W444, "NA")</f>
        <v>0.4774730915803177</v>
      </c>
      <c r="Y203" s="9"/>
      <c r="Z203" s="7">
        <v>23333.219999999998</v>
      </c>
      <c r="AA203" s="8">
        <f>IFERROR(Z203/Z444, "NA")</f>
        <v>6.3553955834189553E-3</v>
      </c>
      <c r="AB203" s="9"/>
      <c r="AC203" s="10">
        <f t="shared" si="55"/>
        <v>-12337.41</v>
      </c>
      <c r="AD203" s="8">
        <f>IFERROR(AC203/AC444, "NA")</f>
        <v>-2.8409389344615562E-2</v>
      </c>
    </row>
    <row r="204" spans="1:30" ht="16.5" customHeight="1" x14ac:dyDescent="0.45">
      <c r="A204" s="6" t="s">
        <v>186</v>
      </c>
      <c r="B204" s="7">
        <v>1755.29</v>
      </c>
      <c r="C204" s="8">
        <f>IFERROR(B204/B444, "NA")</f>
        <v>3.326582465791515E-3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-1755.29</v>
      </c>
      <c r="I204" s="8">
        <f>IFERROR(H204/H444, "NA")</f>
        <v>5.1583362279895961E-2</v>
      </c>
      <c r="J204" s="9"/>
      <c r="K204" s="7">
        <v>183.67</v>
      </c>
      <c r="L204" s="8">
        <f>IFERROR(K204/K444, "NA")</f>
        <v>3.7224730646129474E-4</v>
      </c>
      <c r="M204" s="9"/>
      <c r="N204" s="10">
        <f t="shared" si="53"/>
        <v>-1571.62</v>
      </c>
      <c r="O204" s="8">
        <f>IFERROR(N204/N444, "NA")</f>
        <v>-4.5890600955993302E-2</v>
      </c>
      <c r="P204" s="9"/>
      <c r="Q204" s="7">
        <v>7357.1</v>
      </c>
      <c r="R204" s="8">
        <f>IFERROR(Q204/Q444, "NA")</f>
        <v>1.7919341078371437E-3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-7357.1</v>
      </c>
      <c r="X204" s="8">
        <f>IFERROR(W204/W444, "NA")</f>
        <v>9.8479261007320476E-2</v>
      </c>
      <c r="Y204" s="9"/>
      <c r="Z204" s="7">
        <v>5464.95</v>
      </c>
      <c r="AA204" s="8">
        <f>IFERROR(Z204/Z444, "NA")</f>
        <v>1.488518048242181E-3</v>
      </c>
      <c r="AB204" s="9"/>
      <c r="AC204" s="10">
        <f t="shared" si="55"/>
        <v>-1892.1500000000005</v>
      </c>
      <c r="AD204" s="8">
        <f>IFERROR(AC204/AC444, "NA")</f>
        <v>-4.3570592246196206E-3</v>
      </c>
    </row>
    <row r="205" spans="1:30" ht="16.5" customHeight="1" x14ac:dyDescent="0.45">
      <c r="A205" s="6" t="s">
        <v>187</v>
      </c>
      <c r="B205" s="7">
        <v>2000.5400000000002</v>
      </c>
      <c r="C205" s="8">
        <f>IFERROR(B205/B444, "NA")</f>
        <v>3.7913742379404873E-3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-2000.5400000000002</v>
      </c>
      <c r="I205" s="8">
        <f>IFERROR(H205/H444, "NA")</f>
        <v>5.8790615553796284E-2</v>
      </c>
      <c r="J205" s="9"/>
      <c r="K205" s="7">
        <v>2311.83</v>
      </c>
      <c r="L205" s="8">
        <f>IFERROR(K205/K444, "NA")</f>
        <v>4.6854276174465893E-3</v>
      </c>
      <c r="M205" s="9"/>
      <c r="N205" s="10">
        <f t="shared" si="53"/>
        <v>311.28999999999974</v>
      </c>
      <c r="O205" s="8">
        <f>IFERROR(N205/N444, "NA")</f>
        <v>9.0895287484195567E-3</v>
      </c>
      <c r="P205" s="9"/>
      <c r="Q205" s="7">
        <v>14805.630000000001</v>
      </c>
      <c r="R205" s="8">
        <f>IFERROR(Q205/Q444, "NA")</f>
        <v>3.6061373890550422E-3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-14805.630000000001</v>
      </c>
      <c r="X205" s="8">
        <f>IFERROR(W205/W444, "NA")</f>
        <v>0.19818236820864393</v>
      </c>
      <c r="Y205" s="9"/>
      <c r="Z205" s="7">
        <v>13625.1</v>
      </c>
      <c r="AA205" s="8">
        <f>IFERROR(Z205/Z444, "NA")</f>
        <v>3.711142326847371E-3</v>
      </c>
      <c r="AB205" s="9"/>
      <c r="AC205" s="10">
        <f t="shared" si="55"/>
        <v>-1180.5300000000007</v>
      </c>
      <c r="AD205" s="8">
        <f>IFERROR(AC205/AC444, "NA")</f>
        <v>-2.7184098123511362E-3</v>
      </c>
    </row>
    <row r="206" spans="1:30" ht="16.5" customHeight="1" x14ac:dyDescent="0.45">
      <c r="A206" s="6" t="s">
        <v>188</v>
      </c>
      <c r="B206" s="7">
        <v>572.34</v>
      </c>
      <c r="C206" s="8">
        <f>IFERROR(B206/B444, "NA")</f>
        <v>1.0846847008022125E-3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-572.34</v>
      </c>
      <c r="I206" s="8">
        <f>IFERROR(H206/H444, "NA")</f>
        <v>1.6819569169354155E-2</v>
      </c>
      <c r="J206" s="9"/>
      <c r="K206" s="7">
        <v>79.180000000000007</v>
      </c>
      <c r="L206" s="8">
        <f>IFERROR(K206/K444, "NA")</f>
        <v>1.6047553615508968E-4</v>
      </c>
      <c r="M206" s="9"/>
      <c r="N206" s="10">
        <f t="shared" si="53"/>
        <v>-493.16</v>
      </c>
      <c r="O206" s="8">
        <f>IFERROR(N206/N444, "NA")</f>
        <v>-1.4400051391212672E-2</v>
      </c>
      <c r="P206" s="9"/>
      <c r="Q206" s="7">
        <v>4504.12</v>
      </c>
      <c r="R206" s="8">
        <f>IFERROR(Q206/Q444, "NA")</f>
        <v>1.0970472405963539E-3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-4504.12</v>
      </c>
      <c r="X206" s="8">
        <f>IFERROR(W206/W444, "NA")</f>
        <v>6.0290387392898326E-2</v>
      </c>
      <c r="Y206" s="9"/>
      <c r="Z206" s="7">
        <v>1300.75</v>
      </c>
      <c r="AA206" s="8">
        <f>IFERROR(Z206/Z444, "NA")</f>
        <v>3.5429232678268178E-4</v>
      </c>
      <c r="AB206" s="9"/>
      <c r="AC206" s="10">
        <f t="shared" si="55"/>
        <v>-3203.37</v>
      </c>
      <c r="AD206" s="8">
        <f>IFERROR(AC206/AC444, "NA")</f>
        <v>-7.376409274301588E-3</v>
      </c>
    </row>
    <row r="207" spans="1:30" ht="16.5" customHeight="1" x14ac:dyDescent="0.45">
      <c r="A207" s="6" t="s">
        <v>189</v>
      </c>
      <c r="B207" s="7">
        <v>873.44</v>
      </c>
      <c r="C207" s="8">
        <f>IFERROR(B207/B444, "NA")</f>
        <v>1.6553220202479026E-3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-873.44</v>
      </c>
      <c r="I207" s="8">
        <f>IFERROR(H207/H444, "NA")</f>
        <v>2.5668107235700274E-2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-873.44</v>
      </c>
      <c r="O207" s="8">
        <f>IFERROR(N207/N444, "NA")</f>
        <v>-2.5504057277842478E-2</v>
      </c>
      <c r="P207" s="9"/>
      <c r="Q207" s="7">
        <v>3814.8900000000003</v>
      </c>
      <c r="R207" s="8">
        <f>IFERROR(Q207/Q444, "NA")</f>
        <v>9.2917474394079748E-4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-3814.8900000000003</v>
      </c>
      <c r="X207" s="8">
        <f>IFERROR(W207/W444, "NA")</f>
        <v>5.1064624379744301E-2</v>
      </c>
      <c r="Y207" s="9"/>
      <c r="Z207" s="7">
        <v>1541.54</v>
      </c>
      <c r="AA207" s="8">
        <f>IFERROR(Z207/Z444, "NA")</f>
        <v>4.1987760401966196E-4</v>
      </c>
      <c r="AB207" s="9"/>
      <c r="AC207" s="10">
        <f t="shared" si="55"/>
        <v>-2273.3500000000004</v>
      </c>
      <c r="AD207" s="8">
        <f>IFERROR(AC207/AC444, "NA")</f>
        <v>-5.2348495564775591E-3</v>
      </c>
    </row>
    <row r="208" spans="1:30" ht="16.5" customHeight="1" x14ac:dyDescent="0.45">
      <c r="A208" s="6" t="s">
        <v>190</v>
      </c>
      <c r="B208" s="7">
        <v>853.48</v>
      </c>
      <c r="C208" s="8">
        <f>IFERROR(B208/B444, "NA")</f>
        <v>1.6174943188326386E-3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-853.48</v>
      </c>
      <c r="I208" s="8">
        <f>IFERROR(H208/H444, "NA")</f>
        <v>2.5081535266904962E-2</v>
      </c>
      <c r="J208" s="9"/>
      <c r="K208" s="7">
        <v>947.17</v>
      </c>
      <c r="L208" s="8">
        <f>IFERROR(K208/K444, "NA")</f>
        <v>1.919646546855472E-3</v>
      </c>
      <c r="M208" s="9"/>
      <c r="N208" s="10">
        <f t="shared" si="53"/>
        <v>93.689999999999941</v>
      </c>
      <c r="O208" s="8">
        <f>IFERROR(N208/N444, "NA")</f>
        <v>2.7357060889827123E-3</v>
      </c>
      <c r="P208" s="9"/>
      <c r="Q208" s="7">
        <v>5522.58</v>
      </c>
      <c r="R208" s="8">
        <f>IFERROR(Q208/Q444, "NA")</f>
        <v>1.345108733775435E-3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-5522.58</v>
      </c>
      <c r="X208" s="8">
        <f>IFERROR(W208/W444, "NA")</f>
        <v>7.3923094324367999E-2</v>
      </c>
      <c r="Y208" s="9"/>
      <c r="Z208" s="7">
        <v>5422.66</v>
      </c>
      <c r="AA208" s="8">
        <f>IFERROR(Z208/Z444, "NA")</f>
        <v>1.4769992917558156E-3</v>
      </c>
      <c r="AB208" s="9"/>
      <c r="AC208" s="10">
        <f t="shared" si="55"/>
        <v>-99.920000000000073</v>
      </c>
      <c r="AD208" s="8">
        <f>IFERROR(AC208/AC444, "NA")</f>
        <v>-2.3008607019739063E-4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15811.69</v>
      </c>
      <c r="C209" s="15">
        <f>IFERROR(B209/B444, "NA")</f>
        <v>2.9965926262059853E-2</v>
      </c>
      <c r="D209" s="2"/>
      <c r="E209" s="14">
        <f>IFERROR(E201+E202+E203+E204+E205+E206+E207+E208, "NA")</f>
        <v>10866.72</v>
      </c>
      <c r="F209" s="15">
        <f>IFERROR(E209/E444, "NA")</f>
        <v>1.9346683737716801E-2</v>
      </c>
      <c r="G209" s="2"/>
      <c r="H209" s="14">
        <f t="shared" si="52"/>
        <v>-4944.9700000000012</v>
      </c>
      <c r="I209" s="15">
        <f>IFERROR(H209/H444, "NA")</f>
        <v>0.14531967878425628</v>
      </c>
      <c r="J209" s="2"/>
      <c r="K209" s="14">
        <f>IFERROR(K201+K202+K203+K204+K205+K206+K207+K208, "NA")</f>
        <v>14422.56</v>
      </c>
      <c r="L209" s="15">
        <f>IFERROR(K209/K444, "NA")</f>
        <v>2.9230462853358802E-2</v>
      </c>
      <c r="M209" s="2"/>
      <c r="N209" s="14">
        <f t="shared" si="53"/>
        <v>-1389.130000000001</v>
      </c>
      <c r="O209" s="15">
        <f>IFERROR(N209/N444, "NA")</f>
        <v>-4.0561974590549263E-2</v>
      </c>
      <c r="P209" s="2"/>
      <c r="Q209" s="14">
        <f>IFERROR(Q201+Q202+Q203+Q204+Q205+Q206+Q207+Q208, "NA")</f>
        <v>113393.99</v>
      </c>
      <c r="R209" s="15">
        <f>IFERROR(Q209/Q444, "NA")</f>
        <v>2.7618838714268394E-2</v>
      </c>
      <c r="S209" s="2"/>
      <c r="T209" s="14">
        <f>IFERROR(T201+T202+T203+T204+T205+T206+T207+T208, "NA")</f>
        <v>81880.479999999996</v>
      </c>
      <c r="U209" s="15">
        <f>IFERROR(T209/T444, "NA")</f>
        <v>1.9586838680331134E-2</v>
      </c>
      <c r="V209" s="2"/>
      <c r="W209" s="14">
        <f t="shared" si="54"/>
        <v>-31513.510000000009</v>
      </c>
      <c r="X209" s="15">
        <f>IFERROR(W209/W444, "NA")</f>
        <v>0.42182751037049987</v>
      </c>
      <c r="Y209" s="2"/>
      <c r="Z209" s="14">
        <f>IFERROR(Z201+Z202+Z203+Z204+Z205+Z206+Z207+Z208, "NA")</f>
        <v>86525.18</v>
      </c>
      <c r="AA209" s="15">
        <f>IFERROR(Z209/Z444, "NA")</f>
        <v>2.3567332191036218E-2</v>
      </c>
      <c r="AB209" s="2"/>
      <c r="AC209" s="14">
        <f t="shared" si="55"/>
        <v>-26868.810000000012</v>
      </c>
      <c r="AD209" s="15">
        <f>IFERROR(AC209/AC444, "NA")</f>
        <v>-6.1870885746400615E-2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19255.71</v>
      </c>
      <c r="F213" s="8">
        <f>IFERROR(E213/E444, "NA")</f>
        <v>3.4282113785502041E-2</v>
      </c>
      <c r="G213" s="9"/>
      <c r="H213" s="10">
        <f t="shared" ref="H213:H227" si="56">IFERROR(-(B213-E213), "NA")</f>
        <v>19255.71</v>
      </c>
      <c r="I213" s="8">
        <f>IFERROR(H213/H444, "NA")</f>
        <v>-0.56587473573404701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143584.44</v>
      </c>
      <c r="U213" s="8">
        <f>IFERROR(T213/T444, "NA")</f>
        <v>3.4347200496207216E-2</v>
      </c>
      <c r="V213" s="9"/>
      <c r="W213" s="10">
        <f t="shared" ref="W213:W227" si="58">IFERROR(-(Q213-T213), "NA")</f>
        <v>143584.44</v>
      </c>
      <c r="X213" s="8">
        <f>IFERROR(W213/W444, "NA")</f>
        <v>-1.9219651144268728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8010.67</v>
      </c>
      <c r="C214" s="8">
        <f>IFERROR(B214/B444, "NA")</f>
        <v>1.5181624894599819E-2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-8010.67</v>
      </c>
      <c r="I214" s="8">
        <f>IFERROR(H214/H444, "NA")</f>
        <v>0.23541254876099915</v>
      </c>
      <c r="J214" s="9"/>
      <c r="K214" s="7">
        <v>2500</v>
      </c>
      <c r="L214" s="8">
        <f>IFERROR(K214/K444, "NA")</f>
        <v>5.0667951551872205E-3</v>
      </c>
      <c r="M214" s="9"/>
      <c r="N214" s="10">
        <f t="shared" si="57"/>
        <v>-5510.67</v>
      </c>
      <c r="O214" s="8">
        <f>IFERROR(N214/N444, "NA")</f>
        <v>-0.1609090988726051</v>
      </c>
      <c r="P214" s="9"/>
      <c r="Q214" s="7">
        <v>88498.349999999991</v>
      </c>
      <c r="R214" s="8">
        <f>IFERROR(Q214/Q444, "NA")</f>
        <v>2.1555125233082228E-2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-88498.349999999991</v>
      </c>
      <c r="X214" s="8">
        <f>IFERROR(W214/W444, "NA")</f>
        <v>1.1846042745602476</v>
      </c>
      <c r="Y214" s="9"/>
      <c r="Z214" s="7">
        <v>17346.989999999998</v>
      </c>
      <c r="AA214" s="8">
        <f>IFERROR(Z214/Z444, "NA")</f>
        <v>4.7248936765526906E-3</v>
      </c>
      <c r="AB214" s="9"/>
      <c r="AC214" s="10">
        <f t="shared" si="59"/>
        <v>-71151.359999999986</v>
      </c>
      <c r="AD214" s="8">
        <f>IFERROR(AC214/AC444, "NA")</f>
        <v>-0.16384044046837265</v>
      </c>
    </row>
    <row r="215" spans="1:30" ht="16.5" customHeight="1" x14ac:dyDescent="0.45">
      <c r="A215" s="12" t="s">
        <v>195</v>
      </c>
      <c r="B215" s="7">
        <v>664.81000000000006</v>
      </c>
      <c r="C215" s="8">
        <f>IFERROR(B215/B444, "NA")</f>
        <v>1.2599315720381575E-3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-664.81000000000006</v>
      </c>
      <c r="I215" s="8">
        <f>IFERROR(H215/H444, "NA")</f>
        <v>1.9537019567876329E-2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-664.81000000000006</v>
      </c>
      <c r="O215" s="8">
        <f>IFERROR(N215/N444, "NA")</f>
        <v>-1.9412154605791421E-2</v>
      </c>
      <c r="P215" s="9"/>
      <c r="Q215" s="7">
        <v>710.79</v>
      </c>
      <c r="R215" s="8">
        <f>IFERROR(Q215/Q444, "NA")</f>
        <v>1.731237640523526E-4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-710.79</v>
      </c>
      <c r="X215" s="8">
        <f>IFERROR(W215/W444, "NA")</f>
        <v>9.5143567345004568E-3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-710.79</v>
      </c>
      <c r="AD215" s="8">
        <f>IFERROR(AC215/AC444, "NA")</f>
        <v>-1.6367381688911446E-3</v>
      </c>
    </row>
    <row r="216" spans="1:30" ht="16.5" customHeight="1" x14ac:dyDescent="0.45">
      <c r="A216" s="12" t="s">
        <v>196</v>
      </c>
      <c r="B216" s="7">
        <v>111</v>
      </c>
      <c r="C216" s="8">
        <f>IFERROR(B216/B444, "NA")</f>
        <v>2.1036447179831149E-4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-111</v>
      </c>
      <c r="I216" s="8">
        <f>IFERROR(H216/H444, "NA")</f>
        <v>3.2619984236613052E-3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-111</v>
      </c>
      <c r="O216" s="8">
        <f>IFERROR(N216/N444, "NA")</f>
        <v>-3.2411503455767026E-3</v>
      </c>
      <c r="P216" s="9"/>
      <c r="Q216" s="7">
        <v>683.22</v>
      </c>
      <c r="R216" s="8">
        <f>IFERROR(Q216/Q444, "NA")</f>
        <v>1.6640866933390782E-4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-683.22</v>
      </c>
      <c r="X216" s="8">
        <f>IFERROR(W216/W444, "NA")</f>
        <v>9.1453155054874186E-3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-683.22</v>
      </c>
      <c r="AD216" s="8">
        <f>IFERROR(AC216/AC444, "NA")</f>
        <v>-1.5732526509233498E-3</v>
      </c>
    </row>
    <row r="217" spans="1:30" ht="16.5" customHeight="1" x14ac:dyDescent="0.45">
      <c r="A217" s="12" t="s">
        <v>197</v>
      </c>
      <c r="B217" s="7">
        <v>8114.5499999999993</v>
      </c>
      <c r="C217" s="8">
        <f>IFERROR(B217/B444, "NA")</f>
        <v>1.5378495717396291E-2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-8114.5499999999993</v>
      </c>
      <c r="I217" s="8">
        <f>IFERROR(H217/H444, "NA")</f>
        <v>0.23846530908757513</v>
      </c>
      <c r="J217" s="9"/>
      <c r="K217" s="7">
        <v>1085.5</v>
      </c>
      <c r="L217" s="8">
        <f>IFERROR(K217/K444, "NA")</f>
        <v>2.2000024563822913E-3</v>
      </c>
      <c r="M217" s="9"/>
      <c r="N217" s="10">
        <f t="shared" si="57"/>
        <v>-7029.0499999999993</v>
      </c>
      <c r="O217" s="8">
        <f>IFERROR(N217/N444, "NA")</f>
        <v>-0.20524511564482809</v>
      </c>
      <c r="P217" s="9"/>
      <c r="Q217" s="7">
        <v>87353.56</v>
      </c>
      <c r="R217" s="8">
        <f>IFERROR(Q217/Q444, "NA")</f>
        <v>2.1276294138315152E-2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-87353.56</v>
      </c>
      <c r="X217" s="8">
        <f>IFERROR(W217/W444, "NA")</f>
        <v>1.1692805636947476</v>
      </c>
      <c r="Y217" s="9"/>
      <c r="Z217" s="7">
        <v>8352.2800000000007</v>
      </c>
      <c r="AA217" s="8">
        <f>IFERROR(Z217/Z444, "NA")</f>
        <v>2.2749557679342361E-3</v>
      </c>
      <c r="AB217" s="9"/>
      <c r="AC217" s="10">
        <f t="shared" si="59"/>
        <v>-79001.279999999999</v>
      </c>
      <c r="AD217" s="8">
        <f>IFERROR(AC217/AC444, "NA")</f>
        <v>-0.18191647373662628</v>
      </c>
    </row>
    <row r="218" spans="1:30" ht="16.5" customHeight="1" x14ac:dyDescent="0.45">
      <c r="A218" s="13" t="s">
        <v>198</v>
      </c>
      <c r="B218" s="14">
        <f>IFERROR(B213+B214+B215+B216+B217, "NA")</f>
        <v>16901.03</v>
      </c>
      <c r="C218" s="15">
        <f>IFERROR(B218/B444, "NA")</f>
        <v>3.2030416655832575E-2</v>
      </c>
      <c r="D218" s="2"/>
      <c r="E218" s="14">
        <f>IFERROR(E213+E214+E215+E216+E217, "NA")</f>
        <v>19255.71</v>
      </c>
      <c r="F218" s="15">
        <f>IFERROR(E218/E444, "NA")</f>
        <v>3.4282113785502041E-2</v>
      </c>
      <c r="G218" s="2"/>
      <c r="H218" s="14">
        <f t="shared" si="56"/>
        <v>2354.6800000000003</v>
      </c>
      <c r="I218" s="15">
        <f>IFERROR(H218/H444, "NA")</f>
        <v>-6.9197859893935162E-2</v>
      </c>
      <c r="J218" s="2"/>
      <c r="K218" s="14">
        <f>IFERROR(K213+K214+K215+K216+K217, "NA")</f>
        <v>3585.5</v>
      </c>
      <c r="L218" s="15">
        <f>IFERROR(K218/K444, "NA")</f>
        <v>7.2667976115695122E-3</v>
      </c>
      <c r="M218" s="2"/>
      <c r="N218" s="14">
        <f t="shared" si="57"/>
        <v>-13315.529999999999</v>
      </c>
      <c r="O218" s="15">
        <f>IFERROR(N218/N444, "NA")</f>
        <v>-0.38880751946880132</v>
      </c>
      <c r="P218" s="2"/>
      <c r="Q218" s="14">
        <f>IFERROR(Q213+Q214+Q215+Q216+Q217, "NA")</f>
        <v>177245.91999999998</v>
      </c>
      <c r="R218" s="15">
        <f>IFERROR(Q218/Q444, "NA")</f>
        <v>4.3170951804783642E-2</v>
      </c>
      <c r="S218" s="2"/>
      <c r="T218" s="14">
        <f>IFERROR(T213+T214+T215+T216+T217, "NA")</f>
        <v>143584.44</v>
      </c>
      <c r="U218" s="15">
        <f>IFERROR(T218/T444, "NA")</f>
        <v>3.4347200496207216E-2</v>
      </c>
      <c r="V218" s="2"/>
      <c r="W218" s="14">
        <f t="shared" si="58"/>
        <v>-33661.479999999981</v>
      </c>
      <c r="X218" s="15">
        <f>IFERROR(W218/W444, "NA")</f>
        <v>0.45057939606811054</v>
      </c>
      <c r="Y218" s="2"/>
      <c r="Z218" s="14">
        <f>IFERROR(Z213+Z214+Z215+Z216+Z217, "NA")</f>
        <v>25699.269999999997</v>
      </c>
      <c r="AA218" s="15">
        <f>IFERROR(Z218/Z444, "NA")</f>
        <v>6.9998494444869263E-3</v>
      </c>
      <c r="AB218" s="2"/>
      <c r="AC218" s="14">
        <f t="shared" si="59"/>
        <v>-151546.65</v>
      </c>
      <c r="AD218" s="15">
        <f>IFERROR(AC218/AC444, "NA")</f>
        <v>-0.34896690502481348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1184.17</v>
      </c>
      <c r="C222" s="8">
        <f>IFERROR(B222/B444, "NA")</f>
        <v>2.2442098790036624E-3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-1184.17</v>
      </c>
      <c r="I222" s="8">
        <f>IFERROR(H222/H444, "NA")</f>
        <v>3.4799645705828899E-2</v>
      </c>
      <c r="J222" s="9"/>
      <c r="K222" s="7">
        <v>300</v>
      </c>
      <c r="L222" s="8">
        <f>IFERROR(K222/K444, "NA")</f>
        <v>6.080154186224665E-4</v>
      </c>
      <c r="M222" s="9"/>
      <c r="N222" s="10">
        <f t="shared" si="57"/>
        <v>-884.17000000000007</v>
      </c>
      <c r="O222" s="8">
        <f>IFERROR(N222/N444, "NA")</f>
        <v>-2.5817368477914895E-2</v>
      </c>
      <c r="P222" s="9"/>
      <c r="Q222" s="7">
        <v>7666.61</v>
      </c>
      <c r="R222" s="8">
        <f>IFERROR(Q222/Q444, "NA")</f>
        <v>1.867319997075658E-3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-7666.61</v>
      </c>
      <c r="X222" s="8">
        <f>IFERROR(W222/W444, "NA")</f>
        <v>0.10262224072410775</v>
      </c>
      <c r="Y222" s="9"/>
      <c r="Z222" s="7">
        <v>2300</v>
      </c>
      <c r="AA222" s="8">
        <f>IFERROR(Z222/Z444, "NA")</f>
        <v>6.2646346461669663E-4</v>
      </c>
      <c r="AB222" s="9"/>
      <c r="AC222" s="10">
        <f t="shared" si="59"/>
        <v>-5366.61</v>
      </c>
      <c r="AD222" s="8">
        <f>IFERROR(AC222/AC444, "NA")</f>
        <v>-1.2357708218394891E-2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561.69000000000005</v>
      </c>
      <c r="F226" s="8">
        <f>IFERROR(E226/E444, "NA")</f>
        <v>1.0000109314161174E-3</v>
      </c>
      <c r="G226" s="9"/>
      <c r="H226" s="10">
        <f t="shared" si="56"/>
        <v>561.69000000000005</v>
      </c>
      <c r="I226" s="8">
        <f>IFERROR(H226/H444, "NA")</f>
        <v>-1.650659364492179E-2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4180.3799999999992</v>
      </c>
      <c r="U226" s="8">
        <f>IFERROR(T226/T444, "NA")</f>
        <v>9.9999937326311042E-4</v>
      </c>
      <c r="V226" s="9"/>
      <c r="W226" s="10">
        <f t="shared" si="58"/>
        <v>4180.3799999999992</v>
      </c>
      <c r="X226" s="8">
        <f>IFERROR(W226/W444, "NA")</f>
        <v>-5.5956930465778945E-2</v>
      </c>
      <c r="Y226" s="9"/>
      <c r="Z226" s="7">
        <v>3956.1899999999996</v>
      </c>
      <c r="AA226" s="8">
        <f>IFERROR(Z226/Z444, "NA")</f>
        <v>1.0775689104704038E-3</v>
      </c>
      <c r="AB226" s="9"/>
      <c r="AC226" s="10">
        <f t="shared" si="59"/>
        <v>3956.1899999999996</v>
      </c>
      <c r="AD226" s="8">
        <f>IFERROR(AC226/AC444, "NA")</f>
        <v>9.1099300445778037E-3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18085.199999999997</v>
      </c>
      <c r="C227" s="15">
        <f>IFERROR(B227/B444, "NA")</f>
        <v>3.4274626534836233E-2</v>
      </c>
      <c r="D227" s="2"/>
      <c r="E227" s="14">
        <f>IFERROR(E211+E213+E214+E215+E216+E217+E219+E220+E221+E222+E223+E224+E225+E226, "NA")</f>
        <v>19817.399999999998</v>
      </c>
      <c r="F227" s="15">
        <f>IFERROR(E227/E444, "NA")</f>
        <v>3.5282124716918155E-2</v>
      </c>
      <c r="G227" s="2"/>
      <c r="H227" s="14">
        <f t="shared" si="56"/>
        <v>1732.2000000000007</v>
      </c>
      <c r="I227" s="15">
        <f>IFERROR(H227/H444, "NA")</f>
        <v>-5.090480783302806E-2</v>
      </c>
      <c r="J227" s="2"/>
      <c r="K227" s="14">
        <f>IFERROR(K211+K213+K214+K215+K216+K217+K219+K220+K221+K222+K223+K224+K225+K226, "NA")</f>
        <v>3885.5</v>
      </c>
      <c r="L227" s="15">
        <f>IFERROR(K227/K444, "NA")</f>
        <v>7.8748130301919787E-3</v>
      </c>
      <c r="M227" s="2"/>
      <c r="N227" s="14">
        <f t="shared" si="57"/>
        <v>-14199.699999999997</v>
      </c>
      <c r="O227" s="15">
        <f>IFERROR(N227/N444, "NA")</f>
        <v>-0.41462488794671615</v>
      </c>
      <c r="P227" s="2"/>
      <c r="Q227" s="14">
        <f>IFERROR(Q211+Q213+Q214+Q215+Q216+Q217+Q219+Q220+Q221+Q222+Q223+Q224+Q225+Q226, "NA")</f>
        <v>184912.52999999997</v>
      </c>
      <c r="R227" s="15">
        <f>IFERROR(Q227/Q444, "NA")</f>
        <v>4.5038271801859292E-2</v>
      </c>
      <c r="S227" s="2"/>
      <c r="T227" s="14">
        <f>IFERROR(T211+T213+T214+T215+T216+T217+T219+T220+T221+T222+T223+T224+T225+T226, "NA")</f>
        <v>147764.82</v>
      </c>
      <c r="U227" s="15">
        <f>IFERROR(T227/T444, "NA")</f>
        <v>3.5347199869470325E-2</v>
      </c>
      <c r="V227" s="2"/>
      <c r="W227" s="14">
        <f t="shared" si="58"/>
        <v>-37147.709999999963</v>
      </c>
      <c r="X227" s="15">
        <f>IFERROR(W227/W444, "NA")</f>
        <v>0.49724470632643908</v>
      </c>
      <c r="Y227" s="2"/>
      <c r="Z227" s="14">
        <f>IFERROR(Z211+Z213+Z214+Z215+Z216+Z217+Z219+Z220+Z221+Z222+Z223+Z224+Z225+Z226, "NA")</f>
        <v>31955.459999999995</v>
      </c>
      <c r="AA227" s="15">
        <f>IFERROR(Z227/Z444, "NA")</f>
        <v>8.7038818195740268E-3</v>
      </c>
      <c r="AB227" s="2"/>
      <c r="AC227" s="14">
        <f t="shared" si="59"/>
        <v>-152957.06999999998</v>
      </c>
      <c r="AD227" s="15">
        <f>IFERROR(AC227/AC444, "NA")</f>
        <v>-0.35221468319863053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9587.3799999999992</v>
      </c>
      <c r="F229" s="8">
        <f>IFERROR(E229/E444, "NA")</f>
        <v>1.7068996784062835E-2</v>
      </c>
      <c r="G229" s="9"/>
      <c r="H229" s="10">
        <f t="shared" ref="H229:H236" si="60">IFERROR(-(B229-E229), "NA")</f>
        <v>9587.3799999999992</v>
      </c>
      <c r="I229" s="8">
        <f>IFERROR(H229/H444, "NA")</f>
        <v>-0.28174791393731458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71420.160000000003</v>
      </c>
      <c r="U229" s="8">
        <f>IFERROR(T229/T444, "NA")</f>
        <v>1.7084598825549611E-2</v>
      </c>
      <c r="V229" s="9"/>
      <c r="W229" s="10">
        <f t="shared" ref="W229:W236" si="62">IFERROR(-(Q229-T229), "NA")</f>
        <v>71420.160000000003</v>
      </c>
      <c r="X229" s="8">
        <f>IFERROR(W229/W444, "NA")</f>
        <v>-0.95600230767892092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2.0447305100233546E-5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1.1237218416991143E-3</v>
      </c>
      <c r="Y230" s="9"/>
      <c r="Z230" s="7">
        <v>682.33999999999992</v>
      </c>
      <c r="AA230" s="8">
        <f>IFERROR(Z230/Z444, "NA")</f>
        <v>1.8585264367241595E-4</v>
      </c>
      <c r="AB230" s="9"/>
      <c r="AC230" s="10">
        <f t="shared" si="63"/>
        <v>598.38999999999987</v>
      </c>
      <c r="AD230" s="8">
        <f>IFERROR(AC230/AC444, "NA")</f>
        <v>1.3779143669477227E-3</v>
      </c>
    </row>
    <row r="231" spans="1:30" ht="16.5" customHeight="1" x14ac:dyDescent="0.45">
      <c r="A231" s="6" t="s">
        <v>210</v>
      </c>
      <c r="B231" s="7">
        <v>728</v>
      </c>
      <c r="C231" s="8">
        <f>IFERROR(B231/B444, "NA")</f>
        <v>1.3796877069294662E-3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-728</v>
      </c>
      <c r="I231" s="8">
        <f>IFERROR(H231/H444, "NA")</f>
        <v>2.139400767950838E-2</v>
      </c>
      <c r="J231" s="9"/>
      <c r="K231" s="7">
        <v>1404.28</v>
      </c>
      <c r="L231" s="8">
        <f>IFERROR(K231/K444, "NA")</f>
        <v>2.846079640210524E-3</v>
      </c>
      <c r="M231" s="9"/>
      <c r="N231" s="10">
        <f t="shared" si="61"/>
        <v>676.28</v>
      </c>
      <c r="O231" s="8">
        <f>IFERROR(N231/N444, "NA")</f>
        <v>1.9747073474834346E-2</v>
      </c>
      <c r="P231" s="9"/>
      <c r="Q231" s="7">
        <v>7238.3</v>
      </c>
      <c r="R231" s="8">
        <f>IFERROR(Q231/Q444, "NA")</f>
        <v>1.7629985527935731E-3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-7238.3</v>
      </c>
      <c r="X231" s="8">
        <f>IFERROR(W231/W444, "NA")</f>
        <v>9.6889050706023813E-2</v>
      </c>
      <c r="Y231" s="9"/>
      <c r="Z231" s="7">
        <v>9711.8000000000011</v>
      </c>
      <c r="AA231" s="8">
        <f>IFERROR(Z231/Z444, "NA")</f>
        <v>2.6452555981149716E-3</v>
      </c>
      <c r="AB231" s="9"/>
      <c r="AC231" s="10">
        <f t="shared" si="63"/>
        <v>2473.5000000000009</v>
      </c>
      <c r="AD231" s="8">
        <f>IFERROR(AC231/AC444, "NA")</f>
        <v>5.6957355347602634E-3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187.45</v>
      </c>
      <c r="C233" s="8">
        <f>IFERROR(B233/B444, "NA")</f>
        <v>3.5525063278012148E-4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-187.45</v>
      </c>
      <c r="I233" s="8">
        <f>IFERROR(H233/H444, "NA")</f>
        <v>5.5086631037415462E-3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-187.45</v>
      </c>
      <c r="O233" s="8">
        <f>IFERROR(N233/N444, "NA")</f>
        <v>-5.4734561466518276E-3</v>
      </c>
      <c r="P233" s="9"/>
      <c r="Q233" s="7">
        <v>187.45</v>
      </c>
      <c r="R233" s="8">
        <f>IFERROR(Q233/Q444, "NA")</f>
        <v>4.5656311388192708E-5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-187.45</v>
      </c>
      <c r="X233" s="8">
        <f>IFERROR(W233/W444, "NA")</f>
        <v>2.5091323314651451E-3</v>
      </c>
      <c r="Y233" s="9"/>
      <c r="Z233" s="7">
        <v>34</v>
      </c>
      <c r="AA233" s="8">
        <f>IFERROR(Z233/Z444, "NA")</f>
        <v>9.2607642595511673E-6</v>
      </c>
      <c r="AB233" s="9"/>
      <c r="AC233" s="10">
        <f t="shared" si="63"/>
        <v>-153.44999999999999</v>
      </c>
      <c r="AD233" s="8">
        <f>IFERROR(AC233/AC444, "NA")</f>
        <v>-3.5334975452151285E-4</v>
      </c>
    </row>
    <row r="234" spans="1:30" ht="16.5" customHeight="1" x14ac:dyDescent="0.45">
      <c r="A234" s="6" t="s">
        <v>213</v>
      </c>
      <c r="B234" s="7">
        <v>5347.12</v>
      </c>
      <c r="C234" s="8">
        <f>IFERROR(B234/B444, "NA")</f>
        <v>1.0133730400380066E-2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-5347.12</v>
      </c>
      <c r="I234" s="8">
        <f>IFERROR(H234/H444, "NA")</f>
        <v>0.1571378109110616</v>
      </c>
      <c r="J234" s="9"/>
      <c r="K234" s="7">
        <v>7221.76</v>
      </c>
      <c r="L234" s="8">
        <f>IFERROR(K234/K444, "NA")</f>
        <v>1.4636471431969946E-2</v>
      </c>
      <c r="M234" s="9"/>
      <c r="N234" s="10">
        <f t="shared" si="61"/>
        <v>1874.6400000000003</v>
      </c>
      <c r="O234" s="8">
        <f>IFERROR(N234/N444, "NA")</f>
        <v>5.4738649403891088E-2</v>
      </c>
      <c r="P234" s="9"/>
      <c r="Q234" s="7">
        <v>54725.51</v>
      </c>
      <c r="R234" s="8">
        <f>IFERROR(Q234/Q444, "NA")</f>
        <v>1.3329234064751422E-2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-54725.51</v>
      </c>
      <c r="X234" s="8">
        <f>IFERROR(W234/W444, "NA")</f>
        <v>0.73253425711880038</v>
      </c>
      <c r="Y234" s="9"/>
      <c r="Z234" s="7">
        <v>60825.75</v>
      </c>
      <c r="AA234" s="8">
        <f>IFERROR(Z234/Z444, "NA")</f>
        <v>1.6567439166482189E-2</v>
      </c>
      <c r="AB234" s="9"/>
      <c r="AC234" s="10">
        <f t="shared" si="63"/>
        <v>6100.239999999998</v>
      </c>
      <c r="AD234" s="8">
        <f>IFERROR(AC234/AC444, "NA")</f>
        <v>1.4047040120705852E-2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6262.57</v>
      </c>
      <c r="C236" s="15">
        <f>IFERROR(B236/B444, "NA")</f>
        <v>1.1868668740089653E-2</v>
      </c>
      <c r="D236" s="2"/>
      <c r="E236" s="14">
        <f>IFERROR(E229+E230+E231+E232+E233+E234+E235, "NA")</f>
        <v>9587.3799999999992</v>
      </c>
      <c r="F236" s="15">
        <f>IFERROR(E236/E444, "NA")</f>
        <v>1.7068996784062835E-2</v>
      </c>
      <c r="G236" s="2"/>
      <c r="H236" s="14">
        <f t="shared" si="60"/>
        <v>3324.8099999999995</v>
      </c>
      <c r="I236" s="15">
        <f>IFERROR(H236/H444, "NA")</f>
        <v>-9.7707432243003073E-2</v>
      </c>
      <c r="J236" s="2"/>
      <c r="K236" s="14">
        <f>IFERROR(K229+K230+K231+K232+K233+K234+K235, "NA")</f>
        <v>8626.0400000000009</v>
      </c>
      <c r="L236" s="15">
        <f>IFERROR(K236/K444, "NA")</f>
        <v>1.7482551072180472E-2</v>
      </c>
      <c r="M236" s="2"/>
      <c r="N236" s="14">
        <f t="shared" si="61"/>
        <v>2363.4700000000012</v>
      </c>
      <c r="O236" s="15">
        <f>IFERROR(N236/N444, "NA")</f>
        <v>6.9012266732073627E-2</v>
      </c>
      <c r="P236" s="2"/>
      <c r="Q236" s="14">
        <f>IFERROR(Q229+Q230+Q231+Q232+Q233+Q234+Q235, "NA")</f>
        <v>62235.21</v>
      </c>
      <c r="R236" s="15">
        <f>IFERROR(Q236/Q444, "NA")</f>
        <v>1.5158336234033421E-2</v>
      </c>
      <c r="S236" s="2"/>
      <c r="T236" s="14">
        <f>IFERROR(T229+T230+T231+T232+T233+T234+T235, "NA")</f>
        <v>71420.160000000003</v>
      </c>
      <c r="U236" s="15">
        <f>IFERROR(T236/T444, "NA")</f>
        <v>1.7084598825549611E-2</v>
      </c>
      <c r="V236" s="2"/>
      <c r="W236" s="14">
        <f t="shared" si="62"/>
        <v>9184.9500000000044</v>
      </c>
      <c r="X236" s="15">
        <f>IFERROR(W236/W444, "NA")</f>
        <v>-0.12294614568093251</v>
      </c>
      <c r="Y236" s="2"/>
      <c r="Z236" s="14">
        <f>IFERROR(Z229+Z230+Z231+Z232+Z233+Z234+Z235, "NA")</f>
        <v>71253.89</v>
      </c>
      <c r="AA236" s="15">
        <f>IFERROR(Z236/Z444, "NA")</f>
        <v>1.9407808172529128E-2</v>
      </c>
      <c r="AB236" s="2"/>
      <c r="AC236" s="14">
        <f t="shared" si="63"/>
        <v>9018.68</v>
      </c>
      <c r="AD236" s="15">
        <f>IFERROR(AC236/AC444, "NA")</f>
        <v>2.0767340267892329E-2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35313.18</v>
      </c>
      <c r="F240" s="8">
        <f>IFERROR(E240/E444, "NA")</f>
        <v>6.2870206026571604E-2</v>
      </c>
      <c r="G240" s="9"/>
      <c r="H240" s="10">
        <f t="shared" ref="H240:H263" si="64">IFERROR(-(B240-E240), "NA")</f>
        <v>35313.18</v>
      </c>
      <c r="I240" s="8">
        <f>IFERROR(H240/H444, "NA")</f>
        <v>-1.0377615990492606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265815.56</v>
      </c>
      <c r="U240" s="8">
        <f>IFERROR(T240/T444, "NA")</f>
        <v>6.3586418795320704E-2</v>
      </c>
      <c r="V240" s="9"/>
      <c r="W240" s="10">
        <f t="shared" ref="W240:W263" si="66">IFERROR(-(Q240-T240), "NA")</f>
        <v>265815.56</v>
      </c>
      <c r="X240" s="8">
        <f>IFERROR(W240/W444, "NA")</f>
        <v>-3.5581030450920954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67.290000000000006</v>
      </c>
      <c r="C241" s="8">
        <f>IFERROR(B241/B444, "NA")</f>
        <v>1.2752635411989531E-4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-67.290000000000006</v>
      </c>
      <c r="I241" s="8">
        <f>IFERROR(H241/H444, "NA")</f>
        <v>1.9774763416952183E-3</v>
      </c>
      <c r="J241" s="9"/>
      <c r="K241" s="7">
        <v>236.22</v>
      </c>
      <c r="L241" s="8">
        <f>IFERROR(K241/K444, "NA")</f>
        <v>4.7875134062333013E-4</v>
      </c>
      <c r="M241" s="9"/>
      <c r="N241" s="10">
        <f t="shared" si="65"/>
        <v>168.93</v>
      </c>
      <c r="O241" s="8">
        <f>IFERROR(N241/N444, "NA")</f>
        <v>4.9326804313357875E-3</v>
      </c>
      <c r="P241" s="9"/>
      <c r="Q241" s="7">
        <v>946.3</v>
      </c>
      <c r="R241" s="8">
        <f>IFERROR(Q241/Q444, "NA")</f>
        <v>2.3048582270817155E-4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-946.3</v>
      </c>
      <c r="X241" s="8">
        <f>IFERROR(W241/W444, "NA")</f>
        <v>1.2666801415126525E-2</v>
      </c>
      <c r="Y241" s="9"/>
      <c r="Z241" s="7">
        <v>707.11</v>
      </c>
      <c r="AA241" s="8">
        <f>IFERROR(Z241/Z444, "NA")</f>
        <v>1.9259938281091841E-4</v>
      </c>
      <c r="AB241" s="9"/>
      <c r="AC241" s="10">
        <f t="shared" si="67"/>
        <v>-239.18999999999994</v>
      </c>
      <c r="AD241" s="8">
        <f>IFERROR(AC241/AC444, "NA")</f>
        <v>-5.5078349810362096E-4</v>
      </c>
    </row>
    <row r="242" spans="1:30" ht="16.5" customHeight="1" x14ac:dyDescent="0.45">
      <c r="A242" s="12" t="s">
        <v>219</v>
      </c>
      <c r="B242" s="7">
        <v>7481.8799999999992</v>
      </c>
      <c r="C242" s="8">
        <f>IFERROR(B242/B444, "NA")</f>
        <v>1.4179475083408563E-2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-7481.8799999999992</v>
      </c>
      <c r="I242" s="8">
        <f>IFERROR(H242/H444, "NA")</f>
        <v>0.21987279969390128</v>
      </c>
      <c r="J242" s="9"/>
      <c r="K242" s="7">
        <v>4810.87</v>
      </c>
      <c r="L242" s="8">
        <f>IFERROR(K242/K444, "NA")</f>
        <v>9.7502771232942185E-3</v>
      </c>
      <c r="M242" s="9"/>
      <c r="N242" s="10">
        <f t="shared" si="65"/>
        <v>-2671.0099999999993</v>
      </c>
      <c r="O242" s="8">
        <f>IFERROR(N242/N444, "NA")</f>
        <v>-7.7992297158007443E-2</v>
      </c>
      <c r="P242" s="9"/>
      <c r="Q242" s="7">
        <v>50988.039999999994</v>
      </c>
      <c r="R242" s="8">
        <f>IFERROR(Q242/Q444, "NA")</f>
        <v>1.2418916144644573E-2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-50988.039999999994</v>
      </c>
      <c r="X242" s="8">
        <f>IFERROR(W242/W444, "NA")</f>
        <v>0.68250594655661823</v>
      </c>
      <c r="Y242" s="9"/>
      <c r="Z242" s="7">
        <v>37276.32</v>
      </c>
      <c r="AA242" s="8">
        <f>IFERROR(Z242/Z444, "NA")</f>
        <v>1.0153153293635069E-2</v>
      </c>
      <c r="AB242" s="9"/>
      <c r="AC242" s="10">
        <f t="shared" si="67"/>
        <v>-13711.719999999994</v>
      </c>
      <c r="AD242" s="8">
        <f>IFERROR(AC242/AC444, "NA")</f>
        <v>-3.1574016918004016E-2</v>
      </c>
    </row>
    <row r="243" spans="1:30" ht="16.5" customHeight="1" x14ac:dyDescent="0.45">
      <c r="A243" s="12" t="s">
        <v>220</v>
      </c>
      <c r="B243" s="7">
        <v>9822.48</v>
      </c>
      <c r="C243" s="8">
        <f>IFERROR(B243/B444, "NA")</f>
        <v>1.8615322675220525E-2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-9822.48</v>
      </c>
      <c r="I243" s="8">
        <f>IFERROR(H243/H444, "NA")</f>
        <v>0.28865688537337564</v>
      </c>
      <c r="J243" s="9"/>
      <c r="K243" s="7">
        <v>13568.7</v>
      </c>
      <c r="L243" s="8">
        <f>IFERROR(K243/K444, "NA")</f>
        <v>2.7499929368875541E-2</v>
      </c>
      <c r="M243" s="9"/>
      <c r="N243" s="10">
        <f t="shared" si="65"/>
        <v>3746.2200000000012</v>
      </c>
      <c r="O243" s="8">
        <f>IFERROR(N243/N444, "NA")</f>
        <v>0.10938794817663386</v>
      </c>
      <c r="P243" s="9"/>
      <c r="Q243" s="7">
        <v>94408.76</v>
      </c>
      <c r="R243" s="8">
        <f>IFERROR(Q243/Q444, "NA")</f>
        <v>2.2994695888680458E-2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-94408.76</v>
      </c>
      <c r="X243" s="8">
        <f>IFERROR(W243/W444, "NA")</f>
        <v>1.2637187094667024</v>
      </c>
      <c r="Y243" s="9"/>
      <c r="Z243" s="7">
        <v>109711.05</v>
      </c>
      <c r="AA243" s="8">
        <f>IFERROR(Z243/Z444, "NA")</f>
        <v>2.9882593256406798E-2</v>
      </c>
      <c r="AB243" s="9"/>
      <c r="AC243" s="10">
        <f t="shared" si="67"/>
        <v>15302.290000000008</v>
      </c>
      <c r="AD243" s="8">
        <f>IFERROR(AC243/AC444, "NA")</f>
        <v>3.5236627012818537E-2</v>
      </c>
    </row>
    <row r="244" spans="1:30" ht="16.5" customHeight="1" x14ac:dyDescent="0.45">
      <c r="A244" s="12" t="s">
        <v>221</v>
      </c>
      <c r="B244" s="7">
        <v>3074.0899999999997</v>
      </c>
      <c r="C244" s="8">
        <f>IFERROR(B244/B444, "NA")</f>
        <v>5.8259398118060473E-3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-3074.0899999999997</v>
      </c>
      <c r="I244" s="8">
        <f>IFERROR(H244/H444, "NA")</f>
        <v>9.0339430037774601E-2</v>
      </c>
      <c r="J244" s="9"/>
      <c r="K244" s="7">
        <v>84.24</v>
      </c>
      <c r="L244" s="8">
        <f>IFERROR(K244/K444, "NA")</f>
        <v>1.707307295491886E-4</v>
      </c>
      <c r="M244" s="9"/>
      <c r="N244" s="10">
        <f t="shared" si="65"/>
        <v>-2989.85</v>
      </c>
      <c r="O244" s="8">
        <f>IFERROR(N244/N444, "NA")</f>
        <v>-8.7302282529031563E-2</v>
      </c>
      <c r="P244" s="9"/>
      <c r="Q244" s="7">
        <v>12074.67</v>
      </c>
      <c r="R244" s="8">
        <f>IFERROR(Q244/Q444, "NA")</f>
        <v>2.9409703570534482E-3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-12074.67</v>
      </c>
      <c r="X244" s="8">
        <f>IFERROR(W244/W444, "NA")</f>
        <v>0.16162680655520004</v>
      </c>
      <c r="Y244" s="9"/>
      <c r="Z244" s="7">
        <v>405.63</v>
      </c>
      <c r="AA244" s="8">
        <f>IFERROR(Z244/Z444, "NA")</f>
        <v>1.1048364137063941E-4</v>
      </c>
      <c r="AB244" s="9"/>
      <c r="AC244" s="10">
        <f t="shared" si="67"/>
        <v>-11669.04</v>
      </c>
      <c r="AD244" s="8">
        <f>IFERROR(AC244/AC444, "NA")</f>
        <v>-2.6870331831226554E-2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1465.99</v>
      </c>
      <c r="C246" s="8">
        <f>IFERROR(B246/B444, "NA")</f>
        <v>2.7783082163207805E-3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-1465.99</v>
      </c>
      <c r="I246" s="8">
        <f>IFERROR(H246/H444, "NA")</f>
        <v>4.3081595217146273E-2</v>
      </c>
      <c r="J246" s="9"/>
      <c r="K246" s="7">
        <v>455.97</v>
      </c>
      <c r="L246" s="8">
        <f>IFERROR(K246/K444, "NA")</f>
        <v>9.2412263476428691E-4</v>
      </c>
      <c r="M246" s="9"/>
      <c r="N246" s="10">
        <f t="shared" si="65"/>
        <v>-1010.02</v>
      </c>
      <c r="O246" s="8">
        <f>IFERROR(N246/N444, "NA")</f>
        <v>-2.9492132180534963E-2</v>
      </c>
      <c r="P246" s="9"/>
      <c r="Q246" s="7">
        <v>13394.470000000001</v>
      </c>
      <c r="R246" s="8">
        <f>IFERROR(Q246/Q444, "NA")</f>
        <v>3.2624278111486032E-3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-13394.470000000001</v>
      </c>
      <c r="X246" s="8">
        <f>IFERROR(W246/W444, "NA")</f>
        <v>0.17929313278122139</v>
      </c>
      <c r="Y246" s="9"/>
      <c r="Z246" s="7">
        <v>455.97</v>
      </c>
      <c r="AA246" s="8">
        <f>IFERROR(Z246/Z444, "NA")</f>
        <v>1.2419501998316311E-4</v>
      </c>
      <c r="AB246" s="9"/>
      <c r="AC246" s="10">
        <f t="shared" si="67"/>
        <v>-12938.500000000002</v>
      </c>
      <c r="AD246" s="8">
        <f>IFERROR(AC246/AC444, "NA")</f>
        <v>-2.9793521009296806E-2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30.549999999999997</v>
      </c>
      <c r="L247" s="8">
        <f>IFERROR(K247/K444, "NA")</f>
        <v>6.1916236796387831E-5</v>
      </c>
      <c r="M247" s="9"/>
      <c r="N247" s="10">
        <f t="shared" si="65"/>
        <v>30.549999999999997</v>
      </c>
      <c r="O247" s="8">
        <f>IFERROR(N247/N444, "NA")</f>
        <v>8.9204633385016438E-4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418.4</v>
      </c>
      <c r="AA247" s="8">
        <f>IFERROR(Z247/Z444, "NA")</f>
        <v>1.1396187547635907E-4</v>
      </c>
      <c r="AB247" s="9"/>
      <c r="AC247" s="10">
        <f t="shared" si="67"/>
        <v>418.4</v>
      </c>
      <c r="AD247" s="8">
        <f>IFERROR(AC247/AC444, "NA")</f>
        <v>9.6345087840860846E-4</v>
      </c>
    </row>
    <row r="248" spans="1:30" ht="16.5" customHeight="1" x14ac:dyDescent="0.45">
      <c r="A248" s="12" t="s">
        <v>225</v>
      </c>
      <c r="B248" s="7">
        <v>1207.8</v>
      </c>
      <c r="C248" s="8">
        <f>IFERROR(B248/B444, "NA")</f>
        <v>2.2889928742162217E-3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-1207.8</v>
      </c>
      <c r="I248" s="8">
        <f>IFERROR(H248/H444, "NA")</f>
        <v>3.5494069334217331E-2</v>
      </c>
      <c r="J248" s="9"/>
      <c r="K248" s="7">
        <v>1170.8800000000001</v>
      </c>
      <c r="L248" s="8">
        <f>IFERROR(K248/K444, "NA")</f>
        <v>2.3730436445222455E-3</v>
      </c>
      <c r="M248" s="9"/>
      <c r="N248" s="10">
        <f t="shared" si="65"/>
        <v>-36.919999999999845</v>
      </c>
      <c r="O248" s="8">
        <f>IFERROR(N248/N444, "NA")</f>
        <v>-1.0780474843125347E-3</v>
      </c>
      <c r="P248" s="9"/>
      <c r="Q248" s="7">
        <v>8465.84</v>
      </c>
      <c r="R248" s="8">
        <f>IFERROR(Q248/Q444, "NA")</f>
        <v>2.061984674327113E-3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-8465.84</v>
      </c>
      <c r="X248" s="8">
        <f>IFERROR(W248/W444, "NA")</f>
        <v>0.11332042068290683</v>
      </c>
      <c r="Y248" s="9"/>
      <c r="Z248" s="7">
        <v>7948.7100000000009</v>
      </c>
      <c r="AA248" s="8">
        <f>IFERROR(Z248/Z444, "NA")</f>
        <v>2.1650332199275577E-3</v>
      </c>
      <c r="AB248" s="9"/>
      <c r="AC248" s="10">
        <f t="shared" si="67"/>
        <v>-517.1299999999992</v>
      </c>
      <c r="AD248" s="8">
        <f>IFERROR(AC248/AC444, "NA")</f>
        <v>-1.1907967321975214E-3</v>
      </c>
    </row>
    <row r="249" spans="1:30" ht="16.5" customHeight="1" x14ac:dyDescent="0.45">
      <c r="A249" s="12" t="s">
        <v>226</v>
      </c>
      <c r="B249" s="7">
        <v>6981.59</v>
      </c>
      <c r="C249" s="8">
        <f>IFERROR(B249/B444, "NA")</f>
        <v>1.3231337771733095E-2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-6981.59</v>
      </c>
      <c r="I249" s="8">
        <f>IFERROR(H249/H444, "NA")</f>
        <v>0.20517059076260838</v>
      </c>
      <c r="J249" s="9"/>
      <c r="K249" s="7">
        <v>6891</v>
      </c>
      <c r="L249" s="8">
        <f>IFERROR(K249/K444, "NA")</f>
        <v>1.3966114165758057E-2</v>
      </c>
      <c r="M249" s="9"/>
      <c r="N249" s="10">
        <f t="shared" si="65"/>
        <v>-90.590000000000146</v>
      </c>
      <c r="O249" s="8">
        <f>IFERROR(N249/N444, "NA")</f>
        <v>-2.6451874757278736E-3</v>
      </c>
      <c r="P249" s="9"/>
      <c r="Q249" s="7">
        <v>63584.499999999993</v>
      </c>
      <c r="R249" s="8">
        <f>IFERROR(Q249/Q444, "NA")</f>
        <v>1.5486976428181056E-2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-63584.499999999993</v>
      </c>
      <c r="X249" s="8">
        <f>IFERROR(W249/W444, "NA")</f>
        <v>0.85111722982152849</v>
      </c>
      <c r="Y249" s="9"/>
      <c r="Z249" s="7">
        <v>52968.94</v>
      </c>
      <c r="AA249" s="8">
        <f>IFERROR(Z249/Z444, "NA")</f>
        <v>1.4427437247597361E-2</v>
      </c>
      <c r="AB249" s="9"/>
      <c r="AC249" s="10">
        <f t="shared" si="67"/>
        <v>-10615.55999999999</v>
      </c>
      <c r="AD249" s="8">
        <f>IFERROR(AC249/AC444, "NA")</f>
        <v>-2.4444480417780304E-2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1.397285901514632E-6</v>
      </c>
      <c r="AB250" s="9"/>
      <c r="AC250" s="10">
        <f t="shared" si="67"/>
        <v>5.13</v>
      </c>
      <c r="AD250" s="8">
        <f>IFERROR(AC250/AC444, "NA")</f>
        <v>1.1812865693681075E-5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377.56</v>
      </c>
      <c r="R251" s="8">
        <f>IFERROR(Q251/Q444, "NA")</f>
        <v>9.1960506416249871E-5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-377.56</v>
      </c>
      <c r="X251" s="8">
        <f>IFERROR(W251/W444, "NA")</f>
        <v>5.0538703817977074E-3</v>
      </c>
      <c r="Y251" s="9"/>
      <c r="Z251" s="7">
        <v>534.88</v>
      </c>
      <c r="AA251" s="8">
        <f>IFERROR(Z251/Z444, "NA")</f>
        <v>1.4568816432790379E-4</v>
      </c>
      <c r="AB251" s="9"/>
      <c r="AC251" s="10">
        <f t="shared" si="67"/>
        <v>157.32</v>
      </c>
      <c r="AD251" s="8">
        <f>IFERROR(AC251/AC444, "NA")</f>
        <v>3.6226121460621963E-4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370.42</v>
      </c>
      <c r="AA252" s="8">
        <f>IFERROR(Z252/Z444, "NA")</f>
        <v>1.0089330285361599E-4</v>
      </c>
      <c r="AB252" s="9"/>
      <c r="AC252" s="10">
        <f t="shared" si="67"/>
        <v>370.42</v>
      </c>
      <c r="AD252" s="8">
        <f>IFERROR(AC252/AC444, "NA")</f>
        <v>8.5296719498115865E-4</v>
      </c>
    </row>
    <row r="253" spans="1:30" ht="16.5" customHeight="1" x14ac:dyDescent="0.45">
      <c r="A253" s="12" t="s">
        <v>230</v>
      </c>
      <c r="B253" s="7">
        <v>249.49</v>
      </c>
      <c r="C253" s="8">
        <f>IFERROR(B253/B444, "NA")</f>
        <v>4.728273159365832E-4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-249.49</v>
      </c>
      <c r="I253" s="8">
        <f>IFERROR(H253/H444, "NA")</f>
        <v>7.3318557362095403E-3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-249.49</v>
      </c>
      <c r="O253" s="8">
        <f>IFERROR(N253/N444, "NA")</f>
        <v>-7.2849963938552394E-3</v>
      </c>
      <c r="P253" s="9"/>
      <c r="Q253" s="7">
        <v>1374.17</v>
      </c>
      <c r="R253" s="8">
        <f>IFERROR(Q253/Q444, "NA")</f>
        <v>3.347000982678729E-4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-1374.17</v>
      </c>
      <c r="X253" s="8">
        <f>IFERROR(W253/W444, "NA")</f>
        <v>1.8394101765427894E-2</v>
      </c>
      <c r="Y253" s="9"/>
      <c r="Z253" s="7">
        <v>3664.95</v>
      </c>
      <c r="AA253" s="8">
        <f>IFERROR(Z253/Z444, "NA")</f>
        <v>9.9824229332476627E-4</v>
      </c>
      <c r="AB253" s="9"/>
      <c r="AC253" s="10">
        <f t="shared" si="67"/>
        <v>2290.7799999999997</v>
      </c>
      <c r="AD253" s="8">
        <f>IFERROR(AC253/AC444, "NA")</f>
        <v>5.2749856674017019E-3</v>
      </c>
    </row>
    <row r="254" spans="1:30" ht="16.5" customHeight="1" x14ac:dyDescent="0.45">
      <c r="A254" s="12" t="s">
        <v>231</v>
      </c>
      <c r="B254" s="7">
        <v>2943.33</v>
      </c>
      <c r="C254" s="8">
        <f>IFERROR(B254/B444, "NA")</f>
        <v>5.5781266736767941E-3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-2943.33</v>
      </c>
      <c r="I254" s="8">
        <f>IFERROR(H254/H444, "NA")</f>
        <v>8.6496737119955217E-2</v>
      </c>
      <c r="J254" s="9"/>
      <c r="K254" s="7">
        <v>5245.52</v>
      </c>
      <c r="L254" s="8">
        <f>IFERROR(K254/K444, "NA")</f>
        <v>1.0631190128975069E-2</v>
      </c>
      <c r="M254" s="9"/>
      <c r="N254" s="10">
        <f t="shared" si="65"/>
        <v>2302.1900000000005</v>
      </c>
      <c r="O254" s="8">
        <f>IFERROR(N254/N444, "NA")</f>
        <v>6.7222918144893964E-2</v>
      </c>
      <c r="P254" s="9"/>
      <c r="Q254" s="7">
        <v>24485.200000000001</v>
      </c>
      <c r="R254" s="8">
        <f>IFERROR(Q254/Q444, "NA")</f>
        <v>5.9637445484245193E-3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-24485.200000000001</v>
      </c>
      <c r="X254" s="8">
        <f>IFERROR(W254/W444, "NA")</f>
        <v>0.32774930361371235</v>
      </c>
      <c r="Y254" s="9"/>
      <c r="Z254" s="7">
        <v>19380.45</v>
      </c>
      <c r="AA254" s="8">
        <f>IFERROR(Z254/Z444, "NA")</f>
        <v>5.2787581968828951E-3</v>
      </c>
      <c r="AB254" s="9"/>
      <c r="AC254" s="10">
        <f t="shared" si="67"/>
        <v>-5104.75</v>
      </c>
      <c r="AD254" s="8">
        <f>IFERROR(AC254/AC444, "NA")</f>
        <v>-1.1754722446358376E-2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9.8800000000000008</v>
      </c>
      <c r="L255" s="8">
        <f>IFERROR(K255/K444, "NA")</f>
        <v>2.0023974453299899E-5</v>
      </c>
      <c r="M255" s="9"/>
      <c r="N255" s="10">
        <f t="shared" si="65"/>
        <v>9.8800000000000008</v>
      </c>
      <c r="O255" s="8">
        <f>IFERROR(N255/N444, "NA")</f>
        <v>2.8849158030898938E-4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251.39</v>
      </c>
      <c r="AA255" s="8">
        <f>IFERROR(Z255/Z444, "NA")</f>
        <v>6.8472456682604931E-5</v>
      </c>
      <c r="AB255" s="9"/>
      <c r="AC255" s="10">
        <f t="shared" si="67"/>
        <v>251.39</v>
      </c>
      <c r="AD255" s="8">
        <f>IFERROR(AC255/AC444, "NA")</f>
        <v>5.7887647304765799E-4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1.0227696998416068E-5</v>
      </c>
      <c r="AB256" s="9"/>
      <c r="AC256" s="10">
        <f t="shared" si="67"/>
        <v>37.549999999999997</v>
      </c>
      <c r="AD256" s="8">
        <f>IFERROR(AC256/AC444, "NA")</f>
        <v>8.646649255316264E-5</v>
      </c>
    </row>
    <row r="257" spans="1:30" ht="16.5" customHeight="1" x14ac:dyDescent="0.45">
      <c r="A257" s="12" t="s">
        <v>234</v>
      </c>
      <c r="B257" s="7">
        <v>1125</v>
      </c>
      <c r="C257" s="8">
        <f>IFERROR(B257/B444, "NA")</f>
        <v>2.1320723493072108E-3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-1125</v>
      </c>
      <c r="I257" s="8">
        <f>IFERROR(H257/H444, "NA")</f>
        <v>3.3060794834405119E-2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-1125</v>
      </c>
      <c r="O257" s="8">
        <f>IFERROR(N257/N444, "NA")</f>
        <v>-3.2849496745709819E-2</v>
      </c>
      <c r="P257" s="9"/>
      <c r="Q257" s="7">
        <v>5290.07</v>
      </c>
      <c r="R257" s="8">
        <f>IFERROR(Q257/Q444, "NA")</f>
        <v>1.2884773709540495E-3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-5290.07</v>
      </c>
      <c r="X257" s="8">
        <f>IFERROR(W257/W444, "NA")</f>
        <v>7.081080646953225E-2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-5290.07</v>
      </c>
      <c r="AD257" s="8">
        <f>IFERROR(AC257/AC444, "NA")</f>
        <v>-1.2181459341164024E-2</v>
      </c>
    </row>
    <row r="258" spans="1:30" ht="16.5" customHeight="1" x14ac:dyDescent="0.45">
      <c r="A258" s="12" t="s">
        <v>235</v>
      </c>
      <c r="B258" s="7">
        <v>1609.43</v>
      </c>
      <c r="C258" s="8">
        <f>IFERROR(B258/B444, "NA")</f>
        <v>3.050152178796004E-3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-1609.43</v>
      </c>
      <c r="I258" s="8">
        <f>IFERROR(H258/H444, "NA")</f>
        <v>4.7296920026965894E-2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-1609.43</v>
      </c>
      <c r="O258" s="8">
        <f>IFERROR(N258/N444, "NA")</f>
        <v>-4.699463604217579E-2</v>
      </c>
      <c r="P258" s="9"/>
      <c r="Q258" s="7">
        <v>4395.49</v>
      </c>
      <c r="R258" s="8">
        <f>IFERROR(Q258/Q444, "NA")</f>
        <v>1.0705887444315133E-3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-4395.49</v>
      </c>
      <c r="X258" s="8">
        <f>IFERROR(W258/W444, "NA")</f>
        <v>5.8836308731030844E-2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-4395.49</v>
      </c>
      <c r="AD258" s="8">
        <f>IFERROR(AC258/AC444, "NA")</f>
        <v>-1.0121507412849557E-2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36028.370000000003</v>
      </c>
      <c r="C262" s="15">
        <f>IFERROR(B262/B444, "NA")</f>
        <v>6.8280081304541732E-2</v>
      </c>
      <c r="D262" s="2"/>
      <c r="E262" s="14">
        <f>IFERROR(E240+E241+E242+E243+E244+E245+E246+E247+E248+E249+E250+E251+E252+E253+E254+E255+E256+E257+E258+E259+E260+E261, "NA")</f>
        <v>35313.18</v>
      </c>
      <c r="F262" s="15">
        <f>IFERROR(E262/E444, "NA")</f>
        <v>6.2870206026571604E-2</v>
      </c>
      <c r="G262" s="2"/>
      <c r="H262" s="14">
        <f t="shared" si="64"/>
        <v>-715.19000000000233</v>
      </c>
      <c r="I262" s="15">
        <f>IFERROR(H262/H444, "NA")</f>
        <v>2.1017555428994021E-2</v>
      </c>
      <c r="J262" s="2"/>
      <c r="K262" s="14">
        <f>IFERROR(K240+K241+K242+K243+K244+K245+K246+K247+K248+K249+K250+K251+K252+K253+K254+K255+K256+K257+K258+K259+K260+K261, "NA")</f>
        <v>32503.830000000005</v>
      </c>
      <c r="L262" s="15">
        <f>IFERROR(K262/K444, "NA")</f>
        <v>6.5876099347611627E-2</v>
      </c>
      <c r="M262" s="2"/>
      <c r="N262" s="14">
        <f t="shared" si="65"/>
        <v>-3524.5399999999972</v>
      </c>
      <c r="O262" s="15">
        <f>IFERROR(N262/N444, "NA")</f>
        <v>-0.10291499134233245</v>
      </c>
      <c r="P262" s="2"/>
      <c r="Q262" s="14">
        <f>IFERROR(Q240+Q241+Q242+Q243+Q244+Q245+Q246+Q247+Q248+Q249+Q250+Q251+Q252+Q253+Q254+Q255+Q256+Q257+Q258+Q259+Q260+Q261, "NA")</f>
        <v>279785.07</v>
      </c>
      <c r="R262" s="15">
        <f>IFERROR(Q262/Q444, "NA")</f>
        <v>6.8145928395237629E-2</v>
      </c>
      <c r="S262" s="2"/>
      <c r="T262" s="14">
        <f>IFERROR(T240+T241+T242+T243+T244+T245+T246+T247+T248+T249+T250+T251+T252+T253+T254+T255+T256+T257+T258+T259+T260+T261, "NA")</f>
        <v>265815.56</v>
      </c>
      <c r="U262" s="15">
        <f>IFERROR(T262/T444, "NA")</f>
        <v>6.3586418795320704E-2</v>
      </c>
      <c r="V262" s="2"/>
      <c r="W262" s="14">
        <f t="shared" si="66"/>
        <v>-13969.510000000009</v>
      </c>
      <c r="X262" s="15">
        <f>IFERROR(W262/W444, "NA")</f>
        <v>0.18699039314870999</v>
      </c>
      <c r="Y262" s="2"/>
      <c r="Z262" s="14">
        <f>IFERROR(Z240+Z241+Z242+Z243+Z244+Z245+Z246+Z247+Z248+Z249+Z250+Z251+Z252+Z253+Z254+Z255+Z256+Z257+Z258+Z259+Z260+Z261, "NA")</f>
        <v>234136.90000000005</v>
      </c>
      <c r="AA262" s="15">
        <f>IFERROR(Z262/Z444, "NA")</f>
        <v>6.3773136334179595E-2</v>
      </c>
      <c r="AB262" s="2"/>
      <c r="AC262" s="14">
        <f t="shared" si="67"/>
        <v>-45648.169999999955</v>
      </c>
      <c r="AD262" s="15">
        <f>IFERROR(AC262/AC444, "NA")</f>
        <v>-0.10511417180747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36028.370000000003</v>
      </c>
      <c r="C263" s="15">
        <f>IFERROR(B263/B444, "NA")</f>
        <v>6.8280081304541732E-2</v>
      </c>
      <c r="D263" s="2"/>
      <c r="E263" s="14">
        <f>IFERROR(E238+E240+E241+E242+E243+E244+E245+E246+E247+E248+E249+E250+E251+E252+E253+E254+E255+E256+E257+E258+E259+E260+E261, "NA")</f>
        <v>35313.18</v>
      </c>
      <c r="F263" s="15">
        <f>IFERROR(E263/E444, "NA")</f>
        <v>6.2870206026571604E-2</v>
      </c>
      <c r="G263" s="2"/>
      <c r="H263" s="14">
        <f t="shared" si="64"/>
        <v>-715.19000000000233</v>
      </c>
      <c r="I263" s="15">
        <f>IFERROR(H263/H444, "NA")</f>
        <v>2.1017555428994021E-2</v>
      </c>
      <c r="J263" s="2"/>
      <c r="K263" s="14">
        <f>IFERROR(K238+K240+K241+K242+K243+K244+K245+K246+K247+K248+K249+K250+K251+K252+K253+K254+K255+K256+K257+K258+K259+K260+K261, "NA")</f>
        <v>32503.830000000005</v>
      </c>
      <c r="L263" s="15">
        <f>IFERROR(K263/K444, "NA")</f>
        <v>6.5876099347611627E-2</v>
      </c>
      <c r="M263" s="2"/>
      <c r="N263" s="14">
        <f t="shared" si="65"/>
        <v>-3524.5399999999972</v>
      </c>
      <c r="O263" s="15">
        <f>IFERROR(N263/N444, "NA")</f>
        <v>-0.10291499134233245</v>
      </c>
      <c r="P263" s="2"/>
      <c r="Q263" s="14">
        <f>IFERROR(Q238+Q240+Q241+Q242+Q243+Q244+Q245+Q246+Q247+Q248+Q249+Q250+Q251+Q252+Q253+Q254+Q255+Q256+Q257+Q258+Q259+Q260+Q261, "NA")</f>
        <v>279785.07</v>
      </c>
      <c r="R263" s="15">
        <f>IFERROR(Q263/Q444, "NA")</f>
        <v>6.8145928395237629E-2</v>
      </c>
      <c r="S263" s="2"/>
      <c r="T263" s="14">
        <f>IFERROR(T238+T240+T241+T242+T243+T244+T245+T246+T247+T248+T249+T250+T251+T252+T253+T254+T255+T256+T257+T258+T259+T260+T261, "NA")</f>
        <v>265815.56</v>
      </c>
      <c r="U263" s="15">
        <f>IFERROR(T263/T444, "NA")</f>
        <v>6.3586418795320704E-2</v>
      </c>
      <c r="V263" s="2"/>
      <c r="W263" s="14">
        <f t="shared" si="66"/>
        <v>-13969.510000000009</v>
      </c>
      <c r="X263" s="15">
        <f>IFERROR(W263/W444, "NA")</f>
        <v>0.18699039314870999</v>
      </c>
      <c r="Y263" s="2"/>
      <c r="Z263" s="14">
        <f>IFERROR(Z238+Z240+Z241+Z242+Z243+Z244+Z245+Z246+Z247+Z248+Z249+Z250+Z251+Z252+Z253+Z254+Z255+Z256+Z257+Z258+Z259+Z260+Z261, "NA")</f>
        <v>234136.90000000005</v>
      </c>
      <c r="AA263" s="15">
        <f>IFERROR(Z263/Z444, "NA")</f>
        <v>6.3773136334179595E-2</v>
      </c>
      <c r="AB263" s="2"/>
      <c r="AC263" s="14">
        <f t="shared" si="67"/>
        <v>-45648.169999999955</v>
      </c>
      <c r="AD263" s="15">
        <f>IFERROR(AC263/AC444, "NA")</f>
        <v>-0.10511417180747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13806.74</v>
      </c>
      <c r="C265" s="8">
        <f>IFERROR(B265/B444, "NA")</f>
        <v>2.6166194300510082E-2</v>
      </c>
      <c r="D265" s="9"/>
      <c r="E265" s="7">
        <v>15076.520000000002</v>
      </c>
      <c r="F265" s="8">
        <f>IFERROR(E265/E444, "NA")</f>
        <v>2.6841647185660636E-2</v>
      </c>
      <c r="G265" s="9"/>
      <c r="H265" s="10">
        <f>IFERROR(-(B265-E265), "NA")</f>
        <v>1269.7800000000025</v>
      </c>
      <c r="I265" s="8">
        <f>IFERROR(H265/H444, "NA")</f>
        <v>-3.7315498724294231E-2</v>
      </c>
      <c r="J265" s="9"/>
      <c r="K265" s="7">
        <v>13823.17</v>
      </c>
      <c r="L265" s="8">
        <f>IFERROR(K265/K444, "NA")</f>
        <v>2.8015668314131735E-2</v>
      </c>
      <c r="M265" s="9"/>
      <c r="N265" s="10">
        <f>IFERROR(-(B265-K265), "NA")</f>
        <v>16.430000000000291</v>
      </c>
      <c r="O265" s="8">
        <f>IFERROR(N265/N444, "NA")</f>
        <v>4.7974865025068614E-4</v>
      </c>
      <c r="P265" s="9"/>
      <c r="Q265" s="7">
        <v>105608.29000000001</v>
      </c>
      <c r="R265" s="8">
        <f>IFERROR(Q265/Q444, "NA")</f>
        <v>2.5722512528218503E-2</v>
      </c>
      <c r="S265" s="9"/>
      <c r="T265" s="7">
        <v>112999.01</v>
      </c>
      <c r="U265" s="8">
        <f>IFERROR(T265/T444, "NA")</f>
        <v>2.7030781694332085E-2</v>
      </c>
      <c r="V265" s="9"/>
      <c r="W265" s="10">
        <f>IFERROR(-(Q265-T265), "NA")</f>
        <v>7390.7199999999866</v>
      </c>
      <c r="X265" s="8">
        <f>IFERROR(W265/W444, "NA")</f>
        <v>-9.8929285168343803E-2</v>
      </c>
      <c r="Y265" s="9"/>
      <c r="Z265" s="7">
        <v>102811.7</v>
      </c>
      <c r="AA265" s="8">
        <f>IFERROR(Z265/Z444, "NA")</f>
        <v>2.8003379906579317E-2</v>
      </c>
      <c r="AB265" s="9"/>
      <c r="AC265" s="10">
        <f>IFERROR(-(Q265-Z265), "NA")</f>
        <v>-2796.5900000000111</v>
      </c>
      <c r="AD265" s="8">
        <f>IFERROR(AC265/AC444, "NA")</f>
        <v>-6.4397158031757676E-3</v>
      </c>
    </row>
    <row r="266" spans="1:30" ht="16.5" customHeight="1" x14ac:dyDescent="0.45">
      <c r="A266" s="6" t="s">
        <v>242</v>
      </c>
      <c r="B266" s="7">
        <v>43.49</v>
      </c>
      <c r="C266" s="8">
        <f>IFERROR(B266/B444, "NA")</f>
        <v>8.2421179085662765E-5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-43.49</v>
      </c>
      <c r="I266" s="8">
        <f>IFERROR(H266/H444, "NA")</f>
        <v>1.2780568598651366E-3</v>
      </c>
      <c r="J266" s="9"/>
      <c r="K266" s="7">
        <v>91.93</v>
      </c>
      <c r="L266" s="8">
        <f>IFERROR(K266/K444, "NA")</f>
        <v>1.863161914465445E-4</v>
      </c>
      <c r="M266" s="9"/>
      <c r="N266" s="10">
        <f>IFERROR(-(B266-K266), "NA")</f>
        <v>48.440000000000005</v>
      </c>
      <c r="O266" s="8">
        <f>IFERROR(N266/N444, "NA")</f>
        <v>1.4144263309886079E-3</v>
      </c>
      <c r="P266" s="9"/>
      <c r="Q266" s="7">
        <v>608.70000000000005</v>
      </c>
      <c r="R266" s="8">
        <f>IFERROR(Q266/Q444, "NA")</f>
        <v>1.4825818480657723E-4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-608.70000000000005</v>
      </c>
      <c r="X266" s="8">
        <f>IFERROR(W266/W444, "NA")</f>
        <v>8.1478199528558764E-3</v>
      </c>
      <c r="Y266" s="9"/>
      <c r="Z266" s="7">
        <v>386.17999999999995</v>
      </c>
      <c r="AA266" s="8">
        <f>IFERROR(Z266/Z444, "NA")</f>
        <v>1.0518593946333734E-4</v>
      </c>
      <c r="AB266" s="9"/>
      <c r="AC266" s="10">
        <f>IFERROR(-(Q266-Z266), "NA")</f>
        <v>-222.5200000000001</v>
      </c>
      <c r="AD266" s="8">
        <f>IFERROR(AC266/AC444, "NA")</f>
        <v>-5.1239744135631851E-4</v>
      </c>
    </row>
    <row r="267" spans="1:30" ht="16.5" customHeight="1" x14ac:dyDescent="0.45">
      <c r="A267" s="19" t="s">
        <v>243</v>
      </c>
      <c r="B267" s="14">
        <f>IFERROR(B265+B266, "NA")</f>
        <v>13850.23</v>
      </c>
      <c r="C267" s="15">
        <f>IFERROR(B267/B444, "NA")</f>
        <v>2.6248615479595745E-2</v>
      </c>
      <c r="D267" s="2"/>
      <c r="E267" s="14">
        <f>IFERROR(E265+E266, "NA")</f>
        <v>15076.520000000002</v>
      </c>
      <c r="F267" s="15">
        <f>IFERROR(E267/E444, "NA")</f>
        <v>2.6841647185660636E-2</v>
      </c>
      <c r="G267" s="2"/>
      <c r="H267" s="14">
        <f>IFERROR(-(B267-E267), "NA")</f>
        <v>1226.2900000000027</v>
      </c>
      <c r="I267" s="15">
        <f>IFERROR(H267/H444, "NA")</f>
        <v>-3.6037441864429101E-2</v>
      </c>
      <c r="J267" s="2"/>
      <c r="K267" s="14">
        <f>IFERROR(K265+K266, "NA")</f>
        <v>13915.1</v>
      </c>
      <c r="L267" s="15">
        <f>IFERROR(K267/K444, "NA")</f>
        <v>2.820198450557828E-2</v>
      </c>
      <c r="M267" s="2"/>
      <c r="N267" s="14">
        <f>IFERROR(-(B267-K267), "NA")</f>
        <v>64.8700000000008</v>
      </c>
      <c r="O267" s="15">
        <f>IFERROR(N267/N444, "NA")</f>
        <v>1.8941749812393088E-3</v>
      </c>
      <c r="P267" s="2"/>
      <c r="Q267" s="14">
        <f>IFERROR(Q265+Q266, "NA")</f>
        <v>106216.99</v>
      </c>
      <c r="R267" s="15">
        <f>IFERROR(Q267/Q444, "NA")</f>
        <v>2.5870770713025081E-2</v>
      </c>
      <c r="S267" s="2"/>
      <c r="T267" s="14">
        <f>IFERROR(T265+T266, "NA")</f>
        <v>112999.01</v>
      </c>
      <c r="U267" s="15">
        <f>IFERROR(T267/T444, "NA")</f>
        <v>2.7030781694332085E-2</v>
      </c>
      <c r="V267" s="2"/>
      <c r="W267" s="14">
        <f>IFERROR(-(Q267-T267), "NA")</f>
        <v>6782.0199999999895</v>
      </c>
      <c r="X267" s="15">
        <f>IFERROR(W267/W444, "NA")</f>
        <v>-9.0781465215487966E-2</v>
      </c>
      <c r="Y267" s="2"/>
      <c r="Z267" s="14">
        <f>IFERROR(Z265+Z266, "NA")</f>
        <v>103197.87999999999</v>
      </c>
      <c r="AA267" s="15">
        <f>IFERROR(Z267/Z444, "NA")</f>
        <v>2.8108565846042651E-2</v>
      </c>
      <c r="AB267" s="2"/>
      <c r="AC267" s="14">
        <f>IFERROR(-(Q267-Z267), "NA")</f>
        <v>-3019.1100000000151</v>
      </c>
      <c r="AD267" s="15">
        <f>IFERROR(AC267/AC444, "NA")</f>
        <v>-6.9521132445320953E-3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1059.7600000000002</v>
      </c>
      <c r="C270" s="8">
        <f>IFERROR(B270/B444, "NA")</f>
        <v>2.0084311048016094E-3</v>
      </c>
      <c r="D270" s="9"/>
      <c r="E270" s="7">
        <v>819.84999999999991</v>
      </c>
      <c r="F270" s="8">
        <f>IFERROR(E270/E444, "NA")</f>
        <v>1.4596289094010997E-3</v>
      </c>
      <c r="G270" s="9"/>
      <c r="H270" s="10">
        <f>IFERROR(-(B270-E270), "NA")</f>
        <v>-239.91000000000031</v>
      </c>
      <c r="I270" s="8">
        <f>IFERROR(H270/H444, "NA")</f>
        <v>7.0503247010863489E-3</v>
      </c>
      <c r="J270" s="9"/>
      <c r="K270" s="7">
        <v>1056.1200000000001</v>
      </c>
      <c r="L270" s="8">
        <f>IFERROR(K270/K444, "NA")</f>
        <v>2.1404574797185315E-3</v>
      </c>
      <c r="M270" s="9"/>
      <c r="N270" s="10">
        <f>IFERROR(-(B270-K270), "NA")</f>
        <v>-3.6400000000001</v>
      </c>
      <c r="O270" s="8">
        <f>IFERROR(N270/N444, "NA")</f>
        <v>-1.0628637169278848E-4</v>
      </c>
      <c r="P270" s="9"/>
      <c r="Q270" s="7">
        <v>8170.87</v>
      </c>
      <c r="R270" s="8">
        <f>IFERROR(Q270/Q444, "NA")</f>
        <v>1.9901402242328203E-3</v>
      </c>
      <c r="S270" s="9"/>
      <c r="T270" s="7">
        <v>7126.9699999999993</v>
      </c>
      <c r="U270" s="8">
        <f>IFERROR(T270/T444, "NA")</f>
        <v>1.7048606904790931E-3</v>
      </c>
      <c r="V270" s="9"/>
      <c r="W270" s="10">
        <f>IFERROR(-(Q270-T270), "NA")</f>
        <v>-1043.9000000000005</v>
      </c>
      <c r="X270" s="8">
        <f>IFERROR(W270/W444, "NA")</f>
        <v>1.3973236814171602E-2</v>
      </c>
      <c r="Y270" s="9"/>
      <c r="Z270" s="7">
        <v>6697.9</v>
      </c>
      <c r="AA270" s="8">
        <f>IFERROR(Z270/Z444, "NA")</f>
        <v>1.8243433215896401E-3</v>
      </c>
      <c r="AB270" s="9"/>
      <c r="AC270" s="10">
        <f>IFERROR(-(Q270-Z270), "NA")</f>
        <v>-1472.9700000000003</v>
      </c>
      <c r="AD270" s="8">
        <f>IFERROR(AC270/AC444, "NA")</f>
        <v>-3.3918122379768844E-3</v>
      </c>
    </row>
    <row r="271" spans="1:30" ht="16.5" customHeight="1" x14ac:dyDescent="0.45">
      <c r="A271" s="6" t="s">
        <v>246</v>
      </c>
      <c r="B271" s="7">
        <v>5085.5599999999995</v>
      </c>
      <c r="C271" s="8">
        <f>IFERROR(B271/B444, "NA")</f>
        <v>9.6380283171046931E-3</v>
      </c>
      <c r="D271" s="9"/>
      <c r="E271" s="7">
        <v>3662.66</v>
      </c>
      <c r="F271" s="8">
        <f>IFERROR(E271/E444, "NA")</f>
        <v>6.5208567680759069E-3</v>
      </c>
      <c r="G271" s="9"/>
      <c r="H271" s="10">
        <f>IFERROR(-(B271-E271), "NA")</f>
        <v>-1422.8999999999996</v>
      </c>
      <c r="I271" s="8">
        <f>IFERROR(H271/H444, "NA")</f>
        <v>4.1815293306555583E-2</v>
      </c>
      <c r="J271" s="9"/>
      <c r="K271" s="7">
        <v>4187.51</v>
      </c>
      <c r="L271" s="8">
        <f>IFERROR(K271/K444, "NA")</f>
        <v>8.4869021521192158E-3</v>
      </c>
      <c r="M271" s="9"/>
      <c r="N271" s="10">
        <f>IFERROR(-(B271-K271), "NA")</f>
        <v>-898.04999999999927</v>
      </c>
      <c r="O271" s="8">
        <f>IFERROR(N271/N444, "NA")</f>
        <v>-2.6222658268875272E-2</v>
      </c>
      <c r="P271" s="9"/>
      <c r="Q271" s="7">
        <v>34271.32</v>
      </c>
      <c r="R271" s="8">
        <f>IFERROR(Q271/Q444, "NA")</f>
        <v>8.3473035881802965E-3</v>
      </c>
      <c r="S271" s="9"/>
      <c r="T271" s="7">
        <v>27455.879999999997</v>
      </c>
      <c r="U271" s="8">
        <f>IFERROR(T271/T444, "NA")</f>
        <v>6.567791155920555E-3</v>
      </c>
      <c r="V271" s="9"/>
      <c r="W271" s="10">
        <f>IFERROR(-(Q271-T271), "NA")</f>
        <v>-6815.4400000000023</v>
      </c>
      <c r="X271" s="8">
        <f>IFERROR(W271/W444, "NA")</f>
        <v>9.1228812254792305E-2</v>
      </c>
      <c r="Y271" s="9"/>
      <c r="Z271" s="7">
        <v>27832.689999999995</v>
      </c>
      <c r="AA271" s="8">
        <f>IFERROR(Z271/Z444, "NA")</f>
        <v>7.5809406117402101E-3</v>
      </c>
      <c r="AB271" s="9"/>
      <c r="AC271" s="10">
        <f>IFERROR(-(Q271-Z271), "NA")</f>
        <v>-6438.6300000000047</v>
      </c>
      <c r="AD271" s="8">
        <f>IFERROR(AC271/AC444, "NA")</f>
        <v>-1.4826251742944607E-2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6145.32</v>
      </c>
      <c r="C273" s="15">
        <f>IFERROR(B273/B444, "NA")</f>
        <v>1.1646459421906301E-2</v>
      </c>
      <c r="D273" s="2"/>
      <c r="E273" s="14">
        <f>IFERROR(E269+E270+E271+E272, "NA")</f>
        <v>4482.51</v>
      </c>
      <c r="F273" s="15">
        <f>IFERROR(E273/E444, "NA")</f>
        <v>7.9804856774770075E-3</v>
      </c>
      <c r="G273" s="2"/>
      <c r="H273" s="14">
        <f>IFERROR(-(B273-E273), "NA")</f>
        <v>-1662.8099999999995</v>
      </c>
      <c r="I273" s="15">
        <f>IFERROR(H273/H444, "NA")</f>
        <v>4.8865618007641914E-2</v>
      </c>
      <c r="J273" s="2"/>
      <c r="K273" s="14">
        <f>IFERROR(K269+K270+K271+K272, "NA")</f>
        <v>5243.63</v>
      </c>
      <c r="L273" s="15">
        <f>IFERROR(K273/K444, "NA")</f>
        <v>1.0627359631837746E-2</v>
      </c>
      <c r="M273" s="2"/>
      <c r="N273" s="14">
        <f>IFERROR(-(B273-K273), "NA")</f>
        <v>-901.6899999999996</v>
      </c>
      <c r="O273" s="15">
        <f>IFERROR(N273/N444, "NA")</f>
        <v>-2.6328944640568067E-2</v>
      </c>
      <c r="P273" s="2"/>
      <c r="Q273" s="14">
        <f>IFERROR(Q269+Q270+Q271+Q272, "NA")</f>
        <v>42442.19</v>
      </c>
      <c r="R273" s="15">
        <f>IFERROR(Q273/Q444, "NA")</f>
        <v>1.0337443812413118E-2</v>
      </c>
      <c r="S273" s="2"/>
      <c r="T273" s="14">
        <f>IFERROR(T269+T270+T271+T272, "NA")</f>
        <v>34582.85</v>
      </c>
      <c r="U273" s="15">
        <f>IFERROR(T273/T444, "NA")</f>
        <v>8.2726518463996489E-3</v>
      </c>
      <c r="V273" s="2"/>
      <c r="W273" s="14">
        <f>IFERROR(-(Q273-T273), "NA")</f>
        <v>-7859.3400000000038</v>
      </c>
      <c r="X273" s="15">
        <f>IFERROR(W273/W444, "NA")</f>
        <v>0.10520204906896391</v>
      </c>
      <c r="Y273" s="2"/>
      <c r="Z273" s="14">
        <f>IFERROR(Z269+Z270+Z271+Z272, "NA")</f>
        <v>34530.589999999997</v>
      </c>
      <c r="AA273" s="15">
        <f>IFERROR(Z273/Z444, "NA")</f>
        <v>9.4052839333298513E-3</v>
      </c>
      <c r="AB273" s="2"/>
      <c r="AC273" s="14">
        <f>IFERROR(-(Q273-Z273), "NA")</f>
        <v>-7911.6000000000058</v>
      </c>
      <c r="AD273" s="15">
        <f>IFERROR(AC273/AC444, "NA")</f>
        <v>-1.8218063980921493E-2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1.8393246019316688E-3</v>
      </c>
      <c r="D287" s="9"/>
      <c r="E287" s="7">
        <v>2703</v>
      </c>
      <c r="F287" s="8">
        <f>IFERROR(E287/E444, "NA")</f>
        <v>4.8123155968911053E-3</v>
      </c>
      <c r="G287" s="9"/>
      <c r="H287" s="10">
        <f t="shared" si="72"/>
        <v>1732.47</v>
      </c>
      <c r="I287" s="8">
        <f>IFERROR(H287/H444, "NA")</f>
        <v>-5.09127424237883E-2</v>
      </c>
      <c r="J287" s="9"/>
      <c r="K287" s="7">
        <v>970.53</v>
      </c>
      <c r="L287" s="8">
        <f>IFERROR(K287/K444, "NA")</f>
        <v>1.9669906807855413E-3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6793.71</v>
      </c>
      <c r="R287" s="8">
        <f>IFERROR(Q287/Q444, "NA")</f>
        <v>1.6547118657832952E-3</v>
      </c>
      <c r="S287" s="9"/>
      <c r="T287" s="7">
        <v>18921</v>
      </c>
      <c r="U287" s="8">
        <f>IFERROR(T287/T444, "NA")</f>
        <v>4.5261407196262819E-3</v>
      </c>
      <c r="V287" s="9"/>
      <c r="W287" s="10">
        <f t="shared" si="74"/>
        <v>12127.29</v>
      </c>
      <c r="X287" s="8">
        <f>IFERROR(W287/W444, "NA")</f>
        <v>-0.16233115727956227</v>
      </c>
      <c r="Y287" s="9"/>
      <c r="Z287" s="7">
        <v>6793.71</v>
      </c>
      <c r="AA287" s="8">
        <f>IFERROR(Z287/Z444, "NA")</f>
        <v>1.8504396105222165E-3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762.1</v>
      </c>
      <c r="C288" s="8">
        <f>IFERROR(B288/B444, "NA")</f>
        <v>1.444313188806245E-3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-762.1</v>
      </c>
      <c r="I288" s="8">
        <f>IFERROR(H288/H444, "NA")</f>
        <v>2.2396117105155679E-2</v>
      </c>
      <c r="J288" s="9"/>
      <c r="K288" s="7">
        <v>682.81000000000006</v>
      </c>
      <c r="L288" s="8">
        <f>IFERROR(K288/K444, "NA")</f>
        <v>1.3838633599653545E-3</v>
      </c>
      <c r="M288" s="9"/>
      <c r="N288" s="10">
        <f t="shared" si="73"/>
        <v>-79.289999999999964</v>
      </c>
      <c r="O288" s="8">
        <f>IFERROR(N288/N444, "NA")</f>
        <v>-2.3152325306376271E-3</v>
      </c>
      <c r="P288" s="9"/>
      <c r="Q288" s="7">
        <v>6282.16</v>
      </c>
      <c r="R288" s="8">
        <f>IFERROR(Q288/Q444, "NA")</f>
        <v>1.5301160477484593E-3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-6282.16</v>
      </c>
      <c r="X288" s="8">
        <f>IFERROR(W288/W444, "NA")</f>
        <v>8.4090534902305031E-2</v>
      </c>
      <c r="Y288" s="9"/>
      <c r="Z288" s="7">
        <v>4715.79</v>
      </c>
      <c r="AA288" s="8">
        <f>IFERROR(Z288/Z444, "NA")</f>
        <v>1.284465279045553E-3</v>
      </c>
      <c r="AB288" s="9"/>
      <c r="AC288" s="10">
        <f t="shared" si="75"/>
        <v>-1566.37</v>
      </c>
      <c r="AD288" s="8">
        <f>IFERROR(AC288/AC444, "NA")</f>
        <v>-3.606884685499264E-3</v>
      </c>
    </row>
    <row r="289" spans="1:30" ht="16.5" customHeight="1" x14ac:dyDescent="0.45">
      <c r="A289" s="6" t="s">
        <v>262</v>
      </c>
      <c r="B289" s="7">
        <v>1098.8</v>
      </c>
      <c r="C289" s="8">
        <f>IFERROR(B289/B444, "NA")</f>
        <v>2.0824187532611231E-3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-1098.8</v>
      </c>
      <c r="I289" s="8">
        <f>IFERROR(H289/H444, "NA")</f>
        <v>3.2290845656928302E-2</v>
      </c>
      <c r="J289" s="9"/>
      <c r="K289" s="7">
        <v>998.95</v>
      </c>
      <c r="L289" s="8">
        <f>IFERROR(K289/K444, "NA")</f>
        <v>2.0245900081097097E-3</v>
      </c>
      <c r="M289" s="9"/>
      <c r="N289" s="10">
        <f t="shared" si="73"/>
        <v>-99.849999999999909</v>
      </c>
      <c r="O289" s="8">
        <f>IFERROR(N289/N444, "NA")</f>
        <v>-2.9155753333858867E-3</v>
      </c>
      <c r="P289" s="9"/>
      <c r="Q289" s="7">
        <v>7514.7900000000009</v>
      </c>
      <c r="R289" s="8">
        <f>IFERROR(Q289/Q444, "NA")</f>
        <v>1.8303419165477553E-3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-7514.7900000000009</v>
      </c>
      <c r="X289" s="8">
        <f>IFERROR(W289/W444, "NA")</f>
        <v>0.10059003762694566</v>
      </c>
      <c r="Y289" s="9"/>
      <c r="Z289" s="7">
        <v>7147.7900000000009</v>
      </c>
      <c r="AA289" s="8">
        <f>IFERROR(Z289/Z444, "NA")</f>
        <v>1.9468822990228603E-3</v>
      </c>
      <c r="AB289" s="9"/>
      <c r="AC289" s="10">
        <f t="shared" si="75"/>
        <v>-367</v>
      </c>
      <c r="AD289" s="8">
        <f>IFERROR(AC289/AC444, "NA")</f>
        <v>-8.4509195118537132E-4</v>
      </c>
    </row>
    <row r="290" spans="1:30" ht="16.5" customHeight="1" x14ac:dyDescent="0.45">
      <c r="A290" s="6" t="s">
        <v>263</v>
      </c>
      <c r="B290" s="7">
        <v>3729.4000000000005</v>
      </c>
      <c r="C290" s="8">
        <f>IFERROR(B290/B444, "NA")</f>
        <v>7.0678672173389457E-3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-3729.4000000000005</v>
      </c>
      <c r="I290" s="8">
        <f>IFERROR(H290/H444, "NA")</f>
        <v>0.10959726956038264</v>
      </c>
      <c r="J290" s="9"/>
      <c r="K290" s="7">
        <v>1026.24</v>
      </c>
      <c r="L290" s="8">
        <f>IFERROR(K290/K444, "NA")</f>
        <v>2.0798991440237335E-3</v>
      </c>
      <c r="M290" s="9"/>
      <c r="N290" s="10">
        <f t="shared" si="73"/>
        <v>-2703.1600000000008</v>
      </c>
      <c r="O290" s="8">
        <f>IFERROR(N290/N444, "NA")</f>
        <v>-7.8931062776118208E-2</v>
      </c>
      <c r="P290" s="9"/>
      <c r="Q290" s="7">
        <v>23135.710000000003</v>
      </c>
      <c r="R290" s="8">
        <f>IFERROR(Q290/Q444, "NA")</f>
        <v>5.635055641221254E-3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-23135.710000000003</v>
      </c>
      <c r="X290" s="8">
        <f>IFERROR(W290/W444, "NA")</f>
        <v>0.30968555866845288</v>
      </c>
      <c r="Y290" s="9"/>
      <c r="Z290" s="7">
        <v>15856.400000000001</v>
      </c>
      <c r="AA290" s="8">
        <f>IFERROR(Z290/Z444, "NA")</f>
        <v>4.3188936001513868E-3</v>
      </c>
      <c r="AB290" s="9"/>
      <c r="AC290" s="10">
        <f t="shared" si="75"/>
        <v>-7279.3100000000013</v>
      </c>
      <c r="AD290" s="8">
        <f>IFERROR(AC290/AC444, "NA")</f>
        <v>-1.6762087986875167E-2</v>
      </c>
    </row>
    <row r="291" spans="1:30" ht="16.5" customHeight="1" x14ac:dyDescent="0.45">
      <c r="A291" s="6" t="s">
        <v>264</v>
      </c>
      <c r="B291" s="7">
        <v>3086.91</v>
      </c>
      <c r="C291" s="8">
        <f>IFERROR(B291/B444, "NA")</f>
        <v>5.8502359607110425E-3</v>
      </c>
      <c r="D291" s="9"/>
      <c r="E291" s="7">
        <v>6916.45</v>
      </c>
      <c r="F291" s="8">
        <f>IFERROR(E291/E444, "NA")</f>
        <v>1.2313777362233623E-2</v>
      </c>
      <c r="G291" s="9"/>
      <c r="H291" s="10">
        <f t="shared" si="72"/>
        <v>3829.54</v>
      </c>
      <c r="I291" s="8">
        <f>IFERROR(H291/H444, "NA")</f>
        <v>-0.11254012111124247</v>
      </c>
      <c r="J291" s="9"/>
      <c r="K291" s="7">
        <v>3480.73</v>
      </c>
      <c r="L291" s="8">
        <f>IFERROR(K291/K444, "NA")</f>
        <v>7.0544583602059263E-3</v>
      </c>
      <c r="M291" s="9"/>
      <c r="N291" s="10">
        <f t="shared" si="73"/>
        <v>393.82000000000016</v>
      </c>
      <c r="O291" s="8">
        <f>IFERROR(N291/N444, "NA")</f>
        <v>1.1499367829684842E-2</v>
      </c>
      <c r="P291" s="9"/>
      <c r="Q291" s="7">
        <v>29091.79</v>
      </c>
      <c r="R291" s="8">
        <f>IFERROR(Q291/Q444, "NA")</f>
        <v>7.0857499230723439E-3</v>
      </c>
      <c r="S291" s="9"/>
      <c r="T291" s="7">
        <v>51507.130000000005</v>
      </c>
      <c r="U291" s="8">
        <f>IFERROR(T291/T444, "NA")</f>
        <v>1.2321152076744595E-2</v>
      </c>
      <c r="V291" s="9"/>
      <c r="W291" s="10">
        <f t="shared" si="74"/>
        <v>22415.340000000004</v>
      </c>
      <c r="X291" s="8">
        <f>IFERROR(W291/W444, "NA")</f>
        <v>-0.3000429678035953</v>
      </c>
      <c r="Y291" s="9"/>
      <c r="Z291" s="7">
        <v>15730.85</v>
      </c>
      <c r="AA291" s="8">
        <f>IFERROR(Z291/Z444, "NA")</f>
        <v>4.2846968662458964E-3</v>
      </c>
      <c r="AB291" s="9"/>
      <c r="AC291" s="10">
        <f t="shared" si="75"/>
        <v>-13360.94</v>
      </c>
      <c r="AD291" s="8">
        <f>IFERROR(AC291/AC444, "NA")</f>
        <v>-3.0766274807277044E-2</v>
      </c>
    </row>
    <row r="292" spans="1:30" ht="16.5" customHeight="1" x14ac:dyDescent="0.45">
      <c r="A292" s="6" t="s">
        <v>265</v>
      </c>
      <c r="B292" s="7">
        <v>500</v>
      </c>
      <c r="C292" s="8">
        <f>IFERROR(B292/B444, "NA")</f>
        <v>9.4758771080320488E-4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-500</v>
      </c>
      <c r="I292" s="8">
        <f>IFERROR(H292/H444, "NA")</f>
        <v>1.4693686593068942E-2</v>
      </c>
      <c r="J292" s="9"/>
      <c r="K292" s="7">
        <v>996.35</v>
      </c>
      <c r="L292" s="8">
        <f>IFERROR(K292/K444, "NA")</f>
        <v>2.0193205411483152E-3</v>
      </c>
      <c r="M292" s="9"/>
      <c r="N292" s="10">
        <f t="shared" si="73"/>
        <v>496.35</v>
      </c>
      <c r="O292" s="8">
        <f>IFERROR(N292/N444, "NA")</f>
        <v>1.4493197964207174E-2</v>
      </c>
      <c r="P292" s="9"/>
      <c r="Q292" s="7">
        <v>5823.57</v>
      </c>
      <c r="R292" s="8">
        <f>IFERROR(Q292/Q444, "NA")</f>
        <v>1.418419446844158E-3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-5823.57</v>
      </c>
      <c r="X292" s="8">
        <f>IFERROR(W292/W444, "NA")</f>
        <v>7.7952028655910777E-2</v>
      </c>
      <c r="Y292" s="9"/>
      <c r="Z292" s="7">
        <v>4354.6000000000004</v>
      </c>
      <c r="AA292" s="8">
        <f>IFERROR(Z292/Z444, "NA")</f>
        <v>1.1860860013129858E-3</v>
      </c>
      <c r="AB292" s="9"/>
      <c r="AC292" s="10">
        <f t="shared" si="75"/>
        <v>-1468.9699999999993</v>
      </c>
      <c r="AD292" s="8">
        <f>IFERROR(AC292/AC444, "NA")</f>
        <v>-3.382601426519821E-3</v>
      </c>
    </row>
    <row r="293" spans="1:30" ht="16.5" customHeight="1" x14ac:dyDescent="0.45">
      <c r="A293" s="6" t="s">
        <v>266</v>
      </c>
      <c r="B293" s="7">
        <v>1119.17</v>
      </c>
      <c r="C293" s="8">
        <f>IFERROR(B293/B444, "NA")</f>
        <v>2.1210234765992458E-3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-1119.17</v>
      </c>
      <c r="I293" s="8">
        <f>IFERROR(H293/H444, "NA")</f>
        <v>3.2889466448729934E-2</v>
      </c>
      <c r="J293" s="9"/>
      <c r="K293" s="7">
        <v>3469.92</v>
      </c>
      <c r="L293" s="8">
        <f>IFERROR(K293/K444, "NA")</f>
        <v>7.0325495379548967E-3</v>
      </c>
      <c r="M293" s="9"/>
      <c r="N293" s="10">
        <f t="shared" si="73"/>
        <v>2350.75</v>
      </c>
      <c r="O293" s="8">
        <f>IFERROR(N293/N444, "NA")</f>
        <v>6.8640848422202097E-2</v>
      </c>
      <c r="P293" s="9"/>
      <c r="Q293" s="7">
        <v>4423.53</v>
      </c>
      <c r="R293" s="8">
        <f>IFERROR(Q293/Q444, "NA")</f>
        <v>1.077418314830686E-3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-4423.53</v>
      </c>
      <c r="X293" s="8">
        <f>IFERROR(W293/W444, "NA")</f>
        <v>5.9211641196084366E-2</v>
      </c>
      <c r="Y293" s="9"/>
      <c r="Z293" s="7">
        <v>6707.4299999999994</v>
      </c>
      <c r="AA293" s="8">
        <f>IFERROR(Z293/Z444, "NA")</f>
        <v>1.8269390593365082E-3</v>
      </c>
      <c r="AB293" s="9"/>
      <c r="AC293" s="10">
        <f t="shared" si="75"/>
        <v>2283.8999999999996</v>
      </c>
      <c r="AD293" s="8">
        <f>IFERROR(AC293/AC444, "NA")</f>
        <v>5.2591430716955566E-3</v>
      </c>
    </row>
    <row r="294" spans="1:30" ht="16.5" customHeight="1" x14ac:dyDescent="0.45">
      <c r="A294" s="6" t="s">
        <v>267</v>
      </c>
      <c r="B294" s="7">
        <v>1703.18</v>
      </c>
      <c r="C294" s="8">
        <f>IFERROR(B294/B444, "NA")</f>
        <v>3.227824874571605E-3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-1703.18</v>
      </c>
      <c r="I294" s="8">
        <f>IFERROR(H294/H444, "NA")</f>
        <v>5.0051986263166322E-2</v>
      </c>
      <c r="J294" s="9"/>
      <c r="K294" s="7">
        <v>-6415.27</v>
      </c>
      <c r="L294" s="8">
        <f>IFERROR(K294/K444, "NA")</f>
        <v>-1.300194358208717E-2</v>
      </c>
      <c r="M294" s="9"/>
      <c r="N294" s="10">
        <f t="shared" si="73"/>
        <v>-8118.4500000000007</v>
      </c>
      <c r="O294" s="8">
        <f>IFERROR(N294/N444, "NA")</f>
        <v>-0.23705510831574039</v>
      </c>
      <c r="P294" s="9"/>
      <c r="Q294" s="7">
        <v>12832.55</v>
      </c>
      <c r="R294" s="8">
        <f>IFERROR(Q294/Q444, "NA")</f>
        <v>3.1255636100536266E-3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-12832.55</v>
      </c>
      <c r="X294" s="8">
        <f>IFERROR(W294/W444, "NA")</f>
        <v>0.17177149159852254</v>
      </c>
      <c r="Y294" s="9"/>
      <c r="Z294" s="7">
        <v>1193.81</v>
      </c>
      <c r="AA294" s="8">
        <f>IFERROR(Z294/Z444, "NA")</f>
        <v>3.2516449943219939E-4</v>
      </c>
      <c r="AB294" s="9"/>
      <c r="AC294" s="10">
        <f t="shared" si="75"/>
        <v>-11638.74</v>
      </c>
      <c r="AD294" s="8">
        <f>IFERROR(AC294/AC444, "NA")</f>
        <v>-2.6800559934439312E-2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12970.090000000002</v>
      </c>
      <c r="C295" s="15">
        <f>IFERROR(B295/B444, "NA")</f>
        <v>2.4580595784023083E-2</v>
      </c>
      <c r="D295" s="2"/>
      <c r="E295" s="14">
        <f>IFERROR(E286+E287+E288+E289+E290+E291+E292+E293+E294, "NA")</f>
        <v>9619.4500000000007</v>
      </c>
      <c r="F295" s="15">
        <f>IFERROR(E295/E444, "NA")</f>
        <v>1.712609295912473E-2</v>
      </c>
      <c r="G295" s="2"/>
      <c r="H295" s="14">
        <f t="shared" si="72"/>
        <v>-3350.6400000000012</v>
      </c>
      <c r="I295" s="15">
        <f>IFERROR(H295/H444, "NA")</f>
        <v>9.8466508092401067E-2</v>
      </c>
      <c r="J295" s="2"/>
      <c r="K295" s="14">
        <f>IFERROR(K286+K287+K288+K289+K290+K291+K292+K293+K294, "NA")</f>
        <v>5210.26</v>
      </c>
      <c r="L295" s="15">
        <f>IFERROR(K295/K444, "NA")</f>
        <v>1.0559728050106309E-2</v>
      </c>
      <c r="M295" s="2"/>
      <c r="N295" s="14">
        <f t="shared" si="73"/>
        <v>-7759.8300000000017</v>
      </c>
      <c r="O295" s="15">
        <f>IFERROR(N295/N444, "NA")</f>
        <v>-0.226583564739788</v>
      </c>
      <c r="P295" s="2"/>
      <c r="Q295" s="14">
        <f>IFERROR(Q286+Q287+Q288+Q289+Q290+Q291+Q292+Q293+Q294, "NA")</f>
        <v>95897.810000000012</v>
      </c>
      <c r="R295" s="15">
        <f>IFERROR(Q295/Q444, "NA")</f>
        <v>2.3357376766101581E-2</v>
      </c>
      <c r="S295" s="2"/>
      <c r="T295" s="14">
        <f>IFERROR(T286+T287+T288+T289+T290+T291+T292+T293+T294, "NA")</f>
        <v>70428.13</v>
      </c>
      <c r="U295" s="15">
        <f>IFERROR(T295/T444, "NA")</f>
        <v>1.6847292796370875E-2</v>
      </c>
      <c r="V295" s="2"/>
      <c r="W295" s="14">
        <f t="shared" si="74"/>
        <v>-25469.680000000008</v>
      </c>
      <c r="X295" s="15">
        <f>IFERROR(W295/W444, "NA")</f>
        <v>0.34092716756506375</v>
      </c>
      <c r="Y295" s="2"/>
      <c r="Z295" s="14">
        <f>IFERROR(Z286+Z287+Z288+Z289+Z290+Z291+Z292+Z293+Z294, "NA")</f>
        <v>62500.38</v>
      </c>
      <c r="AA295" s="15">
        <f>IFERROR(Z295/Z444, "NA")</f>
        <v>1.7023567215069604E-2</v>
      </c>
      <c r="AB295" s="2"/>
      <c r="AC295" s="14">
        <f t="shared" si="75"/>
        <v>-33397.430000000015</v>
      </c>
      <c r="AD295" s="15">
        <f>IFERROR(AC295/AC444, "NA")</f>
        <v>-7.6904357720100458E-2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7301.9000000000005</v>
      </c>
      <c r="F297" s="8">
        <f>IFERROR(E297/E444, "NA")</f>
        <v>1.3000017483144345E-2</v>
      </c>
      <c r="G297" s="9"/>
      <c r="H297" s="10">
        <f t="shared" ref="H297:H325" si="76">IFERROR(-(B297-E297), "NA")</f>
        <v>7301.9000000000005</v>
      </c>
      <c r="I297" s="8">
        <f>IFERROR(H297/H444, "NA")</f>
        <v>-0.21458366026786022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54344.97</v>
      </c>
      <c r="U297" s="8">
        <f>IFERROR(T297/T444, "NA")</f>
        <v>1.2999999028797036E-2</v>
      </c>
      <c r="V297" s="9"/>
      <c r="W297" s="10">
        <f t="shared" ref="W297:W325" si="78">IFERROR(-(Q297-T297), "NA")</f>
        <v>54344.97</v>
      </c>
      <c r="X297" s="8">
        <f>IFERROR(W297/W444, "NA")</f>
        <v>-0.72744049762338425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3723.2899999999995</v>
      </c>
      <c r="C299" s="8">
        <f>IFERROR(B299/B444, "NA")</f>
        <v>7.0562876955129281E-3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-3723.2899999999995</v>
      </c>
      <c r="I299" s="8">
        <f>IFERROR(H299/H444, "NA")</f>
        <v>0.1094177127102153</v>
      </c>
      <c r="J299" s="9"/>
      <c r="K299" s="7">
        <v>1943.96</v>
      </c>
      <c r="L299" s="8">
        <f>IFERROR(K299/K444, "NA")</f>
        <v>3.9398588439511001E-3</v>
      </c>
      <c r="M299" s="9"/>
      <c r="N299" s="10">
        <f t="shared" si="77"/>
        <v>-1779.3299999999995</v>
      </c>
      <c r="O299" s="8">
        <f>IFERROR(N299/N444, "NA")</f>
        <v>-5.1955640039594526E-2</v>
      </c>
      <c r="P299" s="9"/>
      <c r="Q299" s="7">
        <v>17445.55</v>
      </c>
      <c r="R299" s="8">
        <f>IFERROR(Q299/Q444, "NA")</f>
        <v>4.2491302381343571E-3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-17445.55</v>
      </c>
      <c r="X299" s="8">
        <f>IFERROR(W299/W444, "NA")</f>
        <v>0.23351930405543753</v>
      </c>
      <c r="Y299" s="9"/>
      <c r="Z299" s="7">
        <v>9509.76</v>
      </c>
      <c r="AA299" s="8">
        <f>IFERROR(Z299/Z444, "NA")</f>
        <v>2.5902248683796858E-3</v>
      </c>
      <c r="AB299" s="9"/>
      <c r="AC299" s="10">
        <f t="shared" si="79"/>
        <v>-7935.7899999999991</v>
      </c>
      <c r="AD299" s="8">
        <f>IFERROR(AC299/AC444, "NA")</f>
        <v>-1.8273766363208058E-2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369.36</v>
      </c>
      <c r="C304" s="8">
        <f>IFERROR(B304/B444, "NA")</f>
        <v>7.0000199372454352E-4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-369.36</v>
      </c>
      <c r="I304" s="8">
        <f>IFERROR(H304/H444, "NA")</f>
        <v>1.0854520160031888E-2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-369.36</v>
      </c>
      <c r="O304" s="8">
        <f>IFERROR(N304/N444, "NA")</f>
        <v>-1.0785146771551448E-2</v>
      </c>
      <c r="P304" s="9"/>
      <c r="Q304" s="7">
        <v>834.62000000000012</v>
      </c>
      <c r="R304" s="8">
        <f>IFERROR(Q304/Q444, "NA")</f>
        <v>2.0328445244499014E-4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-834.62000000000012</v>
      </c>
      <c r="X304" s="8">
        <f>IFERROR(W304/W444, "NA")</f>
        <v>1.117189664703889E-2</v>
      </c>
      <c r="Y304" s="9"/>
      <c r="Z304" s="7">
        <v>451.25</v>
      </c>
      <c r="AA304" s="8">
        <f>IFERROR(Z304/Z444, "NA")</f>
        <v>1.2290940800360189E-4</v>
      </c>
      <c r="AB304" s="9"/>
      <c r="AC304" s="10">
        <f t="shared" si="79"/>
        <v>-383.37000000000012</v>
      </c>
      <c r="AD304" s="8">
        <f>IFERROR(AC304/AC444, "NA")</f>
        <v>-8.8278719707339482E-4</v>
      </c>
    </row>
    <row r="305" spans="1:30" ht="16.5" customHeight="1" x14ac:dyDescent="0.45">
      <c r="A305" s="6" t="s">
        <v>277</v>
      </c>
      <c r="B305" s="7">
        <v>215.73000000000002</v>
      </c>
      <c r="C305" s="8">
        <f>IFERROR(B305/B444, "NA")</f>
        <v>4.0884619370315083E-4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-215.73000000000002</v>
      </c>
      <c r="I305" s="8">
        <f>IFERROR(H305/H444, "NA")</f>
        <v>6.3397380174455261E-3</v>
      </c>
      <c r="J305" s="9"/>
      <c r="K305" s="7">
        <v>43.33</v>
      </c>
      <c r="L305" s="8">
        <f>IFERROR(K305/K444, "NA")</f>
        <v>8.7817693629704905E-5</v>
      </c>
      <c r="M305" s="9"/>
      <c r="N305" s="10">
        <f t="shared" si="77"/>
        <v>-172.40000000000003</v>
      </c>
      <c r="O305" s="8">
        <f>IFERROR(N305/N444, "NA")</f>
        <v>-5.0340028790758886E-3</v>
      </c>
      <c r="P305" s="9"/>
      <c r="Q305" s="7">
        <v>325.27</v>
      </c>
      <c r="R305" s="8">
        <f>IFERROR(Q305/Q444, "NA")</f>
        <v>7.9224478022072242E-5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-325.27</v>
      </c>
      <c r="X305" s="8">
        <f>IFERROR(W305/W444, "NA")</f>
        <v>4.3539369082724339E-3</v>
      </c>
      <c r="Y305" s="9"/>
      <c r="Z305" s="7">
        <v>392.87</v>
      </c>
      <c r="AA305" s="8">
        <f>IFERROR(Z305/Z444, "NA")</f>
        <v>1.0700813101911375E-4</v>
      </c>
      <c r="AB305" s="9"/>
      <c r="AC305" s="10">
        <f t="shared" si="79"/>
        <v>67.600000000000023</v>
      </c>
      <c r="AD305" s="8">
        <f>IFERROR(AC305/AC444, "NA")</f>
        <v>1.5566271362433547E-4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696.96999999999991</v>
      </c>
      <c r="C310" s="8">
        <f>IFERROR(B310/B444, "NA")</f>
        <v>1.3208804135970192E-3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-696.96999999999991</v>
      </c>
      <c r="I310" s="8">
        <f>IFERROR(H310/H444, "NA")</f>
        <v>2.0482117489542519E-2</v>
      </c>
      <c r="J310" s="9"/>
      <c r="K310" s="7">
        <v>135.15</v>
      </c>
      <c r="L310" s="8">
        <f>IFERROR(K310/K444, "NA")</f>
        <v>2.739109460894212E-4</v>
      </c>
      <c r="M310" s="9"/>
      <c r="N310" s="10">
        <f t="shared" si="77"/>
        <v>-561.81999999999994</v>
      </c>
      <c r="O310" s="8">
        <f>IFERROR(N310/N444, "NA")</f>
        <v>-1.6404892677044168E-2</v>
      </c>
      <c r="P310" s="9"/>
      <c r="Q310" s="7">
        <v>2675.1400000000003</v>
      </c>
      <c r="R310" s="8">
        <f>IFERROR(Q310/Q444, "NA")</f>
        <v>6.5157121817556603E-4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-2675.1400000000003</v>
      </c>
      <c r="X310" s="8">
        <f>IFERROR(W310/W444, "NA")</f>
        <v>3.5808376981571993E-2</v>
      </c>
      <c r="Y310" s="9"/>
      <c r="Z310" s="7">
        <v>724.37</v>
      </c>
      <c r="AA310" s="8">
        <f>IFERROR(Z310/Z444, "NA")</f>
        <v>1.9730058254973761E-4</v>
      </c>
      <c r="AB310" s="9"/>
      <c r="AC310" s="10">
        <f t="shared" si="79"/>
        <v>-1950.7700000000004</v>
      </c>
      <c r="AD310" s="8">
        <f>IFERROR(AC310/AC444, "NA")</f>
        <v>-4.4920436665228528E-3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4.079231278364638E-5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2.2418217277875834E-3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-3.8565667570715522E-4</v>
      </c>
    </row>
    <row r="312" spans="1:30" ht="16.5" customHeight="1" x14ac:dyDescent="0.45">
      <c r="A312" s="6" t="s">
        <v>284</v>
      </c>
      <c r="B312" s="7">
        <v>2442.37</v>
      </c>
      <c r="C312" s="8">
        <f>IFERROR(B312/B444, "NA")</f>
        <v>4.6287195944688464E-3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-2442.37</v>
      </c>
      <c r="I312" s="8">
        <f>IFERROR(H312/H444, "NA")</f>
        <v>7.1774838648627576E-2</v>
      </c>
      <c r="J312" s="9"/>
      <c r="K312" s="7">
        <v>304.60000000000002</v>
      </c>
      <c r="L312" s="8">
        <f>IFERROR(K312/K444, "NA")</f>
        <v>6.1733832170801108E-4</v>
      </c>
      <c r="M312" s="9"/>
      <c r="N312" s="10">
        <f t="shared" si="77"/>
        <v>-2137.77</v>
      </c>
      <c r="O312" s="8">
        <f>IFERROR(N312/N444, "NA")</f>
        <v>-6.2421927696067629E-2</v>
      </c>
      <c r="P312" s="9"/>
      <c r="Q312" s="7">
        <v>10208.89</v>
      </c>
      <c r="R312" s="8">
        <f>IFERROR(Q312/Q444, "NA")</f>
        <v>2.4865311323969412E-3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-10208.89</v>
      </c>
      <c r="X312" s="8">
        <f>IFERROR(W312/W444, "NA")</f>
        <v>0.13665220574751244</v>
      </c>
      <c r="Y312" s="9"/>
      <c r="Z312" s="7">
        <v>2846.1</v>
      </c>
      <c r="AA312" s="8">
        <f>IFERROR(Z312/Z444, "NA")</f>
        <v>7.7520768115025228E-4</v>
      </c>
      <c r="AB312" s="9"/>
      <c r="AC312" s="10">
        <f t="shared" si="79"/>
        <v>-7362.7899999999991</v>
      </c>
      <c r="AD312" s="8">
        <f>IFERROR(AC312/AC444, "NA")</f>
        <v>-1.695431762198403E-2</v>
      </c>
    </row>
    <row r="313" spans="1:30" ht="16.5" customHeight="1" x14ac:dyDescent="0.45">
      <c r="A313" s="6" t="s">
        <v>285</v>
      </c>
      <c r="B313" s="7">
        <v>275.85000000000002</v>
      </c>
      <c r="C313" s="8">
        <f>IFERROR(B313/B444, "NA")</f>
        <v>5.2278414005012817E-4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-275.85000000000002</v>
      </c>
      <c r="I313" s="8">
        <f>IFERROR(H313/H444, "NA")</f>
        <v>8.106506893396136E-3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-275.85000000000002</v>
      </c>
      <c r="O313" s="8">
        <f>IFERROR(N313/N444, "NA")</f>
        <v>-8.0546966020480486E-3</v>
      </c>
      <c r="P313" s="9"/>
      <c r="Q313" s="7">
        <v>2278.25</v>
      </c>
      <c r="R313" s="8">
        <f>IFERROR(Q313/Q444, "NA")</f>
        <v>5.5490259493278231E-4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-2278.25</v>
      </c>
      <c r="X313" s="8">
        <f>IFERROR(W313/W444, "NA")</f>
        <v>3.0495762785598655E-2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-2278.25</v>
      </c>
      <c r="AD313" s="8">
        <f>IFERROR(AC313/AC444, "NA")</f>
        <v>-5.2461328005124581E-3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1783.0500000000002</v>
      </c>
      <c r="C315" s="8">
        <f>IFERROR(B315/B444, "NA")</f>
        <v>3.3791925354953092E-3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-1783.0500000000002</v>
      </c>
      <c r="I315" s="8">
        <f>IFERROR(H315/H444, "NA")</f>
        <v>5.239915575954316E-2</v>
      </c>
      <c r="J315" s="9"/>
      <c r="K315" s="7">
        <v>605.45000000000005</v>
      </c>
      <c r="L315" s="8">
        <f>IFERROR(K315/K444, "NA")</f>
        <v>1.2270764506832413E-3</v>
      </c>
      <c r="M315" s="9"/>
      <c r="N315" s="10">
        <f t="shared" si="77"/>
        <v>-1177.6000000000001</v>
      </c>
      <c r="O315" s="8">
        <f>IFERROR(N315/N444, "NA")</f>
        <v>-3.4385393215775904E-2</v>
      </c>
      <c r="P315" s="9"/>
      <c r="Q315" s="7">
        <v>11480.85</v>
      </c>
      <c r="R315" s="8">
        <f>IFERROR(Q315/Q444, "NA")</f>
        <v>2.7963364235856617E-3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-11480.85</v>
      </c>
      <c r="X315" s="8">
        <f>IFERROR(W315/W444, "NA")</f>
        <v>0.15367816445826415</v>
      </c>
      <c r="Y315" s="9"/>
      <c r="Z315" s="7">
        <v>4538.09</v>
      </c>
      <c r="AA315" s="8">
        <f>IFERROR(Z315/Z444, "NA")</f>
        <v>1.2360641670184282E-3</v>
      </c>
      <c r="AB315" s="9"/>
      <c r="AC315" s="10">
        <f t="shared" si="79"/>
        <v>-6942.76</v>
      </c>
      <c r="AD315" s="8">
        <f>IFERROR(AC315/AC444, "NA")</f>
        <v>-1.5987113337906672E-2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17.12</v>
      </c>
      <c r="L316" s="8">
        <f>IFERROR(K316/K444, "NA")</f>
        <v>3.4697413222722089E-5</v>
      </c>
      <c r="M316" s="9"/>
      <c r="N316" s="10">
        <f t="shared" si="77"/>
        <v>17.12</v>
      </c>
      <c r="O316" s="8">
        <f>IFERROR(N316/N444, "NA")</f>
        <v>4.9989634158804637E-4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4.663067180103412E-6</v>
      </c>
      <c r="AB316" s="9"/>
      <c r="AC316" s="10">
        <f t="shared" si="79"/>
        <v>17.12</v>
      </c>
      <c r="AD316" s="8">
        <f>IFERROR(AC316/AC444, "NA")</f>
        <v>3.9422273036222229E-5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2.5011577626650591E-3</v>
      </c>
      <c r="D318" s="9"/>
      <c r="E318" s="7">
        <v>3210</v>
      </c>
      <c r="F318" s="8">
        <f>IFERROR(E318/E444, "NA")</f>
        <v>5.7149585889827775E-3</v>
      </c>
      <c r="G318" s="9"/>
      <c r="H318" s="10">
        <f t="shared" si="76"/>
        <v>1890.25</v>
      </c>
      <c r="I318" s="8">
        <f>IFERROR(H318/H444, "NA")</f>
        <v>-5.5549482165097135E-2</v>
      </c>
      <c r="J318" s="9"/>
      <c r="K318" s="7">
        <v>1319.75</v>
      </c>
      <c r="L318" s="8">
        <f>IFERROR(K318/K444, "NA")</f>
        <v>2.6747611624233338E-3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9238.25</v>
      </c>
      <c r="R318" s="8">
        <f>IFERROR(Q318/Q444, "NA")</f>
        <v>2.2501169308187319E-3</v>
      </c>
      <c r="S318" s="9"/>
      <c r="T318" s="7">
        <v>22470</v>
      </c>
      <c r="U318" s="8">
        <f>IFERROR(T318/T444, "NA")</f>
        <v>5.3751060710323217E-3</v>
      </c>
      <c r="V318" s="9"/>
      <c r="W318" s="10">
        <f t="shared" si="78"/>
        <v>13231.75</v>
      </c>
      <c r="X318" s="8">
        <f>IFERROR(W318/W444, "NA")</f>
        <v>-0.17711502655035444</v>
      </c>
      <c r="Y318" s="9"/>
      <c r="Z318" s="7">
        <v>9238.25</v>
      </c>
      <c r="AA318" s="8">
        <f>IFERROR(Z318/Z444, "NA")</f>
        <v>2.5162722182587817E-3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1235.44</v>
      </c>
      <c r="C319" s="8">
        <f>IFERROR(B319/B444, "NA")</f>
        <v>2.3413755228694228E-3</v>
      </c>
      <c r="D319" s="9"/>
      <c r="E319" s="7">
        <v>1084</v>
      </c>
      <c r="F319" s="8">
        <f>IFERROR(E319/E444, "NA")</f>
        <v>1.9299112493636546E-3</v>
      </c>
      <c r="G319" s="9"/>
      <c r="H319" s="10">
        <f t="shared" si="76"/>
        <v>-151.44000000000005</v>
      </c>
      <c r="I319" s="8">
        <f>IFERROR(H319/H444, "NA")</f>
        <v>4.4504237953087228E-3</v>
      </c>
      <c r="J319" s="9"/>
      <c r="K319" s="7">
        <v>1038.01</v>
      </c>
      <c r="L319" s="8">
        <f>IFERROR(K319/K444, "NA")</f>
        <v>2.1037536156143549E-3</v>
      </c>
      <c r="M319" s="9"/>
      <c r="N319" s="10">
        <f t="shared" si="77"/>
        <v>-197.43000000000006</v>
      </c>
      <c r="O319" s="8">
        <f>IFERROR(N319/N444, "NA")</f>
        <v>-5.7648676822271046E-3</v>
      </c>
      <c r="P319" s="9"/>
      <c r="Q319" s="7">
        <v>8448.91</v>
      </c>
      <c r="R319" s="8">
        <f>IFERROR(Q319/Q444, "NA")</f>
        <v>2.0578611141681261E-3</v>
      </c>
      <c r="S319" s="9"/>
      <c r="T319" s="7">
        <v>7588</v>
      </c>
      <c r="U319" s="8">
        <f>IFERROR(T319/T444, "NA")</f>
        <v>1.8151448538937809E-3</v>
      </c>
      <c r="V319" s="9"/>
      <c r="W319" s="10">
        <f t="shared" si="78"/>
        <v>-860.90999999999985</v>
      </c>
      <c r="X319" s="8">
        <f>IFERROR(W319/W444, "NA")</f>
        <v>1.1523804297048055E-2</v>
      </c>
      <c r="Y319" s="9"/>
      <c r="Z319" s="7">
        <v>7319.7</v>
      </c>
      <c r="AA319" s="8">
        <f>IFERROR(Z319/Z444, "NA")</f>
        <v>1.993706357371667E-3</v>
      </c>
      <c r="AB319" s="9"/>
      <c r="AC319" s="10">
        <f t="shared" si="79"/>
        <v>-1129.21</v>
      </c>
      <c r="AD319" s="8">
        <f>IFERROR(AC319/AC444, "NA")</f>
        <v>-2.6002351013570384E-3</v>
      </c>
    </row>
    <row r="320" spans="1:30" ht="16.5" customHeight="1" x14ac:dyDescent="0.45">
      <c r="A320" s="6" t="s">
        <v>292</v>
      </c>
      <c r="B320" s="7">
        <v>5450.5</v>
      </c>
      <c r="C320" s="8">
        <f>IFERROR(B320/B444, "NA")</f>
        <v>1.0329653635465737E-2</v>
      </c>
      <c r="D320" s="9"/>
      <c r="E320" s="7">
        <v>4243</v>
      </c>
      <c r="F320" s="8">
        <f>IFERROR(E320/E444, "NA")</f>
        <v>7.5540714308579213E-3</v>
      </c>
      <c r="G320" s="9"/>
      <c r="H320" s="10">
        <f t="shared" si="76"/>
        <v>-1207.5</v>
      </c>
      <c r="I320" s="8">
        <f>IFERROR(H320/H444, "NA")</f>
        <v>3.5485253122261494E-2</v>
      </c>
      <c r="J320" s="9"/>
      <c r="K320" s="7">
        <v>3408.51</v>
      </c>
      <c r="L320" s="8">
        <f>IFERROR(K320/K444, "NA")</f>
        <v>6.9080887817628781E-3</v>
      </c>
      <c r="M320" s="9"/>
      <c r="N320" s="10">
        <f t="shared" si="77"/>
        <v>-2041.9899999999998</v>
      </c>
      <c r="O320" s="8">
        <f>IFERROR(N320/N444, "NA")</f>
        <v>-5.9625194542019547E-2</v>
      </c>
      <c r="P320" s="9"/>
      <c r="Q320" s="7">
        <v>39717.71</v>
      </c>
      <c r="R320" s="8">
        <f>IFERROR(Q320/Q444, "NA")</f>
        <v>9.6738550834138994E-3</v>
      </c>
      <c r="S320" s="9"/>
      <c r="T320" s="7">
        <v>29701</v>
      </c>
      <c r="U320" s="8">
        <f>IFERROR(T320/T444, "NA")</f>
        <v>7.1048520434237195E-3</v>
      </c>
      <c r="V320" s="9"/>
      <c r="W320" s="10">
        <f t="shared" si="78"/>
        <v>-10016.709999999999</v>
      </c>
      <c r="X320" s="8">
        <f>IFERROR(W320/W444, "NA")</f>
        <v>0.13407975948738454</v>
      </c>
      <c r="Y320" s="9"/>
      <c r="Z320" s="7">
        <v>28520.35</v>
      </c>
      <c r="AA320" s="8">
        <f>IFERROR(Z320/Z444, "NA")</f>
        <v>7.7682422926438274E-3</v>
      </c>
      <c r="AB320" s="9"/>
      <c r="AC320" s="10">
        <f t="shared" si="79"/>
        <v>-11197.36</v>
      </c>
      <c r="AD320" s="8">
        <f>IFERROR(AC320/AC444, "NA")</f>
        <v>-2.5784192944209888E-2</v>
      </c>
    </row>
    <row r="321" spans="1:30" ht="16.5" customHeight="1" x14ac:dyDescent="0.45">
      <c r="A321" s="6" t="s">
        <v>293</v>
      </c>
      <c r="B321" s="7">
        <v>7868.88</v>
      </c>
      <c r="C321" s="8">
        <f>IFERROR(B321/B444, "NA")</f>
        <v>1.4912907971570246E-2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-7868.88</v>
      </c>
      <c r="I321" s="8">
        <f>IFERROR(H321/H444, "NA")</f>
        <v>0.23124571311693667</v>
      </c>
      <c r="J321" s="9"/>
      <c r="K321" s="7">
        <v>13196.26</v>
      </c>
      <c r="L321" s="8">
        <f>IFERROR(K321/K444, "NA")</f>
        <v>2.6745098493836366E-2</v>
      </c>
      <c r="M321" s="9"/>
      <c r="N321" s="10">
        <f t="shared" si="77"/>
        <v>5327.38</v>
      </c>
      <c r="O321" s="8">
        <f>IFERROR(N321/N444, "NA")</f>
        <v>0.15555711286503074</v>
      </c>
      <c r="P321" s="9"/>
      <c r="Q321" s="7">
        <v>70590.13</v>
      </c>
      <c r="R321" s="8">
        <f>IFERROR(Q321/Q444, "NA")</f>
        <v>1.7193304647708744E-2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-70590.13</v>
      </c>
      <c r="X321" s="8">
        <f>IFERROR(W321/W444, "NA")</f>
        <v>0.94489185097534123</v>
      </c>
      <c r="Y321" s="9"/>
      <c r="Z321" s="7">
        <v>75111.23</v>
      </c>
      <c r="AA321" s="8">
        <f>IFERROR(Z321/Z444, "NA")</f>
        <v>2.0458452772791982E-2</v>
      </c>
      <c r="AB321" s="9"/>
      <c r="AC321" s="10">
        <f t="shared" si="79"/>
        <v>4521.0999999999913</v>
      </c>
      <c r="AD321" s="8">
        <f>IFERROR(AC321/AC444, "NA")</f>
        <v>1.0410749919629904E-2</v>
      </c>
    </row>
    <row r="322" spans="1:30" ht="16.5" customHeight="1" x14ac:dyDescent="0.45">
      <c r="A322" s="6" t="s">
        <v>294</v>
      </c>
      <c r="B322" s="7">
        <v>2377.92</v>
      </c>
      <c r="C322" s="8">
        <f>IFERROR(B322/B444, "NA")</f>
        <v>4.506575538546314E-3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-2377.92</v>
      </c>
      <c r="I322" s="8">
        <f>IFERROR(H322/H444, "NA")</f>
        <v>6.9880822446780996E-2</v>
      </c>
      <c r="J322" s="9"/>
      <c r="K322" s="7">
        <v>1695.66</v>
      </c>
      <c r="L322" s="8">
        <f>IFERROR(K322/K444, "NA")</f>
        <v>3.4366247491379055E-3</v>
      </c>
      <c r="M322" s="9"/>
      <c r="N322" s="10">
        <f t="shared" si="77"/>
        <v>-682.26</v>
      </c>
      <c r="O322" s="8">
        <f>IFERROR(N322/N444, "NA")</f>
        <v>-1.9921686799758209E-2</v>
      </c>
      <c r="P322" s="9"/>
      <c r="Q322" s="7">
        <v>12753.829999999998</v>
      </c>
      <c r="R322" s="8">
        <f>IFERROR(Q322/Q444, "NA")</f>
        <v>3.1063901513580885E-3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-12753.829999999998</v>
      </c>
      <c r="X322" s="8">
        <f>IFERROR(W322/W444, "NA")</f>
        <v>0.17071777648978453</v>
      </c>
      <c r="Y322" s="9"/>
      <c r="Z322" s="7">
        <v>9345.1200000000008</v>
      </c>
      <c r="AA322" s="8">
        <f>IFERROR(Z322/Z444, "NA")</f>
        <v>2.5453809793299061E-3</v>
      </c>
      <c r="AB322" s="9"/>
      <c r="AC322" s="10">
        <f t="shared" si="79"/>
        <v>-3408.7099999999973</v>
      </c>
      <c r="AD322" s="8">
        <f>IFERROR(AC322/AC444, "NA")</f>
        <v>-7.849246280449822E-3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-8.5226268729810594E-6</v>
      </c>
      <c r="AB323" s="9"/>
      <c r="AC323" s="10">
        <f t="shared" si="79"/>
        <v>-31.29</v>
      </c>
      <c r="AD323" s="8">
        <f>IFERROR(AC323/AC444, "NA")</f>
        <v>-7.2051572622861758E-5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27759.11</v>
      </c>
      <c r="C324" s="15">
        <f>IFERROR(B324/B444, "NA")</f>
        <v>5.2608382997668707E-2</v>
      </c>
      <c r="D324" s="2"/>
      <c r="E324" s="14">
        <f>IFERROR(E297+E298+E299+E300+E301+E302+E303+E304+E305+E306+E307+E308+E309+E310+E311+E312+E313+E314+E315+E316+E317+E318+E319+E320+E321+E322+E323, "NA")</f>
        <v>15838.900000000001</v>
      </c>
      <c r="F324" s="15">
        <f>IFERROR(E324/E444, "NA")</f>
        <v>2.81989587523487E-2</v>
      </c>
      <c r="G324" s="2"/>
      <c r="H324" s="14">
        <f t="shared" si="76"/>
        <v>-11920.21</v>
      </c>
      <c r="I324" s="15">
        <f>IFERROR(H324/H444, "NA")</f>
        <v>0.35030365972713262</v>
      </c>
      <c r="J324" s="2"/>
      <c r="K324" s="14">
        <f>IFERROR(K297+K298+K299+K300+K301+K302+K303+K304+K305+K306+K307+K308+K309+K310+K311+K312+K313+K314+K315+K316+K317+K318+K319+K320+K321+K322+K323, "NA")</f>
        <v>23707.8</v>
      </c>
      <c r="L324" s="15">
        <f>IFERROR(K324/K444, "NA")</f>
        <v>4.8049026472059039E-2</v>
      </c>
      <c r="M324" s="2"/>
      <c r="N324" s="14">
        <f t="shared" si="77"/>
        <v>-4051.3100000000013</v>
      </c>
      <c r="O324" s="15">
        <f>IFERROR(N324/N444, "NA")</f>
        <v>-0.11829643969854374</v>
      </c>
      <c r="P324" s="2"/>
      <c r="Q324" s="14">
        <f>IFERROR(Q297+Q298+Q299+Q300+Q301+Q302+Q303+Q304+Q305+Q306+Q307+Q308+Q309+Q310+Q311+Q312+Q313+Q314+Q315+Q316+Q317+Q318+Q319+Q320+Q321+Q322+Q323, "NA")</f>
        <v>186164.87999999998</v>
      </c>
      <c r="R324" s="15">
        <f>IFERROR(Q324/Q444, "NA")</f>
        <v>4.5343300777943601E-2</v>
      </c>
      <c r="S324" s="2"/>
      <c r="T324" s="14">
        <f>IFERROR(T297+T298+T299+T300+T301+T302+T303+T304+T305+T306+T307+T308+T309+T310+T311+T312+T313+T314+T315+T316+T317+T318+T319+T320+T321+T322+T323, "NA")</f>
        <v>114103.97</v>
      </c>
      <c r="U324" s="15">
        <f>IFERROR(T324/T444, "NA")</f>
        <v>2.7295101997146857E-2</v>
      </c>
      <c r="V324" s="2"/>
      <c r="W324" s="14">
        <f t="shared" si="78"/>
        <v>-72060.909999999974</v>
      </c>
      <c r="X324" s="15">
        <f>IFERROR(W324/W444, "NA")</f>
        <v>0.96457913638730297</v>
      </c>
      <c r="Y324" s="2"/>
      <c r="Z324" s="14">
        <f>IFERROR(Z297+Z298+Z299+Z300+Z301+Z302+Z303+Z304+Z305+Z306+Z307+Z308+Z309+Z310+Z311+Z312+Z313+Z314+Z315+Z316+Z317+Z318+Z319+Z320+Z321+Z322+Z323, "NA")</f>
        <v>147982.91999999998</v>
      </c>
      <c r="AA324" s="15">
        <f>IFERROR(Z324/Z444, "NA")</f>
        <v>4.03069098988241E-2</v>
      </c>
      <c r="AB324" s="2"/>
      <c r="AC324" s="14">
        <f t="shared" si="79"/>
        <v>-38181.959999999992</v>
      </c>
      <c r="AD324" s="15">
        <f>IFERROR(AC324/AC444, "NA")</f>
        <v>-8.7921708655263733E-2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136912.58000000002</v>
      </c>
      <c r="C325" s="15">
        <f>IFERROR(B325/B444, "NA")</f>
        <v>0.25947335652472131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120602.06</v>
      </c>
      <c r="F325" s="15">
        <f>IFERROR(E325/E444, "NA")</f>
        <v>0.21471519583988047</v>
      </c>
      <c r="G325" s="2"/>
      <c r="H325" s="14">
        <f t="shared" si="76"/>
        <v>-16310.520000000019</v>
      </c>
      <c r="I325" s="15">
        <f>IFERROR(H325/H444, "NA")</f>
        <v>0.47932333809996619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107514.71999999997</v>
      </c>
      <c r="L325" s="15">
        <f>IFERROR(K325/K444, "NA")</f>
        <v>0.21790202496292418</v>
      </c>
      <c r="M325" s="2"/>
      <c r="N325" s="14">
        <f t="shared" si="77"/>
        <v>-29397.860000000044</v>
      </c>
      <c r="O325" s="15">
        <f>IFERROR(N325/N444, "NA")</f>
        <v>-0.85840436124518615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1071048.67</v>
      </c>
      <c r="R325" s="15">
        <f>IFERROR(Q325/Q444, "NA")</f>
        <v>0.2608702672148821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898994.98</v>
      </c>
      <c r="U325" s="15">
        <f>IFERROR(T325/T444, "NA")</f>
        <v>0.21505088450492124</v>
      </c>
      <c r="V325" s="2"/>
      <c r="W325" s="14">
        <f t="shared" si="78"/>
        <v>-172053.68999999994</v>
      </c>
      <c r="X325" s="15">
        <f>IFERROR(W325/W444, "NA")</f>
        <v>2.3030433519705586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772083.19999999995</v>
      </c>
      <c r="AA325" s="15">
        <f>IFERROR(Z325/Z444, "NA")</f>
        <v>0.21029648541058515</v>
      </c>
      <c r="AB325" s="2"/>
      <c r="AC325" s="14">
        <f t="shared" si="79"/>
        <v>-298965.46999999997</v>
      </c>
      <c r="AD325" s="15">
        <f>IFERROR(AC325/AC444, "NA")</f>
        <v>-0.68842864408542659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59272.35</v>
      </c>
      <c r="C329" s="8">
        <f>IFERROR(B329/B444, "NA")</f>
        <v>0.11233150090085268</v>
      </c>
      <c r="D329" s="9"/>
      <c r="E329" s="7">
        <v>54706.91</v>
      </c>
      <c r="F329" s="8">
        <f>IFERROR(E329/E444, "NA")</f>
        <v>9.7398045227790608E-2</v>
      </c>
      <c r="G329" s="9"/>
      <c r="H329" s="10">
        <f t="shared" si="80"/>
        <v>-4565.4399999999951</v>
      </c>
      <c r="I329" s="8">
        <f>IFERROR(H329/H444, "NA")</f>
        <v>0.13416628903892119</v>
      </c>
      <c r="J329" s="9"/>
      <c r="K329" s="7">
        <v>52569.369999999995</v>
      </c>
      <c r="L329" s="8">
        <f>IFERROR(K329/K444, "NA")</f>
        <v>0.10654329169089777</v>
      </c>
      <c r="M329" s="9"/>
      <c r="N329" s="10">
        <f t="shared" si="81"/>
        <v>-6702.9800000000032</v>
      </c>
      <c r="O329" s="8">
        <f>IFERROR(N329/N444, "NA")</f>
        <v>-0.19572401750805168</v>
      </c>
      <c r="P329" s="9"/>
      <c r="Q329" s="7">
        <v>393396.42000000004</v>
      </c>
      <c r="R329" s="8">
        <f>IFERROR(Q329/Q444, "NA")</f>
        <v>9.5817708458363529E-2</v>
      </c>
      <c r="S329" s="9"/>
      <c r="T329" s="7">
        <v>390920.63</v>
      </c>
      <c r="U329" s="8">
        <f>IFERROR(T329/T444, "NA")</f>
        <v>9.3513122011783703E-2</v>
      </c>
      <c r="V329" s="9"/>
      <c r="W329" s="10">
        <f t="shared" si="82"/>
        <v>-2475.7900000000373</v>
      </c>
      <c r="X329" s="8">
        <f>IFERROR(W329/W444, "NA")</f>
        <v>3.3139955907805739E-2</v>
      </c>
      <c r="Y329" s="9"/>
      <c r="Z329" s="7">
        <v>365690.58999999997</v>
      </c>
      <c r="AA329" s="8">
        <f>IFERROR(Z329/Z444, "NA")</f>
        <v>9.9605127821358219E-2</v>
      </c>
      <c r="AB329" s="9"/>
      <c r="AC329" s="10">
        <f t="shared" si="83"/>
        <v>-27705.830000000075</v>
      </c>
      <c r="AD329" s="8">
        <f>IFERROR(AC329/AC444, "NA")</f>
        <v>-6.379829409784811E-2</v>
      </c>
    </row>
    <row r="330" spans="1:30" ht="16.5" customHeight="1" x14ac:dyDescent="0.45">
      <c r="A330" s="6" t="s">
        <v>301</v>
      </c>
      <c r="B330" s="7">
        <v>6377.08</v>
      </c>
      <c r="C330" s="8">
        <f>IFERROR(B330/B444, "NA")</f>
        <v>1.2085685277617804E-2</v>
      </c>
      <c r="D330" s="9"/>
      <c r="E330" s="7">
        <v>6065</v>
      </c>
      <c r="F330" s="8">
        <f>IFERROR(E330/E444, "NA")</f>
        <v>1.079788904740827E-2</v>
      </c>
      <c r="G330" s="9"/>
      <c r="H330" s="10">
        <f t="shared" si="80"/>
        <v>-312.07999999999993</v>
      </c>
      <c r="I330" s="8">
        <f>IFERROR(H330/H444, "NA")</f>
        <v>9.1712114239299088E-3</v>
      </c>
      <c r="J330" s="9"/>
      <c r="K330" s="7">
        <v>6496.64</v>
      </c>
      <c r="L330" s="8">
        <f>IFERROR(K330/K444, "NA")</f>
        <v>1.3166857630798204E-2</v>
      </c>
      <c r="M330" s="9"/>
      <c r="N330" s="10">
        <f t="shared" si="81"/>
        <v>119.5600000000004</v>
      </c>
      <c r="O330" s="8">
        <f>IFERROR(N330/N444, "NA")</f>
        <v>3.4910985163707372E-3</v>
      </c>
      <c r="P330" s="9"/>
      <c r="Q330" s="7">
        <v>42120.44</v>
      </c>
      <c r="R330" s="8">
        <f>IFERROR(Q330/Q444, "NA")</f>
        <v>1.0259076684170114E-2</v>
      </c>
      <c r="S330" s="9"/>
      <c r="T330" s="7">
        <v>42455</v>
      </c>
      <c r="U330" s="8">
        <f>IFERROR(T330/T444, "NA")</f>
        <v>1.0155768947293156E-2</v>
      </c>
      <c r="V330" s="9"/>
      <c r="W330" s="10">
        <f t="shared" si="82"/>
        <v>334.55999999999767</v>
      </c>
      <c r="X330" s="8">
        <f>IFERROR(W330/W444, "NA")</f>
        <v>-4.4782892121364272E-3</v>
      </c>
      <c r="Y330" s="9"/>
      <c r="Z330" s="7">
        <v>41018.49</v>
      </c>
      <c r="AA330" s="8">
        <f>IFERROR(Z330/Z444, "NA")</f>
        <v>1.1172428416845792E-2</v>
      </c>
      <c r="AB330" s="9"/>
      <c r="AC330" s="10">
        <f t="shared" si="83"/>
        <v>-1101.9500000000044</v>
      </c>
      <c r="AD330" s="8">
        <f>IFERROR(AC330/AC444, "NA")</f>
        <v>-2.5374634212771761E-3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3.6986243528070692E-4</v>
      </c>
      <c r="D332" s="9"/>
      <c r="E332" s="7">
        <v>195</v>
      </c>
      <c r="F332" s="8">
        <f>IFERROR(E332/E444, "NA")</f>
        <v>3.4717038157372016E-4</v>
      </c>
      <c r="G332" s="9"/>
      <c r="H332" s="10">
        <f t="shared" si="80"/>
        <v>-0.15999999999999659</v>
      </c>
      <c r="I332" s="8">
        <f>IFERROR(H332/H444, "NA")</f>
        <v>4.7019797097819614E-6</v>
      </c>
      <c r="J332" s="9"/>
      <c r="K332" s="7">
        <v>195.16</v>
      </c>
      <c r="L332" s="8">
        <f>IFERROR(K332/K444, "NA")</f>
        <v>3.955342969945352E-4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2661.3599999999997</v>
      </c>
      <c r="R332" s="8">
        <f>IFERROR(Q332/Q444, "NA")</f>
        <v>6.482148886427342E-4</v>
      </c>
      <c r="S332" s="9"/>
      <c r="T332" s="7">
        <v>1365</v>
      </c>
      <c r="U332" s="8">
        <f>IFERROR(T332/T444, "NA")</f>
        <v>3.2652513515616906E-4</v>
      </c>
      <c r="V332" s="9"/>
      <c r="W332" s="10">
        <f t="shared" si="82"/>
        <v>-1296.3599999999997</v>
      </c>
      <c r="X332" s="8">
        <f>IFERROR(W332/W444, "NA")</f>
        <v>1.7352567560512965E-2</v>
      </c>
      <c r="Y332" s="9"/>
      <c r="Z332" s="7">
        <v>1366.12</v>
      </c>
      <c r="AA332" s="8">
        <f>IFERROR(Z332/Z444, "NA")</f>
        <v>3.7209750794876589E-4</v>
      </c>
      <c r="AB332" s="9"/>
      <c r="AC332" s="10">
        <f t="shared" si="83"/>
        <v>-1295.2399999999998</v>
      </c>
      <c r="AD332" s="8">
        <f>IFERROR(AC332/AC444, "NA")</f>
        <v>-2.9825528579110086E-3</v>
      </c>
    </row>
    <row r="333" spans="1:30" ht="16.5" customHeight="1" x14ac:dyDescent="0.45">
      <c r="A333" s="6" t="s">
        <v>304</v>
      </c>
      <c r="B333" s="7">
        <v>5618.9000000000005</v>
      </c>
      <c r="C333" s="8">
        <f>IFERROR(B333/B444, "NA")</f>
        <v>1.0648801176464258E-2</v>
      </c>
      <c r="D333" s="9"/>
      <c r="E333" s="7">
        <v>5155</v>
      </c>
      <c r="F333" s="8">
        <f>IFERROR(E333/E444, "NA")</f>
        <v>9.1777606000642432E-3</v>
      </c>
      <c r="G333" s="9"/>
      <c r="H333" s="10">
        <f t="shared" si="80"/>
        <v>-463.90000000000055</v>
      </c>
      <c r="I333" s="8">
        <f>IFERROR(H333/H444, "NA")</f>
        <v>1.3632802421049381E-2</v>
      </c>
      <c r="J333" s="9"/>
      <c r="K333" s="7">
        <v>5558.9100000000008</v>
      </c>
      <c r="L333" s="8">
        <f>IFERROR(K333/K444, "NA")</f>
        <v>1.1266343302448719E-2</v>
      </c>
      <c r="M333" s="9"/>
      <c r="N333" s="10">
        <f t="shared" si="81"/>
        <v>-59.989999999999782</v>
      </c>
      <c r="O333" s="8">
        <f>IFERROR(N333/N444, "NA")</f>
        <v>-1.7516811642445556E-3</v>
      </c>
      <c r="P333" s="9"/>
      <c r="Q333" s="7">
        <v>39767.240000000005</v>
      </c>
      <c r="R333" s="8">
        <f>IFERROR(Q333/Q444, "NA")</f>
        <v>9.6859188716403987E-3</v>
      </c>
      <c r="S333" s="9"/>
      <c r="T333" s="7">
        <v>36085</v>
      </c>
      <c r="U333" s="8">
        <f>IFERROR(T333/T444, "NA")</f>
        <v>8.6319849832310336E-3</v>
      </c>
      <c r="V333" s="9"/>
      <c r="W333" s="10">
        <f t="shared" si="82"/>
        <v>-3682.2400000000052</v>
      </c>
      <c r="X333" s="8">
        <f>IFERROR(W333/W444, "NA")</f>
        <v>4.9289023399382396E-2</v>
      </c>
      <c r="Y333" s="9"/>
      <c r="Z333" s="7">
        <v>37135.980000000003</v>
      </c>
      <c r="AA333" s="8">
        <f>IFERROR(Z333/Z444, "NA")</f>
        <v>1.0114928127276676E-2</v>
      </c>
      <c r="AB333" s="9"/>
      <c r="AC333" s="10">
        <f t="shared" si="83"/>
        <v>-2631.260000000002</v>
      </c>
      <c r="AD333" s="8">
        <f>IFERROR(AC333/AC444, "NA")</f>
        <v>-6.059009938626762E-3</v>
      </c>
    </row>
    <row r="334" spans="1:30" ht="16.5" customHeight="1" x14ac:dyDescent="0.45">
      <c r="A334" s="6" t="s">
        <v>305</v>
      </c>
      <c r="B334" s="7">
        <v>-4563.9699999999993</v>
      </c>
      <c r="C334" s="8">
        <f>IFERROR(B334/B444, "NA")</f>
        <v>-8.6495237689490044E-3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4563.9699999999993</v>
      </c>
      <c r="I334" s="8">
        <f>IFERROR(H334/H444, "NA")</f>
        <v>-0.1341230896003377</v>
      </c>
      <c r="J334" s="9"/>
      <c r="K334" s="7">
        <v>-4047.84</v>
      </c>
      <c r="L334" s="8">
        <f>IFERROR(K334/K444, "NA")</f>
        <v>-8.2038304403892169E-3</v>
      </c>
      <c r="M334" s="9"/>
      <c r="N334" s="10">
        <f t="shared" si="81"/>
        <v>516.1299999999992</v>
      </c>
      <c r="O334" s="8">
        <f>IFERROR(N334/N444, "NA")</f>
        <v>1.5070765115878387E-2</v>
      </c>
      <c r="P334" s="9"/>
      <c r="Q334" s="7">
        <v>-4563.9699999999993</v>
      </c>
      <c r="R334" s="8">
        <f>IFERROR(Q334/Q444, "NA")</f>
        <v>-1.1116246224933042E-3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4563.9699999999993</v>
      </c>
      <c r="X334" s="8">
        <f>IFERROR(W334/W444, "NA")</f>
        <v>-6.1091516067415197E-2</v>
      </c>
      <c r="Y334" s="9"/>
      <c r="Z334" s="7">
        <v>-4047.84</v>
      </c>
      <c r="AA334" s="8">
        <f>IFERROR(Z334/Z444, "NA")</f>
        <v>-1.1025321176582822E-3</v>
      </c>
      <c r="AB334" s="9"/>
      <c r="AC334" s="10">
        <f t="shared" si="83"/>
        <v>516.1299999999992</v>
      </c>
      <c r="AD334" s="8">
        <f>IFERROR(AC334/AC444, "NA")</f>
        <v>1.1884940293332561E-3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8.0610851585270922E-4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4.4301277924052675E-2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-7.6210714536297779E-3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18202.560000000001</v>
      </c>
      <c r="F337" s="8">
        <f>IFERROR(E337/E444, "NA")</f>
        <v>3.2407126670864289E-2</v>
      </c>
      <c r="G337" s="9"/>
      <c r="H337" s="10">
        <f t="shared" ref="H337:H344" si="84">IFERROR(-(B337-E337), "NA")</f>
        <v>18202.560000000001</v>
      </c>
      <c r="I337" s="8">
        <f>IFERROR(H337/H444, "NA")</f>
        <v>-0.53492542366306606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109102.71</v>
      </c>
      <c r="U337" s="8">
        <f>IFERROR(T337/T444, "NA")</f>
        <v>2.6098737823189978E-2</v>
      </c>
      <c r="V337" s="9"/>
      <c r="W337" s="10">
        <f t="shared" ref="W337:W344" si="86">IFERROR(-(Q337-T337), "NA")</f>
        <v>109102.71</v>
      </c>
      <c r="X337" s="8">
        <f>IFERROR(W337/W444, "NA")</f>
        <v>-1.4604061729072588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12528.029999999999</v>
      </c>
      <c r="C338" s="8">
        <f>IFERROR(B338/B444, "NA")</f>
        <v>2.3742814537147747E-2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-12528.029999999999</v>
      </c>
      <c r="I338" s="8">
        <f>IFERROR(H338/H444, "NA")</f>
        <v>0.36816589289713092</v>
      </c>
      <c r="J338" s="9"/>
      <c r="K338" s="7">
        <v>10438.43</v>
      </c>
      <c r="L338" s="8">
        <f>IFERROR(K338/K444, "NA")</f>
        <v>2.1155754620704379E-2</v>
      </c>
      <c r="M338" s="9"/>
      <c r="N338" s="10">
        <f t="shared" si="85"/>
        <v>-2089.5999999999985</v>
      </c>
      <c r="O338" s="8">
        <f>IFERROR(N338/N444, "NA")</f>
        <v>-6.1015385244297955E-2</v>
      </c>
      <c r="P338" s="9"/>
      <c r="Q338" s="7">
        <v>70573.430000000008</v>
      </c>
      <c r="R338" s="8">
        <f>IFERROR(Q338/Q444, "NA")</f>
        <v>1.7189237107563732E-2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-70573.430000000008</v>
      </c>
      <c r="X338" s="8">
        <f>IFERROR(W338/W444, "NA")</f>
        <v>0.9446683113117752</v>
      </c>
      <c r="Y338" s="9"/>
      <c r="Z338" s="7">
        <v>57394.11</v>
      </c>
      <c r="AA338" s="8">
        <f>IFERROR(Z338/Z444, "NA")</f>
        <v>1.5632744782257301E-2</v>
      </c>
      <c r="AB338" s="9"/>
      <c r="AC338" s="10">
        <f t="shared" si="87"/>
        <v>-13179.320000000007</v>
      </c>
      <c r="AD338" s="8">
        <f>IFERROR(AC338/AC444, "NA")</f>
        <v>-3.0348057913069191E-2</v>
      </c>
    </row>
    <row r="339" spans="1:30" ht="16.5" customHeight="1" x14ac:dyDescent="0.45">
      <c r="A339" s="12" t="s">
        <v>309</v>
      </c>
      <c r="B339" s="7">
        <v>1733.7800000000002</v>
      </c>
      <c r="C339" s="8">
        <f>IFERROR(B339/B444, "NA")</f>
        <v>3.2858172424727614E-3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-1733.7800000000002</v>
      </c>
      <c r="I339" s="8">
        <f>IFERROR(H339/H444, "NA")</f>
        <v>5.0951239882662147E-2</v>
      </c>
      <c r="J339" s="9"/>
      <c r="K339" s="7">
        <v>1590.6200000000001</v>
      </c>
      <c r="L339" s="8">
        <f>IFERROR(K339/K444, "NA")</f>
        <v>3.223738283897559E-3</v>
      </c>
      <c r="M339" s="9"/>
      <c r="N339" s="10">
        <f t="shared" si="85"/>
        <v>-143.16000000000008</v>
      </c>
      <c r="O339" s="8">
        <f>IFERROR(N339/N444, "NA")</f>
        <v>-4.1802079592140632E-3</v>
      </c>
      <c r="P339" s="9"/>
      <c r="Q339" s="7">
        <v>17013.719999999998</v>
      </c>
      <c r="R339" s="8">
        <f>IFERROR(Q339/Q444, "NA")</f>
        <v>4.1439514440732034E-3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-17013.719999999998</v>
      </c>
      <c r="X339" s="8">
        <f>IFERROR(W339/W444, "NA")</f>
        <v>0.22773899669509293</v>
      </c>
      <c r="Y339" s="9"/>
      <c r="Z339" s="7">
        <v>16592.809999999998</v>
      </c>
      <c r="AA339" s="8">
        <f>IFERROR(Z339/Z444, "NA")</f>
        <v>4.5194735827506823E-3</v>
      </c>
      <c r="AB339" s="9"/>
      <c r="AC339" s="10">
        <f t="shared" si="87"/>
        <v>-420.90999999999985</v>
      </c>
      <c r="AD339" s="8">
        <f>IFERROR(AC339/AC444, "NA")</f>
        <v>-9.6923066259791421E-4</v>
      </c>
    </row>
    <row r="340" spans="1:30" ht="16.5" customHeight="1" x14ac:dyDescent="0.45">
      <c r="A340" s="12" t="s">
        <v>310</v>
      </c>
      <c r="B340" s="7">
        <v>3539.89</v>
      </c>
      <c r="C340" s="8">
        <f>IFERROR(B340/B444, "NA")</f>
        <v>6.7087125231903135E-3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-3539.89</v>
      </c>
      <c r="I340" s="8">
        <f>IFERROR(H340/H444, "NA")</f>
        <v>0.10402806846787763</v>
      </c>
      <c r="J340" s="9"/>
      <c r="K340" s="7">
        <v>2550.69</v>
      </c>
      <c r="L340" s="8">
        <f>IFERROR(K340/K444, "NA")</f>
        <v>5.1695294937537974E-3</v>
      </c>
      <c r="M340" s="9"/>
      <c r="N340" s="10">
        <f t="shared" si="85"/>
        <v>-989.19999999999982</v>
      </c>
      <c r="O340" s="8">
        <f>IFERROR(N340/N444, "NA")</f>
        <v>-2.8884197494094356E-2</v>
      </c>
      <c r="P340" s="9"/>
      <c r="Q340" s="7">
        <v>19783.830000000002</v>
      </c>
      <c r="R340" s="8">
        <f>IFERROR(Q340/Q444, "NA")</f>
        <v>4.8186540567141563E-3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-19783.830000000002</v>
      </c>
      <c r="X340" s="8">
        <f>IFERROR(W340/W444, "NA")</f>
        <v>0.26481860492510051</v>
      </c>
      <c r="Y340" s="9"/>
      <c r="Z340" s="7">
        <v>16904.25</v>
      </c>
      <c r="AA340" s="8">
        <f>IFERROR(Z340/Z444, "NA")</f>
        <v>4.6043021833681716E-3</v>
      </c>
      <c r="AB340" s="9"/>
      <c r="AC340" s="10">
        <f t="shared" si="87"/>
        <v>-2879.5800000000017</v>
      </c>
      <c r="AD340" s="8">
        <f>IFERROR(AC340/AC444, "NA")</f>
        <v>-6.6308171138811248E-3</v>
      </c>
    </row>
    <row r="341" spans="1:30" ht="16.5" customHeight="1" x14ac:dyDescent="0.45">
      <c r="A341" s="12" t="s">
        <v>311</v>
      </c>
      <c r="B341" s="7">
        <v>1883.3200000000002</v>
      </c>
      <c r="C341" s="8">
        <f>IFERROR(B341/B444, "NA")</f>
        <v>3.5692217750197841E-3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-1883.3200000000002</v>
      </c>
      <c r="I341" s="8">
        <f>IFERROR(H341/H444, "NA")</f>
        <v>5.53458276689172E-2</v>
      </c>
      <c r="J341" s="9"/>
      <c r="K341" s="7">
        <v>1748.99</v>
      </c>
      <c r="L341" s="8">
        <f>IFERROR(K341/K444, "NA")</f>
        <v>3.5447096233883592E-3</v>
      </c>
      <c r="M341" s="9"/>
      <c r="N341" s="10">
        <f t="shared" si="85"/>
        <v>-134.33000000000015</v>
      </c>
      <c r="O341" s="8">
        <f>IFERROR(N341/N444, "NA")</f>
        <v>-3.9223759092010717E-3</v>
      </c>
      <c r="P341" s="9"/>
      <c r="Q341" s="7">
        <v>13148.16</v>
      </c>
      <c r="R341" s="8">
        <f>IFERROR(Q341/Q444, "NA")</f>
        <v>3.2024352474888228E-3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-13148.16</v>
      </c>
      <c r="X341" s="8">
        <f>IFERROR(W341/W444, "NA")</f>
        <v>0.17599612352775015</v>
      </c>
      <c r="Y341" s="9"/>
      <c r="Z341" s="7">
        <v>12247.580000000002</v>
      </c>
      <c r="AA341" s="8">
        <f>IFERROR(Z341/Z444, "NA")</f>
        <v>3.3359397391174617E-3</v>
      </c>
      <c r="AB341" s="9"/>
      <c r="AC341" s="10">
        <f t="shared" si="87"/>
        <v>-900.57999999999811</v>
      </c>
      <c r="AD341" s="8">
        <f>IFERROR(AC341/AC444, "NA")</f>
        <v>-2.0737681455000549E-3</v>
      </c>
    </row>
    <row r="342" spans="1:30" ht="16.5" customHeight="1" x14ac:dyDescent="0.45">
      <c r="A342" s="13" t="s">
        <v>312</v>
      </c>
      <c r="B342" s="14">
        <f>IFERROR(B337+B338+B339+B340+B341, "NA")</f>
        <v>19685.02</v>
      </c>
      <c r="C342" s="15">
        <f>IFERROR(B342/B444, "NA")</f>
        <v>3.7306566077830609E-2</v>
      </c>
      <c r="D342" s="2"/>
      <c r="E342" s="14">
        <f>IFERROR(E337+E338+E339+E340+E341, "NA")</f>
        <v>18202.560000000001</v>
      </c>
      <c r="F342" s="15">
        <f>IFERROR(E342/E444, "NA")</f>
        <v>3.2407126670864289E-2</v>
      </c>
      <c r="G342" s="2"/>
      <c r="H342" s="14">
        <f t="shared" si="84"/>
        <v>-1482.4599999999991</v>
      </c>
      <c r="I342" s="15">
        <f>IFERROR(H342/H444, "NA")</f>
        <v>4.356560525352194E-2</v>
      </c>
      <c r="J342" s="2"/>
      <c r="K342" s="14">
        <f>IFERROR(K337+K338+K339+K340+K341, "NA")</f>
        <v>16328.730000000001</v>
      </c>
      <c r="L342" s="15">
        <f>IFERROR(K342/K444, "NA")</f>
        <v>3.3093732021744093E-2</v>
      </c>
      <c r="M342" s="2"/>
      <c r="N342" s="14">
        <f t="shared" si="85"/>
        <v>-3356.2899999999991</v>
      </c>
      <c r="O342" s="15">
        <f>IFERROR(N342/N444, "NA")</f>
        <v>-9.8002166606807453E-2</v>
      </c>
      <c r="P342" s="2"/>
      <c r="Q342" s="14">
        <f>IFERROR(Q337+Q338+Q339+Q340+Q341, "NA")</f>
        <v>120519.14000000001</v>
      </c>
      <c r="R342" s="15">
        <f>IFERROR(Q342/Q444, "NA")</f>
        <v>2.9354277855839914E-2</v>
      </c>
      <c r="S342" s="2"/>
      <c r="T342" s="14">
        <f>IFERROR(T337+T338+T339+T340+T341, "NA")</f>
        <v>109102.71</v>
      </c>
      <c r="U342" s="15">
        <f>IFERROR(T342/T444, "NA")</f>
        <v>2.6098737823189978E-2</v>
      </c>
      <c r="V342" s="2"/>
      <c r="W342" s="14">
        <f t="shared" si="86"/>
        <v>-11416.430000000008</v>
      </c>
      <c r="X342" s="15">
        <f>IFERROR(W342/W444, "NA")</f>
        <v>0.15281586355246013</v>
      </c>
      <c r="Y342" s="2"/>
      <c r="Z342" s="14">
        <f>IFERROR(Z337+Z338+Z339+Z340+Z341, "NA")</f>
        <v>103138.75</v>
      </c>
      <c r="AA342" s="15">
        <f>IFERROR(Z342/Z444, "NA")</f>
        <v>2.8092460287493615E-2</v>
      </c>
      <c r="AB342" s="2"/>
      <c r="AC342" s="14">
        <f t="shared" si="87"/>
        <v>-17380.390000000014</v>
      </c>
      <c r="AD342" s="15">
        <f>IFERROR(AC342/AC444, "NA")</f>
        <v>-4.0021873835048301E-2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86584.54</v>
      </c>
      <c r="C343" s="15">
        <f>IFERROR(B343/B444, "NA")</f>
        <v>0.16409289209909703</v>
      </c>
      <c r="D343" s="2"/>
      <c r="E343" s="14">
        <f>IFERROR(E328+E329+E330+E331+E332+E333+E334+E335+E337+E338+E339+E340+E341, "NA")</f>
        <v>84324.47</v>
      </c>
      <c r="F343" s="15">
        <f>IFERROR(E343/E444, "NA")</f>
        <v>0.15012799192770113</v>
      </c>
      <c r="G343" s="2"/>
      <c r="H343" s="14">
        <f t="shared" si="84"/>
        <v>-2260.0699999999924</v>
      </c>
      <c r="I343" s="15">
        <f>IFERROR(H343/H444, "NA")</f>
        <v>6.641752051679442E-2</v>
      </c>
      <c r="J343" s="2"/>
      <c r="K343" s="14">
        <f>IFERROR(K328+K329+K330+K331+K332+K333+K334+K335+K337+K338+K339+K340+K341, "NA")</f>
        <v>77100.970000000016</v>
      </c>
      <c r="L343" s="15">
        <f>IFERROR(K343/K444, "NA")</f>
        <v>0.15626192850249415</v>
      </c>
      <c r="M343" s="2"/>
      <c r="N343" s="14">
        <f t="shared" si="85"/>
        <v>-9483.5699999999779</v>
      </c>
      <c r="O343" s="15">
        <f>IFERROR(N343/N444, "NA")</f>
        <v>-0.27691600164685382</v>
      </c>
      <c r="P343" s="2"/>
      <c r="Q343" s="14">
        <f>IFERROR(Q328+Q329+Q330+Q331+Q332+Q333+Q334+Q335+Q337+Q338+Q339+Q340+Q341, "NA")</f>
        <v>597210.25</v>
      </c>
      <c r="R343" s="15">
        <f>IFERROR(Q343/Q444, "NA")</f>
        <v>0.14545968065201609</v>
      </c>
      <c r="S343" s="2"/>
      <c r="T343" s="14">
        <f>IFERROR(T328+T329+T330+T331+T332+T333+T334+T335+T337+T338+T339+T340+T341, "NA")</f>
        <v>579928.34</v>
      </c>
      <c r="U343" s="15">
        <f>IFERROR(T343/T444, "NA")</f>
        <v>0.13872613890065402</v>
      </c>
      <c r="V343" s="2"/>
      <c r="W343" s="14">
        <f t="shared" si="86"/>
        <v>-17281.910000000033</v>
      </c>
      <c r="X343" s="15">
        <f>IFERROR(W343/W444, "NA")</f>
        <v>0.23132888306466201</v>
      </c>
      <c r="Y343" s="2"/>
      <c r="Z343" s="14">
        <f>IFERROR(Z328+Z329+Z330+Z331+Z332+Z333+Z334+Z335+Z337+Z338+Z339+Z340+Z341, "NA")</f>
        <v>544302.08999999985</v>
      </c>
      <c r="AA343" s="15">
        <f>IFERROR(Z343/Z444, "NA")</f>
        <v>0.14825451004326476</v>
      </c>
      <c r="AB343" s="2"/>
      <c r="AC343" s="14">
        <f t="shared" si="87"/>
        <v>-52908.160000000149</v>
      </c>
      <c r="AD343" s="15">
        <f>IFERROR(AC343/AC444, "NA")</f>
        <v>-0.121831771575008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86584.54</v>
      </c>
      <c r="C344" s="15">
        <f>IFERROR(B344/B444, "NA")</f>
        <v>0.16409289209909703</v>
      </c>
      <c r="D344" s="2"/>
      <c r="E344" s="14">
        <f>IFERROR(E328+E329+E330+E331+E332+E333+E334+E335+E337+E338+E339+E340+E341, "NA")</f>
        <v>84324.47</v>
      </c>
      <c r="F344" s="15">
        <f>IFERROR(E344/E444, "NA")</f>
        <v>0.15012799192770113</v>
      </c>
      <c r="G344" s="2"/>
      <c r="H344" s="14">
        <f t="shared" si="84"/>
        <v>-2260.0699999999924</v>
      </c>
      <c r="I344" s="15">
        <f>IFERROR(H344/H444, "NA")</f>
        <v>6.641752051679442E-2</v>
      </c>
      <c r="J344" s="2"/>
      <c r="K344" s="14">
        <f>IFERROR(K328+K329+K330+K331+K332+K333+K334+K335+K337+K338+K339+K340+K341, "NA")</f>
        <v>77100.970000000016</v>
      </c>
      <c r="L344" s="15">
        <f>IFERROR(K344/K444, "NA")</f>
        <v>0.15626192850249415</v>
      </c>
      <c r="M344" s="2"/>
      <c r="N344" s="14">
        <f t="shared" si="85"/>
        <v>-9483.5699999999779</v>
      </c>
      <c r="O344" s="15">
        <f>IFERROR(N344/N444, "NA")</f>
        <v>-0.27691600164685382</v>
      </c>
      <c r="P344" s="2"/>
      <c r="Q344" s="14">
        <f>IFERROR(Q328+Q329+Q330+Q331+Q332+Q333+Q334+Q335+Q337+Q338+Q339+Q340+Q341, "NA")</f>
        <v>597210.25</v>
      </c>
      <c r="R344" s="15">
        <f>IFERROR(Q344/Q444, "NA")</f>
        <v>0.14545968065201609</v>
      </c>
      <c r="S344" s="2"/>
      <c r="T344" s="14">
        <f>IFERROR(T328+T329+T330+T331+T332+T333+T334+T335+T337+T338+T339+T340+T341, "NA")</f>
        <v>579928.34</v>
      </c>
      <c r="U344" s="15">
        <f>IFERROR(T344/T444, "NA")</f>
        <v>0.13872613890065402</v>
      </c>
      <c r="V344" s="2"/>
      <c r="W344" s="14">
        <f t="shared" si="86"/>
        <v>-17281.910000000033</v>
      </c>
      <c r="X344" s="15">
        <f>IFERROR(W344/W444, "NA")</f>
        <v>0.23132888306466201</v>
      </c>
      <c r="Y344" s="2"/>
      <c r="Z344" s="14">
        <f>IFERROR(Z328+Z329+Z330+Z331+Z332+Z333+Z334+Z335+Z337+Z338+Z339+Z340+Z341, "NA")</f>
        <v>544302.08999999985</v>
      </c>
      <c r="AA344" s="15">
        <f>IFERROR(Z344/Z444, "NA")</f>
        <v>0.14825451004326476</v>
      </c>
      <c r="AB344" s="2"/>
      <c r="AC344" s="14">
        <f t="shared" si="87"/>
        <v>-52908.160000000149</v>
      </c>
      <c r="AD344" s="15">
        <f>IFERROR(AC344/AC444, "NA")</f>
        <v>-0.121831771575008</v>
      </c>
    </row>
    <row r="345" spans="1:30" ht="16.5" customHeight="1" x14ac:dyDescent="0.45">
      <c r="A345" s="22" t="s">
        <v>315</v>
      </c>
      <c r="B345" s="23">
        <f>IFERROR(B198-B325-B344, "NA")</f>
        <v>7253.2500000000437</v>
      </c>
      <c r="C345" s="24">
        <f>IFERROR(B345/B444, "NA")</f>
        <v>1.3746181126766774E-2</v>
      </c>
      <c r="D345" s="25"/>
      <c r="E345" s="23">
        <f>IFERROR(E198-E325-E344, "NA")</f>
        <v>69203.369999999966</v>
      </c>
      <c r="F345" s="24">
        <f>IFERROR(E345/E444, "NA")</f>
        <v>0.12320697625172987</v>
      </c>
      <c r="G345" s="25"/>
      <c r="H345" s="23">
        <f>IFERROR(B345-E345, "NA")</f>
        <v>-61950.119999999923</v>
      </c>
      <c r="I345" s="24">
        <f>IFERROR(H345/H444, "NA")</f>
        <v>1.8205512953660219</v>
      </c>
      <c r="J345" s="25"/>
      <c r="K345" s="23">
        <f>IFERROR(K198-K325-K344, "NA")</f>
        <v>32308.440000000075</v>
      </c>
      <c r="L345" s="24">
        <f>IFERROR(K345/K444, "NA")</f>
        <v>6.5480098905462955E-2</v>
      </c>
      <c r="M345" s="25"/>
      <c r="N345" s="23">
        <f>IFERROR(B345-K345, "NA")</f>
        <v>-25055.190000000031</v>
      </c>
      <c r="O345" s="24">
        <f>IFERROR(N345/N444, "NA")</f>
        <v>-0.73160033988279316</v>
      </c>
      <c r="P345" s="25"/>
      <c r="Q345" s="23">
        <f>IFERROR(Q198-Q325-Q344, "NA")</f>
        <v>119834.5000000014</v>
      </c>
      <c r="R345" s="24">
        <f>IFERROR(Q345/Q444, "NA")</f>
        <v>2.9187523323811377E-2</v>
      </c>
      <c r="S345" s="25"/>
      <c r="T345" s="23">
        <f>IFERROR(T198-T325-T344, "NA")</f>
        <v>478456.74000000081</v>
      </c>
      <c r="U345" s="24">
        <f>IFERROR(T345/T444, "NA")</f>
        <v>0.11445285838452769</v>
      </c>
      <c r="V345" s="25"/>
      <c r="W345" s="23">
        <f>IFERROR(Q345-T345, "NA")</f>
        <v>-358622.23999999941</v>
      </c>
      <c r="X345" s="24">
        <f>IFERROR(W345/W444, "NA")</f>
        <v>4.8003769387380713</v>
      </c>
      <c r="Y345" s="25"/>
      <c r="Z345" s="23">
        <f>IFERROR(Z198-Z325-Z344, "NA")</f>
        <v>247431.15000000107</v>
      </c>
      <c r="AA345" s="24">
        <f>IFERROR(Z345/Z444, "NA")</f>
        <v>6.7394163253519226E-2</v>
      </c>
      <c r="AB345" s="25"/>
      <c r="AC345" s="23">
        <f>IFERROR(Q345-Z345, "NA")</f>
        <v>-127596.64999999967</v>
      </c>
      <c r="AD345" s="24">
        <f>IFERROR(AC345/AC444, "NA")</f>
        <v>-0.29381717142565839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42298.02</v>
      </c>
      <c r="C350" s="8">
        <f>IFERROR(B350/B444, "NA")</f>
        <v>8.0162167886616342E-2</v>
      </c>
      <c r="D350" s="9"/>
      <c r="E350" s="7">
        <v>62115</v>
      </c>
      <c r="F350" s="8">
        <f>IFERROR(E350/E444, "NA")</f>
        <v>0.11058711923821347</v>
      </c>
      <c r="G350" s="9"/>
      <c r="H350" s="10">
        <f t="shared" si="88"/>
        <v>19816.980000000003</v>
      </c>
      <c r="I350" s="8">
        <f>IFERROR(H350/H444, "NA")</f>
        <v>-0.5823689866822308</v>
      </c>
      <c r="J350" s="9"/>
      <c r="K350" s="7">
        <v>41192.26</v>
      </c>
      <c r="L350" s="8">
        <f>IFERROR(K350/K444, "NA")</f>
        <v>8.3485097359684943E-2</v>
      </c>
      <c r="M350" s="9"/>
      <c r="N350" s="10">
        <f t="shared" si="89"/>
        <v>-1105.7599999999948</v>
      </c>
      <c r="O350" s="8">
        <f>IFERROR(N350/N444, "NA")</f>
        <v>-3.2287697352476372E-2</v>
      </c>
      <c r="P350" s="9"/>
      <c r="Q350" s="7">
        <v>355919.82</v>
      </c>
      <c r="R350" s="8">
        <f>IFERROR(Q350/Q444, "NA")</f>
        <v>8.668970995545211E-2</v>
      </c>
      <c r="S350" s="9"/>
      <c r="T350" s="7">
        <v>458556</v>
      </c>
      <c r="U350" s="8">
        <f>IFERROR(T350/T444, "NA")</f>
        <v>0.10969235155800165</v>
      </c>
      <c r="V350" s="9"/>
      <c r="W350" s="10">
        <f t="shared" si="90"/>
        <v>102636.18</v>
      </c>
      <c r="X350" s="8">
        <f>IFERROR(W350/W444, "NA")</f>
        <v>-1.3738477333479664</v>
      </c>
      <c r="Y350" s="9"/>
      <c r="Z350" s="7">
        <v>355734</v>
      </c>
      <c r="AA350" s="8">
        <f>IFERROR(Z350/Z444, "NA")</f>
        <v>9.6893197444328671E-2</v>
      </c>
      <c r="AB350" s="9"/>
      <c r="AC350" s="10">
        <f t="shared" si="91"/>
        <v>-185.82000000000698</v>
      </c>
      <c r="AD350" s="8">
        <f>IFERROR(AC350/AC444, "NA")</f>
        <v>-4.2788824623779726E-4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5500</v>
      </c>
      <c r="F352" s="8">
        <f>IFERROR(E352/E444, "NA")</f>
        <v>9.7919851213100553E-3</v>
      </c>
      <c r="G352" s="9"/>
      <c r="H352" s="10">
        <f t="shared" si="88"/>
        <v>5500</v>
      </c>
      <c r="I352" s="8">
        <f>IFERROR(H352/H444, "NA")</f>
        <v>-0.16163055252375835</v>
      </c>
      <c r="J352" s="9"/>
      <c r="K352" s="7">
        <v>10769.24</v>
      </c>
      <c r="L352" s="8">
        <f>IFERROR(K352/K444, "NA")</f>
        <v>2.1826213222819371E-2</v>
      </c>
      <c r="M352" s="9"/>
      <c r="N352" s="10">
        <f t="shared" si="89"/>
        <v>10769.24</v>
      </c>
      <c r="O352" s="8">
        <f>IFERROR(N352/N444, "NA")</f>
        <v>0.31445699051890491</v>
      </c>
      <c r="P352" s="9"/>
      <c r="Q352" s="7">
        <v>0</v>
      </c>
      <c r="R352" s="8">
        <f>IFERROR(Q352/Q444, "NA")</f>
        <v>0</v>
      </c>
      <c r="S352" s="9"/>
      <c r="T352" s="7">
        <v>17875</v>
      </c>
      <c r="U352" s="8">
        <f>IFERROR(T352/T444, "NA")</f>
        <v>4.2759243889498328E-3</v>
      </c>
      <c r="V352" s="9"/>
      <c r="W352" s="10">
        <f t="shared" si="90"/>
        <v>17875</v>
      </c>
      <c r="X352" s="8">
        <f>IFERROR(W352/W444, "NA")</f>
        <v>-0.23926775366732181</v>
      </c>
      <c r="Y352" s="9"/>
      <c r="Z352" s="7">
        <v>70576.97</v>
      </c>
      <c r="AA352" s="8">
        <f>IFERROR(Z352/Z444, "NA")</f>
        <v>1.9223431803629853E-2</v>
      </c>
      <c r="AB352" s="9"/>
      <c r="AC352" s="10">
        <f t="shared" si="91"/>
        <v>70576.97</v>
      </c>
      <c r="AD352" s="8">
        <f>IFERROR(AC352/AC444, "NA")</f>
        <v>0.16251779097016733</v>
      </c>
    </row>
    <row r="353" spans="1:30" ht="16.5" customHeight="1" x14ac:dyDescent="0.45">
      <c r="A353" s="6" t="s">
        <v>322</v>
      </c>
      <c r="B353" s="7">
        <v>145</v>
      </c>
      <c r="C353" s="8">
        <f>IFERROR(B353/B444, "NA")</f>
        <v>2.7480043613292942E-4</v>
      </c>
      <c r="D353" s="9"/>
      <c r="E353" s="7">
        <v>4716.93</v>
      </c>
      <c r="F353" s="8">
        <f>IFERROR(E353/E444, "NA")</f>
        <v>8.3978378869565534E-3</v>
      </c>
      <c r="G353" s="9"/>
      <c r="H353" s="10">
        <f t="shared" si="88"/>
        <v>4571.93</v>
      </c>
      <c r="I353" s="8">
        <f>IFERROR(H353/H444, "NA")</f>
        <v>-0.13435701309089937</v>
      </c>
      <c r="J353" s="9"/>
      <c r="K353" s="7">
        <v>2826.22</v>
      </c>
      <c r="L353" s="8">
        <f>IFERROR(K353/K444, "NA")</f>
        <v>5.7279511213972909E-3</v>
      </c>
      <c r="M353" s="9"/>
      <c r="N353" s="10">
        <f t="shared" si="89"/>
        <v>2681.22</v>
      </c>
      <c r="O353" s="8">
        <f>IFERROR(N353/N444, "NA")</f>
        <v>7.8290424590695185E-2</v>
      </c>
      <c r="P353" s="9"/>
      <c r="Q353" s="7">
        <v>6919.8</v>
      </c>
      <c r="R353" s="8">
        <f>IFERROR(Q353/Q444, "NA")</f>
        <v>1.6854230117045394E-3</v>
      </c>
      <c r="S353" s="9"/>
      <c r="T353" s="7">
        <v>34982.5</v>
      </c>
      <c r="U353" s="8">
        <f>IFERROR(T353/T444, "NA")</f>
        <v>8.3682531432972048E-3</v>
      </c>
      <c r="V353" s="9"/>
      <c r="W353" s="10">
        <f t="shared" si="90"/>
        <v>28062.7</v>
      </c>
      <c r="X353" s="8">
        <f>IFERROR(W353/W444, "NA")</f>
        <v>-0.37563631836866868</v>
      </c>
      <c r="Y353" s="9"/>
      <c r="Z353" s="7">
        <v>2826.22</v>
      </c>
      <c r="AA353" s="8">
        <f>IFERROR(Z353/Z444, "NA")</f>
        <v>7.6979285781260875E-4</v>
      </c>
      <c r="AB353" s="9"/>
      <c r="AC353" s="10">
        <f t="shared" si="91"/>
        <v>-4093.5800000000004</v>
      </c>
      <c r="AD353" s="8">
        <f>IFERROR(AC353/AC444, "NA")</f>
        <v>-9.4262983910992169E-3</v>
      </c>
    </row>
    <row r="354" spans="1:30" ht="16.5" customHeight="1" x14ac:dyDescent="0.45">
      <c r="A354" s="6" t="s">
        <v>323</v>
      </c>
      <c r="B354" s="7">
        <v>3616.09</v>
      </c>
      <c r="C354" s="8">
        <f>IFERROR(B354/B444, "NA")</f>
        <v>6.8531248903167226E-3</v>
      </c>
      <c r="D354" s="9"/>
      <c r="E354" s="7">
        <v>5244.78</v>
      </c>
      <c r="F354" s="8">
        <f>IFERROR(E354/E444, "NA")</f>
        <v>9.3376014044626449E-3</v>
      </c>
      <c r="G354" s="9"/>
      <c r="H354" s="10">
        <f t="shared" si="88"/>
        <v>1628.6899999999996</v>
      </c>
      <c r="I354" s="8">
        <f>IFERROR(H354/H444, "NA")</f>
        <v>-4.7862920834530899E-2</v>
      </c>
      <c r="J354" s="9"/>
      <c r="K354" s="7">
        <v>4188.2</v>
      </c>
      <c r="L354" s="8">
        <f>IFERROR(K354/K444, "NA")</f>
        <v>8.488300587582048E-3</v>
      </c>
      <c r="M354" s="9"/>
      <c r="N354" s="10">
        <f t="shared" si="89"/>
        <v>572.10999999999967</v>
      </c>
      <c r="O354" s="8">
        <f>IFERROR(N354/N444, "NA")</f>
        <v>1.6705356073944921E-2</v>
      </c>
      <c r="P354" s="9"/>
      <c r="Q354" s="7">
        <v>31387.54</v>
      </c>
      <c r="R354" s="8">
        <f>IFERROR(Q354/Q444, "NA")</f>
        <v>7.6449149103726549E-3</v>
      </c>
      <c r="S354" s="9"/>
      <c r="T354" s="7">
        <v>39583.519999999997</v>
      </c>
      <c r="U354" s="8">
        <f>IFERROR(T354/T444, "NA")</f>
        <v>9.468874884950124E-3</v>
      </c>
      <c r="V354" s="9"/>
      <c r="W354" s="10">
        <f t="shared" si="90"/>
        <v>8195.9799999999959</v>
      </c>
      <c r="X354" s="8">
        <f>IFERROR(W354/W444, "NA")</f>
        <v>-0.10970818034698156</v>
      </c>
      <c r="Y354" s="9"/>
      <c r="Z354" s="7">
        <v>33041.120000000003</v>
      </c>
      <c r="AA354" s="8">
        <f>IFERROR(Z354/Z444, "NA")</f>
        <v>8.999588917398273E-3</v>
      </c>
      <c r="AB354" s="9"/>
      <c r="AC354" s="10">
        <f t="shared" si="91"/>
        <v>1653.5800000000017</v>
      </c>
      <c r="AD354" s="8">
        <f>IFERROR(AC354/AC444, "NA")</f>
        <v>3.8077034022918465E-3</v>
      </c>
    </row>
    <row r="355" spans="1:30" ht="16.5" customHeight="1" x14ac:dyDescent="0.45">
      <c r="A355" s="6" t="s">
        <v>324</v>
      </c>
      <c r="B355" s="7">
        <v>190.8</v>
      </c>
      <c r="C355" s="8">
        <f>IFERROR(B355/B444, "NA")</f>
        <v>3.6159947044250298E-4</v>
      </c>
      <c r="D355" s="9"/>
      <c r="E355" s="7">
        <v>280</v>
      </c>
      <c r="F355" s="8">
        <f>IFERROR(E355/E444, "NA")</f>
        <v>4.9850106072123917E-4</v>
      </c>
      <c r="G355" s="9"/>
      <c r="H355" s="10">
        <f t="shared" si="88"/>
        <v>89.199999999999989</v>
      </c>
      <c r="I355" s="8">
        <f>IFERROR(H355/H444, "NA")</f>
        <v>-2.6213536882034988E-3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-190.8</v>
      </c>
      <c r="O355" s="8">
        <f>IFERROR(N355/N444, "NA")</f>
        <v>-5.5712746480723859E-3</v>
      </c>
      <c r="P355" s="9"/>
      <c r="Q355" s="7">
        <v>1600.6</v>
      </c>
      <c r="R355" s="8">
        <f>IFERROR(Q355/Q444, "NA")</f>
        <v>3.8985058419813948E-4</v>
      </c>
      <c r="S355" s="9"/>
      <c r="T355" s="7">
        <v>2100</v>
      </c>
      <c r="U355" s="8">
        <f>IFERROR(T355/T444, "NA")</f>
        <v>5.0234636177872165E-4</v>
      </c>
      <c r="V355" s="9"/>
      <c r="W355" s="10">
        <f t="shared" si="90"/>
        <v>499.40000000000009</v>
      </c>
      <c r="X355" s="8">
        <f>IFERROR(W355/W444, "NA")</f>
        <v>-6.6847729332285616E-3</v>
      </c>
      <c r="Y355" s="9"/>
      <c r="Z355" s="7">
        <v>1539.12</v>
      </c>
      <c r="AA355" s="8">
        <f>IFERROR(Z355/Z444, "NA")</f>
        <v>4.192184555047174E-4</v>
      </c>
      <c r="AB355" s="9"/>
      <c r="AC355" s="10">
        <f t="shared" si="91"/>
        <v>-61.480000000000018</v>
      </c>
      <c r="AD355" s="8">
        <f>IFERROR(AC355/AC444, "NA")</f>
        <v>-1.4157017209503171E-4</v>
      </c>
    </row>
    <row r="356" spans="1:30" ht="16.5" customHeight="1" x14ac:dyDescent="0.45">
      <c r="A356" s="6" t="s">
        <v>325</v>
      </c>
      <c r="B356" s="7">
        <v>-1237.5</v>
      </c>
      <c r="C356" s="8">
        <f>IFERROR(B356/B444, "NA")</f>
        <v>-2.3452795842379319E-3</v>
      </c>
      <c r="D356" s="9"/>
      <c r="E356" s="7">
        <v>6187.5</v>
      </c>
      <c r="F356" s="8">
        <f>IFERROR(E356/E444, "NA")</f>
        <v>1.1015983261473813E-2</v>
      </c>
      <c r="G356" s="9"/>
      <c r="H356" s="10">
        <f t="shared" si="88"/>
        <v>7425</v>
      </c>
      <c r="I356" s="8">
        <f>IFERROR(H356/H444, "NA")</f>
        <v>-0.21820124590707377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1237.5</v>
      </c>
      <c r="O356" s="8">
        <f>IFERROR(N356/N444, "NA")</f>
        <v>3.6134446420280804E-2</v>
      </c>
      <c r="P356" s="9"/>
      <c r="Q356" s="7">
        <v>39000</v>
      </c>
      <c r="R356" s="8">
        <f>IFERROR(Q356/Q444, "NA")</f>
        <v>9.4990458476367865E-3</v>
      </c>
      <c r="S356" s="9"/>
      <c r="T356" s="7">
        <v>43312.5</v>
      </c>
      <c r="U356" s="8">
        <f>IFERROR(T356/T444, "NA")</f>
        <v>1.0360893711686133E-2</v>
      </c>
      <c r="V356" s="9"/>
      <c r="W356" s="10">
        <f t="shared" si="90"/>
        <v>4312.5</v>
      </c>
      <c r="X356" s="8">
        <f>IFERROR(W356/W444, "NA")</f>
        <v>-5.7725437073584636E-2</v>
      </c>
      <c r="Y356" s="9"/>
      <c r="Z356" s="7">
        <v>11800</v>
      </c>
      <c r="AA356" s="8">
        <f>IFERROR(Z356/Z444, "NA")</f>
        <v>3.2140299489030522E-3</v>
      </c>
      <c r="AB356" s="9"/>
      <c r="AC356" s="10">
        <f t="shared" si="91"/>
        <v>-27200</v>
      </c>
      <c r="AD356" s="8">
        <f>IFERROR(AC356/AC444, "NA")</f>
        <v>-6.263351790801662E-2</v>
      </c>
    </row>
    <row r="357" spans="1:30" ht="16.5" customHeight="1" x14ac:dyDescent="0.45">
      <c r="A357" s="6" t="s">
        <v>326</v>
      </c>
      <c r="B357" s="7">
        <v>3674.43</v>
      </c>
      <c r="C357" s="8">
        <f>IFERROR(B357/B444, "NA")</f>
        <v>6.9636894244132401E-3</v>
      </c>
      <c r="D357" s="9"/>
      <c r="E357" s="7">
        <v>2546.7199999999998</v>
      </c>
      <c r="F357" s="8">
        <f>IFERROR(E357/E444, "NA")</f>
        <v>4.534080790571408E-3</v>
      </c>
      <c r="G357" s="9"/>
      <c r="H357" s="10">
        <f t="shared" si="88"/>
        <v>-1127.71</v>
      </c>
      <c r="I357" s="8">
        <f>IFERROR(H357/H444, "NA")</f>
        <v>3.3140434615739553E-2</v>
      </c>
      <c r="J357" s="9"/>
      <c r="K357" s="7">
        <v>2976.76</v>
      </c>
      <c r="L357" s="8">
        <f>IFERROR(K357/K444, "NA")</f>
        <v>6.0330532584620452E-3</v>
      </c>
      <c r="M357" s="9"/>
      <c r="N357" s="10">
        <f t="shared" si="89"/>
        <v>-697.66999999999962</v>
      </c>
      <c r="O357" s="8">
        <f>IFERROR(N357/N444, "NA")</f>
        <v>-2.0371651906292764E-2</v>
      </c>
      <c r="P357" s="9"/>
      <c r="Q357" s="7">
        <v>24396.93</v>
      </c>
      <c r="R357" s="8">
        <f>IFERROR(Q357/Q444, "NA")</f>
        <v>5.942245041322701E-3</v>
      </c>
      <c r="S357" s="9"/>
      <c r="T357" s="7">
        <v>18800.8</v>
      </c>
      <c r="U357" s="8">
        <f>IFERROR(T357/T444, "NA")</f>
        <v>4.4973873707282808E-3</v>
      </c>
      <c r="V357" s="9"/>
      <c r="W357" s="10">
        <f t="shared" si="90"/>
        <v>-5596.130000000001</v>
      </c>
      <c r="X357" s="8">
        <f>IFERROR(W357/W444, "NA")</f>
        <v>7.4907605836660687E-2</v>
      </c>
      <c r="Y357" s="9"/>
      <c r="Z357" s="7">
        <v>17381.62</v>
      </c>
      <c r="AA357" s="8">
        <f>IFERROR(Z357/Z444, "NA")</f>
        <v>4.7343260373264636E-3</v>
      </c>
      <c r="AB357" s="9"/>
      <c r="AC357" s="10">
        <f t="shared" si="91"/>
        <v>-7015.3100000000013</v>
      </c>
      <c r="AD357" s="8">
        <f>IFERROR(AC357/AC444, "NA")</f>
        <v>-1.6154174430709121E-2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48686.840000000004</v>
      </c>
      <c r="C358" s="15">
        <f>IFERROR(B358/B444, "NA")</f>
        <v>9.2270102523683825E-2</v>
      </c>
      <c r="D358" s="2"/>
      <c r="E358" s="14">
        <f>IFERROR(E349+E350+E351+E352+E353+E354+E355+E356+E357, "NA")</f>
        <v>86590.93</v>
      </c>
      <c r="F358" s="15">
        <f>IFERROR(E358/E444, "NA")</f>
        <v>0.15416310876370917</v>
      </c>
      <c r="G358" s="2"/>
      <c r="H358" s="14">
        <f t="shared" si="88"/>
        <v>37904.089999999989</v>
      </c>
      <c r="I358" s="15">
        <f>IFERROR(H358/H444, "NA")</f>
        <v>-1.1139016381109568</v>
      </c>
      <c r="J358" s="2"/>
      <c r="K358" s="14">
        <f>IFERROR(K349+K350+K351+K352+K353+K354+K355+K356+K357, "NA")</f>
        <v>61952.68</v>
      </c>
      <c r="L358" s="15">
        <f>IFERROR(K358/K444, "NA")</f>
        <v>0.12556061554994569</v>
      </c>
      <c r="M358" s="2"/>
      <c r="N358" s="14">
        <f t="shared" si="89"/>
        <v>13265.839999999997</v>
      </c>
      <c r="O358" s="15">
        <f>IFERROR(N358/N444, "NA")</f>
        <v>0.38735659369698405</v>
      </c>
      <c r="P358" s="2"/>
      <c r="Q358" s="14">
        <f>IFERROR(Q349+Q350+Q351+Q352+Q353+Q354+Q355+Q356+Q357, "NA")</f>
        <v>459224.68999999994</v>
      </c>
      <c r="R358" s="15">
        <f>IFERROR(Q358/Q444, "NA")</f>
        <v>0.11185118935068693</v>
      </c>
      <c r="S358" s="2"/>
      <c r="T358" s="14">
        <f>IFERROR(T349+T350+T351+T352+T353+T354+T355+T356+T357, "NA")</f>
        <v>615210.32000000007</v>
      </c>
      <c r="U358" s="15">
        <f>IFERROR(T358/T444, "NA")</f>
        <v>0.14716603141939197</v>
      </c>
      <c r="V358" s="2"/>
      <c r="W358" s="14">
        <f t="shared" si="90"/>
        <v>155985.63000000012</v>
      </c>
      <c r="X358" s="15">
        <f>IFERROR(W358/W444, "NA")</f>
        <v>-2.087962589901093</v>
      </c>
      <c r="Y358" s="2"/>
      <c r="Z358" s="14">
        <f>IFERROR(Z349+Z350+Z351+Z352+Z353+Z354+Z355+Z356+Z357, "NA")</f>
        <v>492899.04999999993</v>
      </c>
      <c r="AA358" s="15">
        <f>IFERROR(Z358/Z444, "NA")</f>
        <v>0.13425358546490362</v>
      </c>
      <c r="AB358" s="2"/>
      <c r="AC358" s="14">
        <f t="shared" si="91"/>
        <v>33674.359999999986</v>
      </c>
      <c r="AD358" s="15">
        <f>IFERROR(AC358/AC444, "NA")</f>
        <v>7.7542045224301387E-2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2.6705413967209241E-3</v>
      </c>
      <c r="G360" s="9"/>
      <c r="H360" s="10">
        <f t="shared" ref="H360:H383" si="92">IFERROR(-(B360-E360), "NA")</f>
        <v>1500</v>
      </c>
      <c r="I360" s="8">
        <f>IFERROR(H360/H444, "NA")</f>
        <v>-4.4081059779206823E-2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10000</v>
      </c>
      <c r="U360" s="8">
        <f>IFERROR(T360/T444, "NA")</f>
        <v>2.3921255322796268E-3</v>
      </c>
      <c r="V360" s="9"/>
      <c r="W360" s="10">
        <f t="shared" ref="W360:W383" si="94">IFERROR(-(Q360-T360), "NA")</f>
        <v>10000</v>
      </c>
      <c r="X360" s="8">
        <f>IFERROR(W360/W444, "NA")</f>
        <v>-0.13385608596773249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174.19</v>
      </c>
      <c r="L361" s="8">
        <f>IFERROR(K361/K444, "NA")</f>
        <v>3.5303401923282481E-4</v>
      </c>
      <c r="M361" s="9"/>
      <c r="N361" s="10">
        <f t="shared" si="93"/>
        <v>174.19</v>
      </c>
      <c r="O361" s="8">
        <f>IFERROR(N361/N444, "NA")</f>
        <v>5.0862700783423946E-3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2806.24</v>
      </c>
      <c r="AA361" s="8">
        <f>IFERROR(Z361/Z444, "NA")</f>
        <v>7.6435079693302544E-4</v>
      </c>
      <c r="AB361" s="9"/>
      <c r="AC361" s="10">
        <f t="shared" si="95"/>
        <v>2806.24</v>
      </c>
      <c r="AD361" s="8">
        <f>IFERROR(AC361/AC444, "NA")</f>
        <v>6.4619368858159021E-3</v>
      </c>
    </row>
    <row r="362" spans="1:30" ht="16.5" customHeight="1" x14ac:dyDescent="0.45">
      <c r="A362" s="6" t="s">
        <v>330</v>
      </c>
      <c r="B362" s="7">
        <v>568.65</v>
      </c>
      <c r="C362" s="8">
        <f>IFERROR(B362/B444, "NA")</f>
        <v>1.0776915034964849E-3</v>
      </c>
      <c r="D362" s="9"/>
      <c r="E362" s="7">
        <v>400</v>
      </c>
      <c r="F362" s="8">
        <f>IFERROR(E362/E444, "NA")</f>
        <v>7.1214437245891316E-4</v>
      </c>
      <c r="G362" s="9"/>
      <c r="H362" s="10">
        <f t="shared" si="92"/>
        <v>-168.64999999999998</v>
      </c>
      <c r="I362" s="8">
        <f>IFERROR(H362/H444, "NA")</f>
        <v>4.9561804878421531E-3</v>
      </c>
      <c r="J362" s="9"/>
      <c r="K362" s="7">
        <v>740.77</v>
      </c>
      <c r="L362" s="8">
        <f>IFERROR(K362/K444, "NA")</f>
        <v>1.501331938843215E-3</v>
      </c>
      <c r="M362" s="9"/>
      <c r="N362" s="10">
        <f t="shared" si="93"/>
        <v>172.12</v>
      </c>
      <c r="O362" s="8">
        <f>IFERROR(N362/N444, "NA")</f>
        <v>5.0258270043302888E-3</v>
      </c>
      <c r="P362" s="9"/>
      <c r="Q362" s="7">
        <v>5440.8</v>
      </c>
      <c r="R362" s="8">
        <f>IFERROR(Q362/Q444, "NA")</f>
        <v>1.3251899653287751E-3</v>
      </c>
      <c r="S362" s="9"/>
      <c r="T362" s="7">
        <v>3100</v>
      </c>
      <c r="U362" s="8">
        <f>IFERROR(T362/T444, "NA")</f>
        <v>7.4155891500668426E-4</v>
      </c>
      <c r="V362" s="9"/>
      <c r="W362" s="10">
        <f t="shared" si="94"/>
        <v>-2340.8000000000002</v>
      </c>
      <c r="X362" s="8">
        <f>IFERROR(W362/W444, "NA")</f>
        <v>3.1333032603326823E-2</v>
      </c>
      <c r="Y362" s="9"/>
      <c r="Z362" s="7">
        <v>3068.67</v>
      </c>
      <c r="AA362" s="8">
        <f>IFERROR(Z362/Z444, "NA")</f>
        <v>8.3583027824579064E-4</v>
      </c>
      <c r="AB362" s="9"/>
      <c r="AC362" s="10">
        <f t="shared" si="95"/>
        <v>-2372.13</v>
      </c>
      <c r="AD362" s="8">
        <f>IFERROR(AC362/AC444, "NA")</f>
        <v>-5.4623105454096859E-3</v>
      </c>
    </row>
    <row r="363" spans="1:30" ht="16.5" customHeight="1" x14ac:dyDescent="0.45">
      <c r="A363" s="6" t="s">
        <v>331</v>
      </c>
      <c r="B363" s="7">
        <v>585.30999999999995</v>
      </c>
      <c r="C363" s="8">
        <f>IFERROR(B363/B444, "NA")</f>
        <v>1.1092651260204477E-3</v>
      </c>
      <c r="D363" s="9"/>
      <c r="E363" s="7">
        <v>200</v>
      </c>
      <c r="F363" s="8">
        <f>IFERROR(E363/E444, "NA")</f>
        <v>3.5607218622945658E-4</v>
      </c>
      <c r="G363" s="9"/>
      <c r="H363" s="10">
        <f t="shared" si="92"/>
        <v>-385.30999999999995</v>
      </c>
      <c r="I363" s="8">
        <f>IFERROR(H363/H444, "NA")</f>
        <v>1.1323248762350786E-2</v>
      </c>
      <c r="J363" s="9"/>
      <c r="K363" s="7">
        <v>5</v>
      </c>
      <c r="L363" s="8">
        <f>IFERROR(K363/K444, "NA")</f>
        <v>1.0133590310374442E-5</v>
      </c>
      <c r="M363" s="9"/>
      <c r="N363" s="10">
        <f t="shared" si="93"/>
        <v>-580.30999999999995</v>
      </c>
      <c r="O363" s="8">
        <f>IFERROR(N363/N444, "NA")</f>
        <v>-1.6944792405780326E-2</v>
      </c>
      <c r="P363" s="9"/>
      <c r="Q363" s="7">
        <v>6350.61</v>
      </c>
      <c r="R363" s="8">
        <f>IFERROR(Q363/Q444, "NA")</f>
        <v>1.5467880910374526E-3</v>
      </c>
      <c r="S363" s="9"/>
      <c r="T363" s="7">
        <v>1500</v>
      </c>
      <c r="U363" s="8">
        <f>IFERROR(T363/T444, "NA")</f>
        <v>3.5881882984194403E-4</v>
      </c>
      <c r="V363" s="9"/>
      <c r="W363" s="10">
        <f t="shared" si="94"/>
        <v>-4850.6099999999997</v>
      </c>
      <c r="X363" s="8">
        <f>IFERROR(W363/W444, "NA")</f>
        <v>6.4928366915594282E-2</v>
      </c>
      <c r="Y363" s="9"/>
      <c r="Z363" s="7">
        <v>14142.64</v>
      </c>
      <c r="AA363" s="8">
        <f>IFERROR(Z363/Z444, "NA")</f>
        <v>3.8521075014029036E-3</v>
      </c>
      <c r="AB363" s="9"/>
      <c r="AC363" s="10">
        <f t="shared" si="95"/>
        <v>7792.03</v>
      </c>
      <c r="AD363" s="8">
        <f>IFERROR(AC363/AC444, "NA")</f>
        <v>1.7942729799441275E-2</v>
      </c>
    </row>
    <row r="364" spans="1:30" ht="16.5" customHeight="1" x14ac:dyDescent="0.45">
      <c r="A364" s="6" t="s">
        <v>332</v>
      </c>
      <c r="B364" s="7">
        <v>157.37</v>
      </c>
      <c r="C364" s="8">
        <f>IFERROR(B364/B444, "NA")</f>
        <v>2.9824375609820072E-4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-157.37</v>
      </c>
      <c r="I364" s="8">
        <f>IFERROR(H364/H444, "NA")</f>
        <v>4.624690918302519E-3</v>
      </c>
      <c r="J364" s="9"/>
      <c r="K364" s="7">
        <v>3061.29</v>
      </c>
      <c r="L364" s="8">
        <f>IFERROR(K364/K444, "NA")</f>
        <v>6.2043717362492354E-3</v>
      </c>
      <c r="M364" s="9"/>
      <c r="N364" s="10">
        <f t="shared" si="93"/>
        <v>2903.92</v>
      </c>
      <c r="O364" s="8">
        <f>IFERROR(N364/N444, "NA")</f>
        <v>8.47931649687126E-2</v>
      </c>
      <c r="P364" s="9"/>
      <c r="Q364" s="7">
        <v>4882.3</v>
      </c>
      <c r="R364" s="8">
        <f>IFERROR(Q364/Q444, "NA")</f>
        <v>1.1891587574850535E-3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-4882.3</v>
      </c>
      <c r="X364" s="8">
        <f>IFERROR(W364/W444, "NA")</f>
        <v>6.5352556852026039E-2</v>
      </c>
      <c r="Y364" s="9"/>
      <c r="Z364" s="7">
        <v>5993.2</v>
      </c>
      <c r="AA364" s="8">
        <f>IFERROR(Z364/Z444, "NA")</f>
        <v>1.6324003635394722E-3</v>
      </c>
      <c r="AB364" s="9"/>
      <c r="AC364" s="10">
        <f t="shared" si="95"/>
        <v>1110.8999999999996</v>
      </c>
      <c r="AD364" s="8">
        <f>IFERROR(AC364/AC444, "NA")</f>
        <v>2.5580726119123396E-3</v>
      </c>
    </row>
    <row r="365" spans="1:30" ht="16.5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210</v>
      </c>
      <c r="F365" s="8">
        <f>IFERROR(E365/E444, "NA")</f>
        <v>3.7387579554092938E-4</v>
      </c>
      <c r="G365" s="9"/>
      <c r="H365" s="10">
        <f t="shared" si="92"/>
        <v>210</v>
      </c>
      <c r="I365" s="8">
        <f>IFERROR(H365/H444, "NA")</f>
        <v>-6.1713483690889557E-3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4358.38</v>
      </c>
      <c r="R365" s="8">
        <f>IFERROR(Q365/Q444, "NA")</f>
        <v>1.0615500369595698E-3</v>
      </c>
      <c r="S365" s="9"/>
      <c r="T365" s="7">
        <v>1260</v>
      </c>
      <c r="U365" s="8">
        <f>IFERROR(T365/T444, "NA")</f>
        <v>3.01407817067233E-4</v>
      </c>
      <c r="V365" s="9"/>
      <c r="W365" s="10">
        <f t="shared" si="94"/>
        <v>-3098.38</v>
      </c>
      <c r="X365" s="8">
        <f>IFERROR(W365/W444, "NA")</f>
        <v>4.1473701964070298E-2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-4358.38</v>
      </c>
      <c r="AD365" s="8">
        <f>IFERROR(AC365/AC444, "NA")</f>
        <v>-1.0036054109556672E-2</v>
      </c>
    </row>
    <row r="366" spans="1:30" ht="16.5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2868.51</v>
      </c>
      <c r="R366" s="8">
        <f>IFERROR(Q366/Q444, "NA")</f>
        <v>6.9866943601037436E-4</v>
      </c>
      <c r="S366" s="9"/>
      <c r="T366" s="7">
        <v>2070</v>
      </c>
      <c r="U366" s="8">
        <f>IFERROR(T366/T444, "NA")</f>
        <v>4.9516998518188274E-4</v>
      </c>
      <c r="V366" s="9"/>
      <c r="W366" s="10">
        <f t="shared" si="94"/>
        <v>-798.51000000000022</v>
      </c>
      <c r="X366" s="8">
        <f>IFERROR(W366/W444, "NA")</f>
        <v>1.0688542320609409E-2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-2868.51</v>
      </c>
      <c r="AD366" s="8">
        <f>IFERROR(AC366/AC444, "NA")</f>
        <v>-6.6053261931737044E-3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6774.06</v>
      </c>
      <c r="R367" s="8">
        <f>IFERROR(Q367/Q444, "NA")</f>
        <v>1.6499258080677553E-3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-6774.06</v>
      </c>
      <c r="X367" s="8">
        <f>IFERROR(W367/W444, "NA")</f>
        <v>9.0674915771057796E-2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-6774.06</v>
      </c>
      <c r="AD367" s="8">
        <f>IFERROR(AC367/AC444, "NA")</f>
        <v>-1.5598647364705114E-2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1311.33</v>
      </c>
      <c r="C368" s="15">
        <f>IFERROR(B368/B444, "NA")</f>
        <v>2.4852003856151331E-3</v>
      </c>
      <c r="D368" s="2"/>
      <c r="E368" s="14">
        <f>IFERROR(E360+E361+E362+E363+E364+E365+E366+E367, "NA")</f>
        <v>2310</v>
      </c>
      <c r="F368" s="15">
        <f>IFERROR(E368/E444, "NA")</f>
        <v>4.1126337509502231E-3</v>
      </c>
      <c r="G368" s="2"/>
      <c r="H368" s="14">
        <f t="shared" si="92"/>
        <v>998.67000000000007</v>
      </c>
      <c r="I368" s="15">
        <f>IFERROR(H368/H444, "NA")</f>
        <v>-2.9348287979800321E-2</v>
      </c>
      <c r="J368" s="2"/>
      <c r="K368" s="14">
        <f>IFERROR(K360+K361+K362+K363+K364+K365+K366+K367, "NA")</f>
        <v>3981.25</v>
      </c>
      <c r="L368" s="15">
        <f>IFERROR(K368/K444, "NA")</f>
        <v>8.0688712846356501E-3</v>
      </c>
      <c r="M368" s="2"/>
      <c r="N368" s="14">
        <f t="shared" si="93"/>
        <v>2669.92</v>
      </c>
      <c r="O368" s="15">
        <f>IFERROR(N368/N444, "NA")</f>
        <v>7.7960469645604949E-2</v>
      </c>
      <c r="P368" s="2"/>
      <c r="Q368" s="14">
        <f>IFERROR(Q360+Q361+Q362+Q363+Q364+Q365+Q366+Q367, "NA")</f>
        <v>30674.66</v>
      </c>
      <c r="R368" s="15">
        <f>IFERROR(Q368/Q444, "NA")</f>
        <v>7.4712820948889805E-3</v>
      </c>
      <c r="S368" s="2"/>
      <c r="T368" s="14">
        <f>IFERROR(T360+T361+T362+T363+T364+T365+T366+T367, "NA")</f>
        <v>17930</v>
      </c>
      <c r="U368" s="15">
        <f>IFERROR(T368/T444, "NA")</f>
        <v>4.2890810793773711E-3</v>
      </c>
      <c r="V368" s="2"/>
      <c r="W368" s="14">
        <f t="shared" si="94"/>
        <v>-12744.66</v>
      </c>
      <c r="X368" s="15">
        <f>IFERROR(W368/W444, "NA")</f>
        <v>0.17059503045895213</v>
      </c>
      <c r="Y368" s="2"/>
      <c r="Z368" s="14">
        <f>IFERROR(Z360+Z361+Z362+Z363+Z364+Z365+Z366+Z367, "NA")</f>
        <v>26010.75</v>
      </c>
      <c r="AA368" s="15">
        <f>IFERROR(Z368/Z444, "NA")</f>
        <v>7.0846889401211923E-3</v>
      </c>
      <c r="AB368" s="2"/>
      <c r="AC368" s="14">
        <f t="shared" si="95"/>
        <v>-4663.91</v>
      </c>
      <c r="AD368" s="15">
        <f>IFERROR(AC368/AC444, "NA")</f>
        <v>-1.0739598915675653E-2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143</v>
      </c>
      <c r="C370" s="8">
        <f>IFERROR(B370/B444, "NA")</f>
        <v>2.7101008528971661E-4</v>
      </c>
      <c r="D370" s="9"/>
      <c r="E370" s="7">
        <v>635</v>
      </c>
      <c r="F370" s="8">
        <f>IFERROR(E370/E444, "NA")</f>
        <v>1.1305291912785246E-3</v>
      </c>
      <c r="G370" s="9"/>
      <c r="H370" s="10">
        <f t="shared" si="92"/>
        <v>492</v>
      </c>
      <c r="I370" s="8">
        <f>IFERROR(H370/H444, "NA")</f>
        <v>-1.4458587607579839E-2</v>
      </c>
      <c r="J370" s="9"/>
      <c r="K370" s="7">
        <v>198</v>
      </c>
      <c r="L370" s="8">
        <f>IFERROR(K370/K444, "NA")</f>
        <v>4.0129017629082791E-4</v>
      </c>
      <c r="M370" s="9"/>
      <c r="N370" s="10">
        <f t="shared" si="93"/>
        <v>55</v>
      </c>
      <c r="O370" s="8">
        <f>IFERROR(N370/N444, "NA")</f>
        <v>1.6059753964569247E-3</v>
      </c>
      <c r="P370" s="9"/>
      <c r="Q370" s="7">
        <v>1630</v>
      </c>
      <c r="R370" s="8">
        <f>IFERROR(Q370/Q444, "NA")</f>
        <v>3.9701140337558875E-4</v>
      </c>
      <c r="S370" s="9"/>
      <c r="T370" s="7">
        <v>4445</v>
      </c>
      <c r="U370" s="8">
        <f>IFERROR(T370/T444, "NA")</f>
        <v>1.063299799098294E-3</v>
      </c>
      <c r="V370" s="9"/>
      <c r="W370" s="10">
        <f t="shared" si="94"/>
        <v>2815</v>
      </c>
      <c r="X370" s="8">
        <f>IFERROR(W370/W444, "NA")</f>
        <v>-3.7680488199916692E-2</v>
      </c>
      <c r="Y370" s="9"/>
      <c r="Z370" s="7">
        <v>4894.6000000000004</v>
      </c>
      <c r="AA370" s="8">
        <f>IFERROR(Z370/Z444, "NA")</f>
        <v>1.3331687277882101E-3</v>
      </c>
      <c r="AB370" s="9"/>
      <c r="AC370" s="10">
        <f t="shared" si="95"/>
        <v>3264.6000000000004</v>
      </c>
      <c r="AD370" s="8">
        <f>IFERROR(AC370/AC444, "NA")</f>
        <v>7.5174037706805539E-3</v>
      </c>
    </row>
    <row r="371" spans="1:30" ht="16.5" customHeight="1" x14ac:dyDescent="0.45">
      <c r="A371" s="20" t="s">
        <v>339</v>
      </c>
      <c r="B371" s="7">
        <v>154.74</v>
      </c>
      <c r="C371" s="8">
        <f>IFERROR(B371/B444, "NA")</f>
        <v>2.9325944473937584E-4</v>
      </c>
      <c r="D371" s="9"/>
      <c r="E371" s="7">
        <v>100</v>
      </c>
      <c r="F371" s="8">
        <f>IFERROR(E371/E444, "NA")</f>
        <v>1.7803609311472829E-4</v>
      </c>
      <c r="G371" s="9"/>
      <c r="H371" s="10">
        <f t="shared" si="92"/>
        <v>-54.740000000000009</v>
      </c>
      <c r="I371" s="8">
        <f>IFERROR(H371/H444, "NA")</f>
        <v>1.608664808209188E-3</v>
      </c>
      <c r="J371" s="9"/>
      <c r="K371" s="7">
        <v>268.43</v>
      </c>
      <c r="L371" s="8">
        <f>IFERROR(K371/K444, "NA")</f>
        <v>5.4403192940276227E-4</v>
      </c>
      <c r="M371" s="9"/>
      <c r="N371" s="10">
        <f t="shared" si="93"/>
        <v>113.69</v>
      </c>
      <c r="O371" s="8">
        <f>IFERROR(N371/N444, "NA")</f>
        <v>3.3196971422397776E-3</v>
      </c>
      <c r="P371" s="9"/>
      <c r="Q371" s="7">
        <v>4149.68</v>
      </c>
      <c r="R371" s="8">
        <f>IFERROR(Q371/Q444, "NA")</f>
        <v>1.0107179634108057E-3</v>
      </c>
      <c r="S371" s="9"/>
      <c r="T371" s="7">
        <v>700</v>
      </c>
      <c r="U371" s="8">
        <f>IFERROR(T371/T444, "NA")</f>
        <v>1.6744878725957388E-4</v>
      </c>
      <c r="V371" s="9"/>
      <c r="W371" s="10">
        <f t="shared" si="94"/>
        <v>-3449.6800000000003</v>
      </c>
      <c r="X371" s="8">
        <f>IFERROR(W371/W444, "NA")</f>
        <v>4.6176066264116744E-2</v>
      </c>
      <c r="Y371" s="9"/>
      <c r="Z371" s="7">
        <v>3830.78</v>
      </c>
      <c r="AA371" s="8">
        <f>IFERROR(Z371/Z444, "NA")</f>
        <v>1.0434103091236302E-3</v>
      </c>
      <c r="AB371" s="9"/>
      <c r="AC371" s="10">
        <f t="shared" si="95"/>
        <v>-318.90000000000009</v>
      </c>
      <c r="AD371" s="8">
        <f>IFERROR(AC371/AC444, "NA")</f>
        <v>-7.3433194341420978E-4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5.2528577160664859E-4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-277.17</v>
      </c>
      <c r="I372" s="8">
        <f>IFERROR(H372/H444, "NA")</f>
        <v>8.1452982260018375E-3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-277.17</v>
      </c>
      <c r="O372" s="8">
        <f>IFERROR(N372/N444, "NA")</f>
        <v>-8.0932400115630142E-3</v>
      </c>
      <c r="P372" s="9"/>
      <c r="Q372" s="7">
        <v>2663.02</v>
      </c>
      <c r="R372" s="8">
        <f>IFERROR(Q372/Q444, "NA")</f>
        <v>6.4861920700445418E-4</v>
      </c>
      <c r="S372" s="9"/>
      <c r="T372" s="7">
        <v>3500</v>
      </c>
      <c r="U372" s="8">
        <f>IFERROR(T372/T444, "NA")</f>
        <v>8.3724393629786942E-4</v>
      </c>
      <c r="V372" s="9"/>
      <c r="W372" s="10">
        <f t="shared" si="94"/>
        <v>836.98</v>
      </c>
      <c r="X372" s="8">
        <f>IFERROR(W372/W444, "NA")</f>
        <v>-1.1203486683327274E-2</v>
      </c>
      <c r="Y372" s="9"/>
      <c r="Z372" s="7">
        <v>3450</v>
      </c>
      <c r="AA372" s="8">
        <f>IFERROR(Z372/Z444, "NA")</f>
        <v>9.396951969250449E-4</v>
      </c>
      <c r="AB372" s="9"/>
      <c r="AC372" s="10">
        <f t="shared" si="95"/>
        <v>786.98</v>
      </c>
      <c r="AD372" s="8">
        <f>IFERROR(AC372/AC444, "NA")</f>
        <v>1.8121811001195192E-3</v>
      </c>
    </row>
    <row r="373" spans="1:30" ht="16.5" customHeight="1" x14ac:dyDescent="0.45">
      <c r="A373" s="20" t="s">
        <v>341</v>
      </c>
      <c r="B373" s="7">
        <v>2272.02</v>
      </c>
      <c r="C373" s="8">
        <f>IFERROR(B373/B444, "NA")</f>
        <v>4.305876461398195E-3</v>
      </c>
      <c r="D373" s="9"/>
      <c r="E373" s="7">
        <v>325</v>
      </c>
      <c r="F373" s="8">
        <f>IFERROR(E373/E444, "NA")</f>
        <v>5.7861730262286689E-4</v>
      </c>
      <c r="G373" s="9"/>
      <c r="H373" s="10">
        <f t="shared" si="92"/>
        <v>-1947.02</v>
      </c>
      <c r="I373" s="8">
        <f>IFERROR(H373/H444, "NA")</f>
        <v>5.7217803340874181E-2</v>
      </c>
      <c r="J373" s="9"/>
      <c r="K373" s="7">
        <v>702.76</v>
      </c>
      <c r="L373" s="8">
        <f>IFERROR(K373/K444, "NA")</f>
        <v>1.4242963853037486E-3</v>
      </c>
      <c r="M373" s="9"/>
      <c r="N373" s="10">
        <f t="shared" si="93"/>
        <v>-1569.26</v>
      </c>
      <c r="O373" s="8">
        <f>IFERROR(N373/N444, "NA")</f>
        <v>-4.5821690011708972E-2</v>
      </c>
      <c r="P373" s="9"/>
      <c r="Q373" s="7">
        <v>4659.74</v>
      </c>
      <c r="R373" s="8">
        <f>IFERROR(Q373/Q444, "NA")</f>
        <v>1.1349508691812062E-3</v>
      </c>
      <c r="S373" s="9"/>
      <c r="T373" s="7">
        <v>2275</v>
      </c>
      <c r="U373" s="8">
        <f>IFERROR(T373/T444, "NA")</f>
        <v>5.4420855859361507E-4</v>
      </c>
      <c r="V373" s="9"/>
      <c r="W373" s="10">
        <f t="shared" si="94"/>
        <v>-2384.7399999999998</v>
      </c>
      <c r="X373" s="8">
        <f>IFERROR(W373/W444, "NA")</f>
        <v>3.1921196245069033E-2</v>
      </c>
      <c r="Y373" s="9"/>
      <c r="Z373" s="7">
        <v>5927.51</v>
      </c>
      <c r="AA373" s="8">
        <f>IFERROR(Z373/Z444, "NA")</f>
        <v>1.6145080222391807E-3</v>
      </c>
      <c r="AB373" s="9"/>
      <c r="AC373" s="10">
        <f t="shared" si="95"/>
        <v>1267.7700000000004</v>
      </c>
      <c r="AD373" s="8">
        <f>IFERROR(AC373/AC444, "NA")</f>
        <v>2.9192976102296419E-3</v>
      </c>
    </row>
    <row r="374" spans="1:30" ht="16.5" customHeight="1" x14ac:dyDescent="0.45">
      <c r="A374" s="20" t="s">
        <v>342</v>
      </c>
      <c r="B374" s="7">
        <v>2149.5300000000002</v>
      </c>
      <c r="C374" s="8">
        <f>IFERROR(B374/B444, "NA")</f>
        <v>4.0737364240056263E-3</v>
      </c>
      <c r="D374" s="9"/>
      <c r="E374" s="7">
        <v>1900</v>
      </c>
      <c r="F374" s="8">
        <f>IFERROR(E374/E444, "NA")</f>
        <v>3.3826857691798373E-3</v>
      </c>
      <c r="G374" s="9"/>
      <c r="H374" s="10">
        <f t="shared" si="92"/>
        <v>-249.5300000000002</v>
      </c>
      <c r="I374" s="8">
        <f>IFERROR(H374/H444, "NA")</f>
        <v>7.3330312311369918E-3</v>
      </c>
      <c r="J374" s="9"/>
      <c r="K374" s="7">
        <v>1897.01</v>
      </c>
      <c r="L374" s="8">
        <f>IFERROR(K374/K444, "NA")</f>
        <v>3.8447044309366839E-3</v>
      </c>
      <c r="M374" s="9"/>
      <c r="N374" s="10">
        <f t="shared" si="93"/>
        <v>-252.52000000000021</v>
      </c>
      <c r="O374" s="8">
        <f>IFERROR(N374/N444, "NA")</f>
        <v>-7.3734710384236899E-3</v>
      </c>
      <c r="P374" s="9"/>
      <c r="Q374" s="7">
        <v>13883.07</v>
      </c>
      <c r="R374" s="8">
        <f>IFERROR(Q374/Q444, "NA")</f>
        <v>3.3814338060500215E-3</v>
      </c>
      <c r="S374" s="9"/>
      <c r="T374" s="7">
        <v>13300</v>
      </c>
      <c r="U374" s="8">
        <f>IFERROR(T374/T444, "NA")</f>
        <v>3.1815269579319036E-3</v>
      </c>
      <c r="V374" s="9"/>
      <c r="W374" s="10">
        <f t="shared" si="94"/>
        <v>-583.06999999999971</v>
      </c>
      <c r="X374" s="8">
        <f>IFERROR(W374/W444, "NA")</f>
        <v>7.8047468045205739E-3</v>
      </c>
      <c r="Y374" s="9"/>
      <c r="Z374" s="7">
        <v>12620.72</v>
      </c>
      <c r="AA374" s="8">
        <f>IFERROR(Z374/Z444, "NA")</f>
        <v>3.4375739031118411E-3</v>
      </c>
      <c r="AB374" s="9"/>
      <c r="AC374" s="10">
        <f t="shared" si="95"/>
        <v>-1262.3500000000004</v>
      </c>
      <c r="AD374" s="8">
        <f>IFERROR(AC374/AC444, "NA")</f>
        <v>-2.9068169607053235E-3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3881.08</v>
      </c>
      <c r="R375" s="8">
        <f>IFERROR(Q375/Q444, "NA")</f>
        <v>9.4529632970118409E-4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-3881.08</v>
      </c>
      <c r="X375" s="8">
        <f>IFERROR(W375/W444, "NA")</f>
        <v>5.1950617812764721E-2</v>
      </c>
      <c r="Y375" s="9"/>
      <c r="Z375" s="7">
        <v>184.99</v>
      </c>
      <c r="AA375" s="8">
        <f>IFERROR(Z375/Z444, "NA")</f>
        <v>5.0386728834540309E-5</v>
      </c>
      <c r="AB375" s="9"/>
      <c r="AC375" s="10">
        <f t="shared" si="95"/>
        <v>-3696.09</v>
      </c>
      <c r="AD375" s="8">
        <f>IFERROR(AC375/AC444, "NA")</f>
        <v>-8.5109970295823949E-3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-2413</v>
      </c>
      <c r="R376" s="8">
        <f>IFERROR(Q376/Q444, "NA")</f>
        <v>-5.8772301616275805E-4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-3.229947354401385E-2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5.5564220114722096E-3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8880.3799999999992</v>
      </c>
      <c r="C378" s="8">
        <f>IFERROR(B378/B444, "NA")</f>
        <v>1.6829877910525128E-2</v>
      </c>
      <c r="D378" s="9"/>
      <c r="E378" s="7">
        <v>8470.33</v>
      </c>
      <c r="F378" s="8">
        <f>IFERROR(E378/E444, "NA")</f>
        <v>1.5080244605924763E-2</v>
      </c>
      <c r="G378" s="9"/>
      <c r="H378" s="10">
        <f t="shared" si="92"/>
        <v>-410.04999999999927</v>
      </c>
      <c r="I378" s="8">
        <f>IFERROR(H378/H444, "NA")</f>
        <v>1.2050292374975817E-2</v>
      </c>
      <c r="J378" s="9"/>
      <c r="K378" s="7">
        <v>8024.92</v>
      </c>
      <c r="L378" s="8">
        <f>IFERROR(K378/K444, "NA")</f>
        <v>1.6264250310706014E-2</v>
      </c>
      <c r="M378" s="9"/>
      <c r="N378" s="10">
        <f t="shared" si="93"/>
        <v>-855.45999999999913</v>
      </c>
      <c r="O378" s="8">
        <f>IFERROR(N378/N444, "NA")</f>
        <v>-2.4979049320964352E-2</v>
      </c>
      <c r="P378" s="9"/>
      <c r="Q378" s="7">
        <v>65100.34</v>
      </c>
      <c r="R378" s="8">
        <f>IFERROR(Q378/Q444, "NA")</f>
        <v>1.5856182419403664E-2</v>
      </c>
      <c r="S378" s="9"/>
      <c r="T378" s="7">
        <v>59292.31</v>
      </c>
      <c r="U378" s="8">
        <f>IFERROR(T378/T444, "NA")</f>
        <v>1.4183464861883863E-2</v>
      </c>
      <c r="V378" s="9"/>
      <c r="W378" s="10">
        <f t="shared" si="94"/>
        <v>-5808.0299999999988</v>
      </c>
      <c r="X378" s="8">
        <f>IFERROR(W378/W444, "NA")</f>
        <v>7.7744016298316912E-2</v>
      </c>
      <c r="Y378" s="9"/>
      <c r="Z378" s="7">
        <v>42443.1</v>
      </c>
      <c r="AA378" s="8">
        <f>IFERROR(Z378/Z444, "NA")</f>
        <v>1.1560457163075182E-2</v>
      </c>
      <c r="AB378" s="9"/>
      <c r="AC378" s="10">
        <f t="shared" si="95"/>
        <v>-22657.239999999998</v>
      </c>
      <c r="AD378" s="8">
        <f>IFERROR(AC378/AC444, "NA")</f>
        <v>-5.2172891444346704E-2</v>
      </c>
    </row>
    <row r="379" spans="1:30" ht="16.5" customHeight="1" x14ac:dyDescent="0.45">
      <c r="A379" s="20" t="s">
        <v>347</v>
      </c>
      <c r="B379" s="7">
        <v>308.38</v>
      </c>
      <c r="C379" s="8">
        <f>IFERROR(B379/B444, "NA")</f>
        <v>5.8443419651498462E-4</v>
      </c>
      <c r="D379" s="9"/>
      <c r="E379" s="7">
        <v>200</v>
      </c>
      <c r="F379" s="8">
        <f>IFERROR(E379/E444, "NA")</f>
        <v>3.5607218622945658E-4</v>
      </c>
      <c r="G379" s="9"/>
      <c r="H379" s="10">
        <f t="shared" si="92"/>
        <v>-108.38</v>
      </c>
      <c r="I379" s="8">
        <f>IFERROR(H379/H444, "NA")</f>
        <v>3.1850035059136235E-3</v>
      </c>
      <c r="J379" s="9"/>
      <c r="K379" s="7">
        <v>853.83</v>
      </c>
      <c r="L379" s="8">
        <f>IFERROR(K379/K444, "NA")</f>
        <v>1.730472682941402E-3</v>
      </c>
      <c r="M379" s="9"/>
      <c r="N379" s="10">
        <f t="shared" si="93"/>
        <v>545.45000000000005</v>
      </c>
      <c r="O379" s="8">
        <f>IFERROR(N379/N444, "NA")</f>
        <v>1.5926895999953266E-2</v>
      </c>
      <c r="P379" s="9"/>
      <c r="Q379" s="7">
        <v>6520.29</v>
      </c>
      <c r="R379" s="8">
        <f>IFERROR(Q379/Q444, "NA")</f>
        <v>1.5881162474330169E-3</v>
      </c>
      <c r="S379" s="9"/>
      <c r="T379" s="7">
        <v>1400</v>
      </c>
      <c r="U379" s="8">
        <f>IFERROR(T379/T444, "NA")</f>
        <v>3.3489757451914777E-4</v>
      </c>
      <c r="V379" s="9"/>
      <c r="W379" s="10">
        <f t="shared" si="94"/>
        <v>-5120.29</v>
      </c>
      <c r="X379" s="8">
        <f>IFERROR(W379/W444, "NA")</f>
        <v>6.8538197841972098E-2</v>
      </c>
      <c r="Y379" s="9"/>
      <c r="Z379" s="7">
        <v>2960.01</v>
      </c>
      <c r="AA379" s="8">
        <f>IFERROR(Z379/Z444, "NA")</f>
        <v>8.0623396517394278E-4</v>
      </c>
      <c r="AB379" s="9"/>
      <c r="AC379" s="10">
        <f t="shared" si="95"/>
        <v>-3560.2799999999997</v>
      </c>
      <c r="AD379" s="8">
        <f>IFERROR(AC379/AC444, "NA")</f>
        <v>-8.1982669535865214E-3</v>
      </c>
    </row>
    <row r="380" spans="1:30" ht="16.5" customHeight="1" x14ac:dyDescent="0.45">
      <c r="A380" s="20" t="s">
        <v>348</v>
      </c>
      <c r="B380" s="7">
        <v>12190</v>
      </c>
      <c r="C380" s="8">
        <f>IFERROR(B380/B444, "NA")</f>
        <v>2.3102188389382133E-2</v>
      </c>
      <c r="D380" s="9"/>
      <c r="E380" s="7">
        <v>11500</v>
      </c>
      <c r="F380" s="8">
        <f>IFERROR(E380/E444, "NA")</f>
        <v>2.0474150708193754E-2</v>
      </c>
      <c r="G380" s="9"/>
      <c r="H380" s="10">
        <f t="shared" si="92"/>
        <v>-690</v>
      </c>
      <c r="I380" s="8">
        <f>IFERROR(H380/H444, "NA")</f>
        <v>2.0277287498435138E-2</v>
      </c>
      <c r="J380" s="9"/>
      <c r="K380" s="7">
        <v>11500</v>
      </c>
      <c r="L380" s="8">
        <f>IFERROR(K380/K444, "NA")</f>
        <v>2.3307257713861215E-2</v>
      </c>
      <c r="M380" s="9"/>
      <c r="N380" s="10">
        <f t="shared" si="93"/>
        <v>-690</v>
      </c>
      <c r="O380" s="8">
        <f>IFERROR(N380/N444, "NA")</f>
        <v>-2.0147691337368691E-2</v>
      </c>
      <c r="P380" s="9"/>
      <c r="Q380" s="7">
        <v>81880</v>
      </c>
      <c r="R380" s="8">
        <f>IFERROR(Q380/Q444, "NA")</f>
        <v>1.9943124974474362E-2</v>
      </c>
      <c r="S380" s="9"/>
      <c r="T380" s="7">
        <v>80500</v>
      </c>
      <c r="U380" s="8">
        <f>IFERROR(T380/T444, "NA")</f>
        <v>1.9256610534850997E-2</v>
      </c>
      <c r="V380" s="9"/>
      <c r="W380" s="10">
        <f t="shared" si="94"/>
        <v>-1380</v>
      </c>
      <c r="X380" s="8">
        <f>IFERROR(W380/W444, "NA")</f>
        <v>1.8472139863547083E-2</v>
      </c>
      <c r="Y380" s="9"/>
      <c r="Z380" s="7">
        <v>80500</v>
      </c>
      <c r="AA380" s="8">
        <f>IFERROR(Z380/Z444, "NA")</f>
        <v>2.1926221261584382E-2</v>
      </c>
      <c r="AB380" s="9"/>
      <c r="AC380" s="10">
        <f t="shared" si="95"/>
        <v>-1380</v>
      </c>
      <c r="AD380" s="8">
        <f>IFERROR(AC380/AC444, "NA")</f>
        <v>-3.1777299526861372E-3</v>
      </c>
    </row>
    <row r="381" spans="1:30" ht="16.5" customHeight="1" x14ac:dyDescent="0.45">
      <c r="A381" s="20" t="s">
        <v>349</v>
      </c>
      <c r="B381" s="7">
        <v>4770</v>
      </c>
      <c r="C381" s="8">
        <f>IFERROR(B381/B444, "NA")</f>
        <v>9.0399867610625739E-3</v>
      </c>
      <c r="D381" s="9"/>
      <c r="E381" s="7">
        <v>4000</v>
      </c>
      <c r="F381" s="8">
        <f>IFERROR(E381/E444, "NA")</f>
        <v>7.1214437245891308E-3</v>
      </c>
      <c r="G381" s="9"/>
      <c r="H381" s="10">
        <f t="shared" si="92"/>
        <v>-770</v>
      </c>
      <c r="I381" s="8">
        <f>IFERROR(H381/H444, "NA")</f>
        <v>2.2628277353326169E-2</v>
      </c>
      <c r="J381" s="9"/>
      <c r="K381" s="7">
        <v>5849.1</v>
      </c>
      <c r="L381" s="8">
        <f>IFERROR(K381/K444, "NA")</f>
        <v>1.185447661688223E-2</v>
      </c>
      <c r="M381" s="9"/>
      <c r="N381" s="10">
        <f t="shared" si="93"/>
        <v>1079.1000000000004</v>
      </c>
      <c r="O381" s="8">
        <f>IFERROR(N381/N444, "NA")</f>
        <v>3.150923727848487E-2</v>
      </c>
      <c r="P381" s="9"/>
      <c r="Q381" s="7">
        <v>41211.51</v>
      </c>
      <c r="R381" s="8">
        <f>IFERROR(Q381/Q444, "NA")</f>
        <v>1.0037692895906202E-2</v>
      </c>
      <c r="S381" s="9"/>
      <c r="T381" s="7">
        <v>28000</v>
      </c>
      <c r="U381" s="8">
        <f>IFERROR(T381/T444, "NA")</f>
        <v>6.6979514903829553E-3</v>
      </c>
      <c r="V381" s="9"/>
      <c r="W381" s="10">
        <f t="shared" si="94"/>
        <v>-13211.510000000002</v>
      </c>
      <c r="X381" s="8">
        <f>IFERROR(W381/W444, "NA")</f>
        <v>0.17684410183235577</v>
      </c>
      <c r="Y381" s="9"/>
      <c r="Z381" s="7">
        <v>85845.57</v>
      </c>
      <c r="AA381" s="8">
        <f>IFERROR(Z381/Z444, "NA")</f>
        <v>2.3382223132258764E-2</v>
      </c>
      <c r="AB381" s="9"/>
      <c r="AC381" s="10">
        <f t="shared" si="95"/>
        <v>44634.060000000005</v>
      </c>
      <c r="AD381" s="8">
        <f>IFERROR(AC381/AC444, "NA")</f>
        <v>0.10277897780579003</v>
      </c>
    </row>
    <row r="382" spans="1:30" ht="16.5" customHeight="1" x14ac:dyDescent="0.45">
      <c r="A382" s="20" t="s">
        <v>350</v>
      </c>
      <c r="B382" s="7">
        <v>928.91</v>
      </c>
      <c r="C382" s="8">
        <f>IFERROR(B382/B444, "NA")</f>
        <v>1.7604474008844101E-3</v>
      </c>
      <c r="D382" s="9"/>
      <c r="E382" s="7">
        <v>795</v>
      </c>
      <c r="F382" s="8">
        <f>IFERROR(E382/E444, "NA")</f>
        <v>1.4153869402620898E-3</v>
      </c>
      <c r="G382" s="9"/>
      <c r="H382" s="10">
        <f t="shared" si="92"/>
        <v>-133.90999999999997</v>
      </c>
      <c r="I382" s="8">
        <f>IFERROR(H382/H444, "NA")</f>
        <v>3.9352631433557227E-3</v>
      </c>
      <c r="J382" s="9"/>
      <c r="K382" s="7">
        <v>179.42</v>
      </c>
      <c r="L382" s="8">
        <f>IFERROR(K382/K444, "NA")</f>
        <v>3.6363375469747642E-4</v>
      </c>
      <c r="M382" s="9"/>
      <c r="N382" s="10">
        <f t="shared" si="93"/>
        <v>-749.49</v>
      </c>
      <c r="O382" s="8">
        <f>IFERROR(N382/N444, "NA")</f>
        <v>-2.1884772725281828E-2</v>
      </c>
      <c r="P382" s="9"/>
      <c r="Q382" s="7">
        <v>4703.29</v>
      </c>
      <c r="R382" s="8">
        <f>IFERROR(Q382/Q444, "NA")</f>
        <v>1.1455581370444006E-3</v>
      </c>
      <c r="S382" s="9"/>
      <c r="T382" s="7">
        <v>5565</v>
      </c>
      <c r="U382" s="8">
        <f>IFERROR(T382/T444, "NA")</f>
        <v>1.3312178587136124E-3</v>
      </c>
      <c r="V382" s="9"/>
      <c r="W382" s="10">
        <f t="shared" si="94"/>
        <v>861.71</v>
      </c>
      <c r="X382" s="8">
        <f>IFERROR(W382/W444, "NA")</f>
        <v>-1.1534512783925477E-2</v>
      </c>
      <c r="Y382" s="9"/>
      <c r="Z382" s="7">
        <v>1827.65</v>
      </c>
      <c r="AA382" s="8">
        <f>IFERROR(Z382/Z444, "NA")</f>
        <v>4.9780693526378509E-4</v>
      </c>
      <c r="AB382" s="9"/>
      <c r="AC382" s="10">
        <f t="shared" si="95"/>
        <v>-2875.64</v>
      </c>
      <c r="AD382" s="8">
        <f>IFERROR(AC382/AC444, "NA")</f>
        <v>-6.6217444645959153E-3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1016.51</v>
      </c>
      <c r="C385" s="8">
        <f>IFERROR(B385/B444, "NA")</f>
        <v>1.9264647678171316E-3</v>
      </c>
      <c r="D385" s="9"/>
      <c r="E385" s="7">
        <v>1123.3699999999999</v>
      </c>
      <c r="F385" s="8">
        <f>IFERROR(E385/E444, "NA")</f>
        <v>2.0000040592229227E-3</v>
      </c>
      <c r="G385" s="9"/>
      <c r="H385" s="10">
        <f>IFERROR(-(B385-E385), "NA")</f>
        <v>106.8599999999999</v>
      </c>
      <c r="I385" s="8">
        <f>IFERROR(H385/H444, "NA")</f>
        <v>-3.140334698670691E-3</v>
      </c>
      <c r="J385" s="9"/>
      <c r="K385" s="7">
        <v>1840.56</v>
      </c>
      <c r="L385" s="8">
        <f>IFERROR(K385/K444, "NA")</f>
        <v>3.7302961963325562E-3</v>
      </c>
      <c r="M385" s="9"/>
      <c r="N385" s="10">
        <f>IFERROR(-(B385-K385), "NA")</f>
        <v>824.05</v>
      </c>
      <c r="O385" s="8">
        <f>IFERROR(N385/N444, "NA")</f>
        <v>2.4061891371824157E-2</v>
      </c>
      <c r="P385" s="9"/>
      <c r="Q385" s="7">
        <v>21145.84</v>
      </c>
      <c r="R385" s="8">
        <f>IFERROR(Q385/Q444, "NA")</f>
        <v>5.1503924011997914E-3</v>
      </c>
      <c r="S385" s="9"/>
      <c r="T385" s="7">
        <v>16207.99</v>
      </c>
      <c r="U385" s="8">
        <f>IFERROR(T385/T444, "NA")</f>
        <v>3.8771546705932869E-3</v>
      </c>
      <c r="V385" s="9"/>
      <c r="W385" s="10">
        <f>IFERROR(-(Q385-T385), "NA")</f>
        <v>-4937.8500000000004</v>
      </c>
      <c r="X385" s="8">
        <f>IFERROR(W385/W444, "NA")</f>
        <v>6.6096127409576794E-2</v>
      </c>
      <c r="Y385" s="9"/>
      <c r="Z385" s="7">
        <v>14812.24</v>
      </c>
      <c r="AA385" s="8">
        <f>IFERROR(Z385/Z444, "NA")</f>
        <v>4.034490082232182E-3</v>
      </c>
      <c r="AB385" s="9"/>
      <c r="AC385" s="10">
        <f>IFERROR(-(Q385-Z385), "NA")</f>
        <v>-6333.6</v>
      </c>
      <c r="AD385" s="8">
        <f>IFERROR(AC385/AC444, "NA")</f>
        <v>-1.4584398861110811E-2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433.1</v>
      </c>
      <c r="L386" s="8">
        <f>IFERROR(K386/K444, "NA")</f>
        <v>8.7777159268463418E-4</v>
      </c>
      <c r="M386" s="9"/>
      <c r="N386" s="10">
        <f>IFERROR(-(B386-K386), "NA")</f>
        <v>433.1</v>
      </c>
      <c r="O386" s="8">
        <f>IFERROR(N386/N444, "NA")</f>
        <v>1.2646326258281711E-2</v>
      </c>
      <c r="P386" s="9"/>
      <c r="Q386" s="7">
        <v>51.47</v>
      </c>
      <c r="R386" s="8">
        <f>IFERROR(Q386/Q444, "NA")</f>
        <v>1.2536304866099113E-5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-51.47</v>
      </c>
      <c r="X386" s="8">
        <f>IFERROR(W386/W444, "NA")</f>
        <v>6.8895727447591912E-4</v>
      </c>
      <c r="Y386" s="9"/>
      <c r="Z386" s="7">
        <v>4804.2299999999996</v>
      </c>
      <c r="AA386" s="8">
        <f>IFERROR(Z386/Z444, "NA")</f>
        <v>1.3085541611371617E-3</v>
      </c>
      <c r="AB386" s="9"/>
      <c r="AC386" s="10">
        <f>IFERROR(-(Q386-Z386), "NA")</f>
        <v>4752.7599999999993</v>
      </c>
      <c r="AD386" s="8">
        <f>IFERROR(AC386/AC444, "NA")</f>
        <v>1.0944194065165625E-2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5235.8900000000003</v>
      </c>
      <c r="C389" s="8">
        <f>IFERROR(B389/B444, "NA")</f>
        <v>9.9229300382347851E-3</v>
      </c>
      <c r="D389" s="9"/>
      <c r="E389" s="7">
        <v>2584.29</v>
      </c>
      <c r="F389" s="8">
        <f>IFERROR(E389/E444, "NA")</f>
        <v>4.6009689507546117E-3</v>
      </c>
      <c r="G389" s="9"/>
      <c r="H389" s="10">
        <f t="shared" si="96"/>
        <v>-2651.6000000000004</v>
      </c>
      <c r="I389" s="8">
        <f>IFERROR(H389/H444, "NA")</f>
        <v>7.7923558740363219E-2</v>
      </c>
      <c r="J389" s="9"/>
      <c r="K389" s="7">
        <v>1320.19</v>
      </c>
      <c r="L389" s="8">
        <f>IFERROR(K389/K444, "NA")</f>
        <v>2.675652918370647E-3</v>
      </c>
      <c r="M389" s="9"/>
      <c r="N389" s="10">
        <f t="shared" si="97"/>
        <v>-3915.7000000000003</v>
      </c>
      <c r="O389" s="8">
        <f>IFERROR(N389/N444, "NA")</f>
        <v>-0.11433668836193418</v>
      </c>
      <c r="P389" s="9"/>
      <c r="Q389" s="7">
        <v>33554.85</v>
      </c>
      <c r="R389" s="8">
        <f>IFERROR(Q389/Q444, "NA")</f>
        <v>8.1727963733480829E-3</v>
      </c>
      <c r="S389" s="9"/>
      <c r="T389" s="7">
        <v>19229.41</v>
      </c>
      <c r="U389" s="8">
        <f>IFERROR(T389/T444, "NA")</f>
        <v>4.5999162631673177E-3</v>
      </c>
      <c r="V389" s="9"/>
      <c r="W389" s="10">
        <f t="shared" si="98"/>
        <v>-14325.439999999999</v>
      </c>
      <c r="X389" s="8">
        <f>IFERROR(W389/W444, "NA")</f>
        <v>0.19175473281655936</v>
      </c>
      <c r="Y389" s="9"/>
      <c r="Z389" s="7">
        <v>9221.16</v>
      </c>
      <c r="AA389" s="8">
        <f>IFERROR(Z389/Z444, "NA")</f>
        <v>2.5116173223412599E-3</v>
      </c>
      <c r="AB389" s="9"/>
      <c r="AC389" s="10">
        <f t="shared" si="99"/>
        <v>-24333.69</v>
      </c>
      <c r="AD389" s="8">
        <f>IFERROR(AC389/AC444, "NA")</f>
        <v>-5.6033257661144295E-2</v>
      </c>
    </row>
    <row r="390" spans="1:30" ht="16.5" customHeight="1" x14ac:dyDescent="0.45">
      <c r="A390" s="12" t="s">
        <v>356</v>
      </c>
      <c r="B390" s="7">
        <v>627.80999999999995</v>
      </c>
      <c r="C390" s="8">
        <f>IFERROR(B390/B444, "NA")</f>
        <v>1.18981008143872E-3</v>
      </c>
      <c r="D390" s="9"/>
      <c r="E390" s="7">
        <v>12557.34</v>
      </c>
      <c r="F390" s="8">
        <f>IFERROR(E390/E444, "NA")</f>
        <v>2.235659753513302E-2</v>
      </c>
      <c r="G390" s="9"/>
      <c r="H390" s="10">
        <f t="shared" si="96"/>
        <v>11929.53</v>
      </c>
      <c r="I390" s="8">
        <f>IFERROR(H390/H444, "NA")</f>
        <v>-0.35057755004522745</v>
      </c>
      <c r="J390" s="9"/>
      <c r="K390" s="7">
        <v>13285.29</v>
      </c>
      <c r="L390" s="8">
        <f>IFERROR(K390/K444, "NA")</f>
        <v>2.6925537202902895E-2</v>
      </c>
      <c r="M390" s="9"/>
      <c r="N390" s="10">
        <f t="shared" si="97"/>
        <v>12657.480000000001</v>
      </c>
      <c r="O390" s="8">
        <f>IFERROR(N390/N444, "NA")</f>
        <v>0.36959275383901086</v>
      </c>
      <c r="P390" s="9"/>
      <c r="Q390" s="7">
        <v>56384.27</v>
      </c>
      <c r="R390" s="8">
        <f>IFERROR(Q390/Q444, "NA")</f>
        <v>1.3733250405526446E-2</v>
      </c>
      <c r="S390" s="9"/>
      <c r="T390" s="7">
        <v>93437.91</v>
      </c>
      <c r="U390" s="8">
        <f>IFERROR(T390/T444, "NA")</f>
        <v>2.2351521019384587E-2</v>
      </c>
      <c r="V390" s="9"/>
      <c r="W390" s="10">
        <f t="shared" si="98"/>
        <v>37053.640000000007</v>
      </c>
      <c r="X390" s="8">
        <f>IFERROR(W390/W444, "NA")</f>
        <v>-0.49598552212574121</v>
      </c>
      <c r="Y390" s="9"/>
      <c r="Z390" s="7">
        <v>99406.7</v>
      </c>
      <c r="AA390" s="8">
        <f>IFERROR(Z390/Z444, "NA")</f>
        <v>2.7075941603527207E-2</v>
      </c>
      <c r="AB390" s="9"/>
      <c r="AC390" s="10">
        <f t="shared" si="99"/>
        <v>43022.43</v>
      </c>
      <c r="AD390" s="8">
        <f>IFERROR(AC390/AC444, "NA")</f>
        <v>9.9067872788654102E-2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4063.94</v>
      </c>
      <c r="C392" s="8">
        <f>IFERROR(B392/B444, "NA")</f>
        <v>7.701879202883153E-3</v>
      </c>
      <c r="D392" s="9"/>
      <c r="E392" s="7">
        <v>1929.11</v>
      </c>
      <c r="F392" s="8">
        <f>IFERROR(E392/E444, "NA")</f>
        <v>3.4345120758855346E-3</v>
      </c>
      <c r="G392" s="9"/>
      <c r="H392" s="10">
        <f t="shared" si="96"/>
        <v>-2134.83</v>
      </c>
      <c r="I392" s="8">
        <f>IFERROR(H392/H444, "NA")</f>
        <v>6.2737045898962729E-2</v>
      </c>
      <c r="J392" s="9"/>
      <c r="K392" s="7">
        <v>3867.82</v>
      </c>
      <c r="L392" s="8">
        <f>IFERROR(K392/K444, "NA")</f>
        <v>7.8389806548544959E-3</v>
      </c>
      <c r="M392" s="9"/>
      <c r="N392" s="10">
        <f t="shared" si="97"/>
        <v>-196.11999999999989</v>
      </c>
      <c r="O392" s="8">
        <f>IFERROR(N392/N444, "NA")</f>
        <v>-5.7266162682387614E-3</v>
      </c>
      <c r="P392" s="9"/>
      <c r="Q392" s="7">
        <v>33211.730000000003</v>
      </c>
      <c r="R392" s="8">
        <f>IFERROR(Q392/Q444, "NA")</f>
        <v>8.0892242551111309E-3</v>
      </c>
      <c r="S392" s="9"/>
      <c r="T392" s="7">
        <v>14354.3</v>
      </c>
      <c r="U392" s="8">
        <f>IFERROR(T392/T444, "NA")</f>
        <v>3.4337287528001443E-3</v>
      </c>
      <c r="V392" s="9"/>
      <c r="W392" s="10">
        <f t="shared" si="98"/>
        <v>-18857.430000000004</v>
      </c>
      <c r="X392" s="8">
        <f>IFERROR(W392/W444, "NA")</f>
        <v>0.2524181771210498</v>
      </c>
      <c r="Y392" s="9"/>
      <c r="Z392" s="7">
        <v>22573.05</v>
      </c>
      <c r="AA392" s="8">
        <f>IFERROR(Z392/Z444, "NA")</f>
        <v>6.1483439608547496E-3</v>
      </c>
      <c r="AB392" s="9"/>
      <c r="AC392" s="10">
        <f t="shared" si="99"/>
        <v>-10638.680000000004</v>
      </c>
      <c r="AD392" s="8">
        <f>IFERROR(AC392/AC444, "NA")</f>
        <v>-2.4497718908002151E-2</v>
      </c>
    </row>
    <row r="393" spans="1:30" ht="16.5" customHeight="1" x14ac:dyDescent="0.45">
      <c r="A393" s="13" t="s">
        <v>359</v>
      </c>
      <c r="B393" s="14">
        <f>IFERROR(B388+B389+B390+B391+B392, "NA")</f>
        <v>9927.6400000000012</v>
      </c>
      <c r="C393" s="15">
        <f>IFERROR(B393/B444, "NA")</f>
        <v>1.881461932255666E-2</v>
      </c>
      <c r="D393" s="2"/>
      <c r="E393" s="14">
        <f>IFERROR(E388+E389+E390+E391+E392, "NA")</f>
        <v>17070.740000000002</v>
      </c>
      <c r="F393" s="15">
        <f>IFERROR(E393/E444, "NA")</f>
        <v>3.0392078561773169E-2</v>
      </c>
      <c r="G393" s="2"/>
      <c r="H393" s="14">
        <f t="shared" si="96"/>
        <v>7143.1</v>
      </c>
      <c r="I393" s="15">
        <f>IFERROR(H393/H444, "NA")</f>
        <v>-0.20991694540590153</v>
      </c>
      <c r="J393" s="2"/>
      <c r="K393" s="14">
        <f>IFERROR(K388+K389+K390+K391+K392, "NA")</f>
        <v>18473.300000000003</v>
      </c>
      <c r="L393" s="15">
        <f>IFERROR(K393/K444, "NA")</f>
        <v>3.7440170776128039E-2</v>
      </c>
      <c r="M393" s="2"/>
      <c r="N393" s="14">
        <f t="shared" si="97"/>
        <v>8545.6600000000017</v>
      </c>
      <c r="O393" s="15">
        <f>IFERROR(N393/N444, "NA")</f>
        <v>0.24952944920883791</v>
      </c>
      <c r="P393" s="2"/>
      <c r="Q393" s="14">
        <f>IFERROR(Q388+Q389+Q390+Q391+Q392, "NA")</f>
        <v>123150.85</v>
      </c>
      <c r="R393" s="15">
        <f>IFERROR(Q393/Q444, "NA")</f>
        <v>2.9995271033985662E-2</v>
      </c>
      <c r="S393" s="2"/>
      <c r="T393" s="14">
        <f>IFERROR(T388+T389+T390+T391+T392, "NA")</f>
        <v>127021.62000000001</v>
      </c>
      <c r="U393" s="15">
        <f>IFERROR(T393/T444, "NA")</f>
        <v>3.0385166035352053E-2</v>
      </c>
      <c r="V393" s="2"/>
      <c r="W393" s="14">
        <f t="shared" si="98"/>
        <v>3870.7700000000041</v>
      </c>
      <c r="X393" s="15">
        <f>IFERROR(W393/W444, "NA")</f>
        <v>-5.1812612188132039E-2</v>
      </c>
      <c r="Y393" s="2"/>
      <c r="Z393" s="14">
        <f>IFERROR(Z388+Z389+Z390+Z391+Z392, "NA")</f>
        <v>131200.91</v>
      </c>
      <c r="AA393" s="15">
        <f>IFERROR(Z393/Z444, "NA")</f>
        <v>3.5735902886723216E-2</v>
      </c>
      <c r="AB393" s="2"/>
      <c r="AC393" s="14">
        <f t="shared" si="99"/>
        <v>8050.0599999999977</v>
      </c>
      <c r="AD393" s="15">
        <f>IFERROR(AC393/AC444, "NA")</f>
        <v>1.8536896219507652E-2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3931.79</v>
      </c>
      <c r="F394" s="8">
        <f>IFERROR(E394/E444, "NA")</f>
        <v>7.0000053054755746E-3</v>
      </c>
      <c r="G394" s="9"/>
      <c r="H394" s="10">
        <f t="shared" si="96"/>
        <v>3931.79</v>
      </c>
      <c r="I394" s="8">
        <f>IFERROR(H394/H444, "NA")</f>
        <v>-0.11554498001952507</v>
      </c>
      <c r="J394" s="9"/>
      <c r="K394" s="7">
        <v>3004.21</v>
      </c>
      <c r="L394" s="8">
        <f>IFERROR(K394/K444, "NA")</f>
        <v>6.0886866692660005E-3</v>
      </c>
      <c r="M394" s="9"/>
      <c r="N394" s="10">
        <f t="shared" si="97"/>
        <v>3004.21</v>
      </c>
      <c r="O394" s="8">
        <f>IFERROR(N394/N444, "NA")</f>
        <v>8.7721588105270143E-2</v>
      </c>
      <c r="P394" s="9"/>
      <c r="Q394" s="7">
        <v>6612.06</v>
      </c>
      <c r="R394" s="8">
        <f>IFERROR(Q394/Q444, "NA")</f>
        <v>1.6104682330083408E-3</v>
      </c>
      <c r="S394" s="9"/>
      <c r="T394" s="7">
        <v>32490.32</v>
      </c>
      <c r="U394" s="8">
        <f>IFERROR(T394/T444, "NA")</f>
        <v>7.7720924023935408E-3</v>
      </c>
      <c r="V394" s="9"/>
      <c r="W394" s="10">
        <f t="shared" si="98"/>
        <v>25878.26</v>
      </c>
      <c r="X394" s="8">
        <f>IFERROR(W394/W444, "NA")</f>
        <v>-0.34639625952553327</v>
      </c>
      <c r="Y394" s="9"/>
      <c r="Z394" s="7">
        <v>38039.43</v>
      </c>
      <c r="AA394" s="8">
        <f>IFERROR(Z394/Z444, "NA")</f>
        <v>1.0361005699932308E-2</v>
      </c>
      <c r="AB394" s="9"/>
      <c r="AC394" s="10">
        <f t="shared" si="99"/>
        <v>31427.37</v>
      </c>
      <c r="AD394" s="8">
        <f>IFERROR(AC394/AC444, "NA")</f>
        <v>7.2367894915325887E-2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10944.150000000001</v>
      </c>
      <c r="C396" s="15">
        <f>IFERROR(B396/B444, "NA")</f>
        <v>2.0741084090373792E-2</v>
      </c>
      <c r="D396" s="2"/>
      <c r="E396" s="14">
        <f>IFERROR(E385+E386+E388+E389+E390+E391+E392+E394+E395, "NA")</f>
        <v>22125.9</v>
      </c>
      <c r="F396" s="15">
        <f>IFERROR(E396/E444, "NA")</f>
        <v>3.9392087926471669E-2</v>
      </c>
      <c r="G396" s="2"/>
      <c r="H396" s="14">
        <f t="shared" si="96"/>
        <v>11181.75</v>
      </c>
      <c r="I396" s="15">
        <f>IFERROR(H396/H444, "NA")</f>
        <v>-0.32860226012409727</v>
      </c>
      <c r="J396" s="2"/>
      <c r="K396" s="14">
        <f>IFERROR(K385+K386+K388+K389+K390+K391+K392+K394+K395, "NA")</f>
        <v>23751.17</v>
      </c>
      <c r="L396" s="15">
        <f>IFERROR(K396/K444, "NA")</f>
        <v>4.8136925234411224E-2</v>
      </c>
      <c r="M396" s="2"/>
      <c r="N396" s="14">
        <f t="shared" si="97"/>
        <v>12807.019999999997</v>
      </c>
      <c r="O396" s="15">
        <f>IFERROR(N396/N444, "NA")</f>
        <v>0.37395925494421378</v>
      </c>
      <c r="P396" s="2"/>
      <c r="Q396" s="14">
        <f>IFERROR(Q385+Q386+Q388+Q389+Q390+Q391+Q392+Q394+Q395, "NA")</f>
        <v>150960.22</v>
      </c>
      <c r="R396" s="15">
        <f>IFERROR(Q396/Q444, "NA")</f>
        <v>3.6768667973059894E-2</v>
      </c>
      <c r="S396" s="2"/>
      <c r="T396" s="14">
        <f>IFERROR(T385+T386+T388+T389+T390+T391+T392+T394+T395, "NA")</f>
        <v>175719.93</v>
      </c>
      <c r="U396" s="15">
        <f>IFERROR(T396/T444, "NA")</f>
        <v>4.2034413108338872E-2</v>
      </c>
      <c r="V396" s="2"/>
      <c r="W396" s="14">
        <f t="shared" si="98"/>
        <v>24759.709999999992</v>
      </c>
      <c r="X396" s="15">
        <f>IFERROR(W396/W444, "NA")</f>
        <v>-0.33142378702961245</v>
      </c>
      <c r="Y396" s="2"/>
      <c r="Z396" s="14">
        <f>IFERROR(Z385+Z386+Z388+Z389+Z390+Z391+Z392+Z394+Z395, "NA")</f>
        <v>188856.81</v>
      </c>
      <c r="AA396" s="15">
        <f>IFERROR(Z396/Z444, "NA")</f>
        <v>5.1439952830024865E-2</v>
      </c>
      <c r="AB396" s="2"/>
      <c r="AC396" s="14">
        <f t="shared" si="99"/>
        <v>37896.589999999997</v>
      </c>
      <c r="AD396" s="15">
        <f>IFERROR(AC396/AC444, "NA")</f>
        <v>8.7264586338888353E-2</v>
      </c>
    </row>
    <row r="397" spans="1:30" ht="16.5" customHeight="1" x14ac:dyDescent="0.45">
      <c r="A397" s="20" t="s">
        <v>363</v>
      </c>
      <c r="B397" s="7">
        <v>20775.990000000002</v>
      </c>
      <c r="C397" s="8">
        <f>IFERROR(B397/B444, "NA")</f>
        <v>3.9374145607540559E-2</v>
      </c>
      <c r="D397" s="9"/>
      <c r="E397" s="7">
        <v>20224.240000000002</v>
      </c>
      <c r="F397" s="8">
        <f>IFERROR(E397/E444, "NA")</f>
        <v>3.6006446758146127E-2</v>
      </c>
      <c r="G397" s="9"/>
      <c r="H397" s="10">
        <f t="shared" si="96"/>
        <v>-551.75</v>
      </c>
      <c r="I397" s="8">
        <f>IFERROR(H397/H444, "NA")</f>
        <v>1.6214483155451577E-2</v>
      </c>
      <c r="J397" s="9"/>
      <c r="K397" s="7">
        <v>9513.4500000000007</v>
      </c>
      <c r="L397" s="8">
        <f>IFERROR(K397/K444, "NA")</f>
        <v>1.9281080947646349E-2</v>
      </c>
      <c r="M397" s="9"/>
      <c r="N397" s="10">
        <f t="shared" si="97"/>
        <v>-11262.54</v>
      </c>
      <c r="O397" s="8">
        <f>IFERROR(N397/N444, "NA")</f>
        <v>-0.32886112984749044</v>
      </c>
      <c r="P397" s="9"/>
      <c r="Q397" s="7">
        <v>60015.24</v>
      </c>
      <c r="R397" s="8">
        <f>IFERROR(Q397/Q444, "NA")</f>
        <v>1.4617628623510901E-2</v>
      </c>
      <c r="S397" s="9"/>
      <c r="T397" s="7">
        <v>123978.77</v>
      </c>
      <c r="U397" s="8">
        <f>IFERROR(T397/T444, "NA")</f>
        <v>2.9657278117762344E-2</v>
      </c>
      <c r="V397" s="9"/>
      <c r="W397" s="10">
        <f t="shared" si="98"/>
        <v>63963.530000000006</v>
      </c>
      <c r="X397" s="8">
        <f>IFERROR(W397/W444, "NA")</f>
        <v>-0.85619077704796365</v>
      </c>
      <c r="Y397" s="9"/>
      <c r="Z397" s="7">
        <v>55918.09</v>
      </c>
      <c r="AA397" s="8">
        <f>IFERROR(Z397/Z444, "NA")</f>
        <v>1.5230713215716632E-2</v>
      </c>
      <c r="AB397" s="9"/>
      <c r="AC397" s="10">
        <f t="shared" si="99"/>
        <v>-4097.1500000000015</v>
      </c>
      <c r="AD397" s="8">
        <f>IFERROR(AC397/AC444, "NA")</f>
        <v>-9.434519040324647E-3</v>
      </c>
    </row>
    <row r="398" spans="1:30" ht="16.5" customHeight="1" x14ac:dyDescent="0.45">
      <c r="A398" s="20" t="s">
        <v>364</v>
      </c>
      <c r="B398" s="7">
        <v>165.33</v>
      </c>
      <c r="C398" s="8">
        <f>IFERROR(B398/B444, "NA")</f>
        <v>3.1332935245418774E-4</v>
      </c>
      <c r="D398" s="9"/>
      <c r="E398" s="7">
        <v>75</v>
      </c>
      <c r="F398" s="8">
        <f>IFERROR(E398/E444, "NA")</f>
        <v>1.3352706983604622E-4</v>
      </c>
      <c r="G398" s="9"/>
      <c r="H398" s="10">
        <f t="shared" si="96"/>
        <v>-90.330000000000013</v>
      </c>
      <c r="I398" s="8">
        <f>IFERROR(H398/H444, "NA")</f>
        <v>2.6545614199038354E-3</v>
      </c>
      <c r="J398" s="9"/>
      <c r="K398" s="7">
        <v>52.64</v>
      </c>
      <c r="L398" s="8">
        <f>IFERROR(K398/K444, "NA")</f>
        <v>1.0668643878762212E-4</v>
      </c>
      <c r="M398" s="9"/>
      <c r="N398" s="10">
        <f t="shared" si="97"/>
        <v>-112.69000000000001</v>
      </c>
      <c r="O398" s="8">
        <f>IFERROR(N398/N444, "NA")</f>
        <v>-3.2904975895769245E-3</v>
      </c>
      <c r="P398" s="9"/>
      <c r="Q398" s="7">
        <v>1010.61</v>
      </c>
      <c r="R398" s="8">
        <f>IFERROR(Q398/Q444, "NA")</f>
        <v>2.4614950574564651E-4</v>
      </c>
      <c r="S398" s="9"/>
      <c r="T398" s="7">
        <v>525</v>
      </c>
      <c r="U398" s="8">
        <f>IFERROR(T398/T444, "NA")</f>
        <v>1.2558659044468041E-4</v>
      </c>
      <c r="V398" s="9"/>
      <c r="W398" s="10">
        <f t="shared" si="98"/>
        <v>-485.61</v>
      </c>
      <c r="X398" s="8">
        <f>IFERROR(W398/W444, "NA")</f>
        <v>6.5001853906790572E-3</v>
      </c>
      <c r="Y398" s="9"/>
      <c r="Z398" s="7">
        <v>775.19</v>
      </c>
      <c r="AA398" s="8">
        <f>IFERROR(Z398/Z444, "NA")</f>
        <v>2.1114270136357265E-4</v>
      </c>
      <c r="AB398" s="9"/>
      <c r="AC398" s="10">
        <f t="shared" si="99"/>
        <v>-235.41999999999996</v>
      </c>
      <c r="AD398" s="8">
        <f>IFERROR(AC398/AC444, "NA")</f>
        <v>-5.4210230830534082E-4</v>
      </c>
    </row>
    <row r="399" spans="1:30" ht="16.5" customHeight="1" x14ac:dyDescent="0.45">
      <c r="A399" s="20" t="s">
        <v>365</v>
      </c>
      <c r="B399" s="7">
        <v>987</v>
      </c>
      <c r="C399" s="8">
        <f>IFERROR(B399/B444, "NA")</f>
        <v>1.8705381411255263E-3</v>
      </c>
      <c r="D399" s="9"/>
      <c r="E399" s="7">
        <v>700</v>
      </c>
      <c r="F399" s="8">
        <f>IFERROR(E399/E444, "NA")</f>
        <v>1.246252651803098E-3</v>
      </c>
      <c r="G399" s="9"/>
      <c r="H399" s="10">
        <f t="shared" si="96"/>
        <v>-287</v>
      </c>
      <c r="I399" s="8">
        <f>IFERROR(H399/H444, "NA")</f>
        <v>8.4341761044215719E-3</v>
      </c>
      <c r="J399" s="9"/>
      <c r="K399" s="7">
        <v>1894.95</v>
      </c>
      <c r="L399" s="8">
        <f>IFERROR(K399/K444, "NA")</f>
        <v>3.8405293917288096E-3</v>
      </c>
      <c r="M399" s="9"/>
      <c r="N399" s="10">
        <f t="shared" si="97"/>
        <v>907.95</v>
      </c>
      <c r="O399" s="8">
        <f>IFERROR(N399/N444, "NA")</f>
        <v>2.6511733840237542E-2</v>
      </c>
      <c r="P399" s="9"/>
      <c r="Q399" s="7">
        <v>1487</v>
      </c>
      <c r="R399" s="8">
        <f>IFERROR(Q399/Q444, "NA")</f>
        <v>3.6218156860092057E-4</v>
      </c>
      <c r="S399" s="9"/>
      <c r="T399" s="7">
        <v>4900</v>
      </c>
      <c r="U399" s="8">
        <f>IFERROR(T399/T444, "NA")</f>
        <v>1.1721415108170172E-3</v>
      </c>
      <c r="V399" s="9"/>
      <c r="W399" s="10">
        <f t="shared" si="98"/>
        <v>3413</v>
      </c>
      <c r="X399" s="8">
        <f>IFERROR(W399/W444, "NA")</f>
        <v>-4.5685082140787099E-2</v>
      </c>
      <c r="Y399" s="9"/>
      <c r="Z399" s="7">
        <v>5570.95</v>
      </c>
      <c r="AA399" s="8">
        <f>IFERROR(Z399/Z444, "NA")</f>
        <v>1.5173898426984287E-3</v>
      </c>
      <c r="AB399" s="9"/>
      <c r="AC399" s="10">
        <f t="shared" si="99"/>
        <v>4083.95</v>
      </c>
      <c r="AD399" s="8">
        <f>IFERROR(AC399/AC444, "NA")</f>
        <v>9.4041233625163402E-3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1.6889310428230529E-2</v>
      </c>
      <c r="M401" s="9"/>
      <c r="N401" s="10">
        <f t="shared" si="97"/>
        <v>8333.33</v>
      </c>
      <c r="O401" s="8">
        <f>IFERROR(N401/N444, "NA")</f>
        <v>0.24332950819193425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58333.33</v>
      </c>
      <c r="AA401" s="8">
        <f>IFERROR(Z401/Z444, "NA")</f>
        <v>1.588856522366482E-2</v>
      </c>
      <c r="AB401" s="9"/>
      <c r="AC401" s="10">
        <f t="shared" si="99"/>
        <v>58333.33</v>
      </c>
      <c r="AD401" s="8">
        <f>IFERROR(AC401/AC444, "NA")</f>
        <v>0.13432432607313394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114944.76999999999</v>
      </c>
      <c r="C403" s="15">
        <f>IFERROR(B403/B444, "NA")</f>
        <v>0.21784050294620178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159951.39999999997</v>
      </c>
      <c r="F403" s="15">
        <f>IFERROR(E403/E444, "NA")</f>
        <v>0.28477122344231143</v>
      </c>
      <c r="G403" s="2"/>
      <c r="H403" s="14">
        <f t="shared" si="96"/>
        <v>45006.629999999976</v>
      </c>
      <c r="I403" s="15">
        <f>IFERROR(H403/H444, "NA")</f>
        <v>-1.322626631660428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138952.93999999997</v>
      </c>
      <c r="L403" s="15">
        <f>IFERROR(K403/K444, "NA")</f>
        <v>0.28161843327640818</v>
      </c>
      <c r="M403" s="2"/>
      <c r="N403" s="14">
        <f t="shared" si="97"/>
        <v>24008.169999999984</v>
      </c>
      <c r="O403" s="15">
        <f>IFERROR(N403/N444, "NA")</f>
        <v>0.70102782425373122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931241.44</v>
      </c>
      <c r="R403" s="15">
        <f>IFERROR(Q403/Q444, "NA")</f>
        <v>0.22681808035331541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1137241.33</v>
      </c>
      <c r="U403" s="15">
        <f>IFERROR(T403/T444, "NA")</f>
        <v>0.27204240218566411</v>
      </c>
      <c r="V403" s="2"/>
      <c r="W403" s="14">
        <f t="shared" si="98"/>
        <v>205999.89000000013</v>
      </c>
      <c r="X403" s="15">
        <f>IFERROR(W403/W444, "NA")</f>
        <v>-2.7574338985183453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1072849.0999999999</v>
      </c>
      <c r="AA403" s="15">
        <f>IFERROR(Z403/Z444, "NA")</f>
        <v>0.2922177235638716</v>
      </c>
      <c r="AB403" s="2"/>
      <c r="AC403" s="14">
        <f t="shared" si="99"/>
        <v>141607.65999999992</v>
      </c>
      <c r="AD403" s="15">
        <f>IFERROR(AC403/AC444, "NA")</f>
        <v>0.32608036428390896</v>
      </c>
    </row>
    <row r="404" spans="1:30" ht="16.5" customHeight="1" x14ac:dyDescent="0.45">
      <c r="A404" s="22" t="s">
        <v>370</v>
      </c>
      <c r="B404" s="23">
        <f>IFERROR(B345-B403, "NA")</f>
        <v>-107691.51999999995</v>
      </c>
      <c r="C404" s="24">
        <f>IFERROR(B404/B444, "NA")</f>
        <v>-0.20409432181943502</v>
      </c>
      <c r="D404" s="25"/>
      <c r="E404" s="23">
        <f>IFERROR(E345-E403, "NA")</f>
        <v>-90748.03</v>
      </c>
      <c r="F404" s="24">
        <f>IFERROR(E404/E444, "NA")</f>
        <v>-0.16156424719058154</v>
      </c>
      <c r="G404" s="25"/>
      <c r="H404" s="23">
        <f>IFERROR(B404-E404, "NA")</f>
        <v>-16943.489999999947</v>
      </c>
      <c r="I404" s="24">
        <f>IFERROR(H404/H444, "NA")</f>
        <v>0.4979246637055938</v>
      </c>
      <c r="J404" s="25"/>
      <c r="K404" s="23">
        <f>IFERROR(K345-K403, "NA")</f>
        <v>-106644.4999999999</v>
      </c>
      <c r="L404" s="24">
        <f>IFERROR(K404/K444, "NA")</f>
        <v>-0.21613833437094523</v>
      </c>
      <c r="M404" s="25"/>
      <c r="N404" s="23">
        <f>IFERROR(B404-K404, "NA")</f>
        <v>-1047.0200000000477</v>
      </c>
      <c r="O404" s="24">
        <f>IFERROR(N404/N444, "NA")</f>
        <v>-3.0572515629061926E-2</v>
      </c>
      <c r="P404" s="25"/>
      <c r="Q404" s="23">
        <f>IFERROR(Q345-Q403, "NA")</f>
        <v>-811406.93999999855</v>
      </c>
      <c r="R404" s="24">
        <f>IFERROR(Q404/Q444, "NA")</f>
        <v>-0.19763055702950402</v>
      </c>
      <c r="S404" s="25"/>
      <c r="T404" s="23">
        <f>IFERROR(T345-T403, "NA")</f>
        <v>-658784.58999999927</v>
      </c>
      <c r="U404" s="24">
        <f>IFERROR(T404/T444, "NA")</f>
        <v>-0.15758954380113641</v>
      </c>
      <c r="V404" s="25"/>
      <c r="W404" s="23">
        <f>IFERROR(Q404-T404, "NA")</f>
        <v>-152622.34999999928</v>
      </c>
      <c r="X404" s="24">
        <f>IFERROR(W404/W444, "NA")</f>
        <v>2.0429430402197259</v>
      </c>
      <c r="Y404" s="25"/>
      <c r="Z404" s="23">
        <f>IFERROR(Z345-Z403, "NA")</f>
        <v>-825417.94999999879</v>
      </c>
      <c r="AA404" s="24">
        <f>IFERROR(Z404/Z444, "NA")</f>
        <v>-0.22482356031035239</v>
      </c>
      <c r="AB404" s="25"/>
      <c r="AC404" s="23">
        <f>IFERROR(Q404-Z404, "NA")</f>
        <v>14011.010000000242</v>
      </c>
      <c r="AD404" s="24">
        <f>IFERROR(AC404/AC444, "NA")</f>
        <v>3.2263192858250557E-2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-1.6053349628646758E-2</v>
      </c>
      <c r="AB407" s="9"/>
      <c r="AC407" s="10">
        <f t="shared" ref="AC407:AC429" si="103">IFERROR(-(Q407-Z407), "NA")</f>
        <v>-58938.32</v>
      </c>
      <c r="AD407" s="8">
        <f>IFERROR(AC407/AC444, "NA")</f>
        <v>-0.1357174382789858</v>
      </c>
    </row>
    <row r="408" spans="1:30" ht="16.5" customHeight="1" x14ac:dyDescent="0.45">
      <c r="A408" s="6" t="s">
        <v>373</v>
      </c>
      <c r="B408" s="7">
        <v>250</v>
      </c>
      <c r="C408" s="8">
        <f>IFERROR(B408/B444, "NA")</f>
        <v>4.7379385540160244E-4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-250</v>
      </c>
      <c r="I408" s="8">
        <f>IFERROR(H408/H444, "NA")</f>
        <v>7.3468432965344711E-3</v>
      </c>
      <c r="J408" s="9"/>
      <c r="K408" s="7">
        <v>4208</v>
      </c>
      <c r="L408" s="8">
        <f>IFERROR(K408/K444, "NA")</f>
        <v>8.52842960521113E-3</v>
      </c>
      <c r="M408" s="9"/>
      <c r="N408" s="10">
        <f t="shared" si="101"/>
        <v>3958</v>
      </c>
      <c r="O408" s="8">
        <f>IFERROR(N408/N444, "NA")</f>
        <v>0.11557182943957287</v>
      </c>
      <c r="P408" s="9"/>
      <c r="Q408" s="7">
        <v>250</v>
      </c>
      <c r="R408" s="8">
        <f>IFERROR(Q408/Q444, "NA")</f>
        <v>6.0891319536133247E-5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3.3464021491933123E-3</v>
      </c>
      <c r="Y408" s="9"/>
      <c r="Z408" s="7">
        <v>6251.6900000000005</v>
      </c>
      <c r="AA408" s="8">
        <f>IFERROR(Z408/Z444, "NA")</f>
        <v>1.7028066856998071E-3</v>
      </c>
      <c r="AB408" s="9"/>
      <c r="AC408" s="10">
        <f t="shared" si="103"/>
        <v>6001.6900000000005</v>
      </c>
      <c r="AD408" s="8">
        <f>IFERROR(AC408/AC444, "NA")</f>
        <v>1.382010875343251E-2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29200.870000000003</v>
      </c>
      <c r="C410" s="8">
        <f>IFERROR(B410/B444, "NA")</f>
        <v>5.5340771113523965E-2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-29200.870000000003</v>
      </c>
      <c r="I410" s="8">
        <f>IFERROR(H410/H444, "NA")</f>
        <v>0.8581368640498982</v>
      </c>
      <c r="J410" s="9"/>
      <c r="K410" s="7">
        <v>29528.409999999996</v>
      </c>
      <c r="L410" s="8">
        <f>IFERROR(K410/K444, "NA")</f>
        <v>5.9845761891352746E-2</v>
      </c>
      <c r="M410" s="9"/>
      <c r="N410" s="10">
        <f t="shared" si="101"/>
        <v>327.5399999999936</v>
      </c>
      <c r="O410" s="8">
        <f>IFERROR(N410/N444, "NA")</f>
        <v>9.5640214791907416E-3</v>
      </c>
      <c r="P410" s="9"/>
      <c r="Q410" s="7">
        <v>197998.49000000002</v>
      </c>
      <c r="R410" s="8">
        <f>IFERROR(Q410/Q444, "NA")</f>
        <v>4.8225557289047538E-2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-197998.49000000002</v>
      </c>
      <c r="X410" s="8">
        <f>IFERROR(W410/W444, "NA")</f>
        <v>2.6503302898921222</v>
      </c>
      <c r="Y410" s="9"/>
      <c r="Z410" s="7">
        <v>228648.32000000001</v>
      </c>
      <c r="AA410" s="8">
        <f>IFERROR(Z410/Z444, "NA")</f>
        <v>6.2278182054777011E-2</v>
      </c>
      <c r="AB410" s="9"/>
      <c r="AC410" s="10">
        <f t="shared" si="103"/>
        <v>30649.829999999987</v>
      </c>
      <c r="AD410" s="8">
        <f>IFERROR(AC410/AC444, "NA")</f>
        <v>7.0577451330245011E-2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5.0860822789651223E-4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7.8866893419638241E-3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-7.8362839481299074E-3</v>
      </c>
      <c r="P411" s="9"/>
      <c r="Q411" s="7">
        <v>1610.22</v>
      </c>
      <c r="R411" s="8">
        <f>IFERROR(Q411/Q444, "NA")</f>
        <v>3.921936821738899E-4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-1610.22</v>
      </c>
      <c r="X411" s="8">
        <f>IFERROR(W411/W444, "NA")</f>
        <v>2.155377467469622E-2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-1610.22</v>
      </c>
      <c r="AD411" s="8">
        <f>IFERROR(AC411/AC444, "NA")</f>
        <v>-3.7078582060972986E-3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-129.11000000000001</v>
      </c>
      <c r="C416" s="8">
        <f>IFERROR(B416/B444, "NA")</f>
        <v>-2.4468609868360359E-4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129.11000000000001</v>
      </c>
      <c r="I416" s="8">
        <f>IFERROR(H416/H444, "NA")</f>
        <v>-3.7942037520622626E-3</v>
      </c>
      <c r="J416" s="9"/>
      <c r="K416" s="7">
        <v>-140.44999999999999</v>
      </c>
      <c r="L416" s="8">
        <f>IFERROR(K416/K444, "NA")</f>
        <v>-2.8465255181841804E-4</v>
      </c>
      <c r="M416" s="9"/>
      <c r="N416" s="10">
        <f t="shared" si="101"/>
        <v>-11.339999999999975</v>
      </c>
      <c r="O416" s="8">
        <f>IFERROR(N416/N444, "NA")</f>
        <v>-3.3112292719675426E-4</v>
      </c>
      <c r="P416" s="9"/>
      <c r="Q416" s="7">
        <v>-320.11</v>
      </c>
      <c r="R416" s="8">
        <f>IFERROR(Q416/Q444, "NA")</f>
        <v>-7.7967681186846453E-5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320.11</v>
      </c>
      <c r="X416" s="8">
        <f>IFERROR(W416/W444, "NA")</f>
        <v>-4.2848671679130848E-3</v>
      </c>
      <c r="Y416" s="9"/>
      <c r="Z416" s="7">
        <v>-876.03</v>
      </c>
      <c r="AA416" s="8">
        <f>IFERROR(Z416/Z444, "NA")</f>
        <v>-2.3860903865572378E-4</v>
      </c>
      <c r="AB416" s="9"/>
      <c r="AC416" s="10">
        <f t="shared" si="103"/>
        <v>-555.91999999999996</v>
      </c>
      <c r="AD416" s="8">
        <f>IFERROR(AC416/AC444, "NA")</f>
        <v>-1.2801185763023748E-3</v>
      </c>
    </row>
    <row r="417" spans="1:30" ht="16.5" customHeight="1" x14ac:dyDescent="0.45">
      <c r="A417" s="6" t="s">
        <v>382</v>
      </c>
      <c r="B417" s="7">
        <v>-140.63999999999999</v>
      </c>
      <c r="C417" s="8">
        <f>IFERROR(B417/B444, "NA")</f>
        <v>-2.6653747129472543E-4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140.63999999999999</v>
      </c>
      <c r="I417" s="8">
        <f>IFERROR(H417/H444, "NA")</f>
        <v>-4.133040164898431E-3</v>
      </c>
      <c r="J417" s="9"/>
      <c r="K417" s="7">
        <v>-0.78000000000000114</v>
      </c>
      <c r="L417" s="8">
        <f>IFERROR(K417/K444, "NA")</f>
        <v>-1.5808400884184153E-6</v>
      </c>
      <c r="M417" s="9"/>
      <c r="N417" s="10">
        <f t="shared" si="101"/>
        <v>139.85999999999999</v>
      </c>
      <c r="O417" s="8">
        <f>IFERROR(N417/N444, "NA")</f>
        <v>4.0838494354266449E-3</v>
      </c>
      <c r="P417" s="9"/>
      <c r="Q417" s="7">
        <v>-491.8300000000001</v>
      </c>
      <c r="R417" s="8">
        <f>IFERROR(Q417/Q444, "NA")</f>
        <v>-1.1979271074982569E-4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491.8300000000001</v>
      </c>
      <c r="X417" s="8">
        <f>IFERROR(W417/W444, "NA")</f>
        <v>-6.5834438761509882E-3</v>
      </c>
      <c r="Y417" s="9"/>
      <c r="Z417" s="7">
        <v>-11.719999999999999</v>
      </c>
      <c r="AA417" s="8">
        <f>IFERROR(Z417/Z444, "NA")</f>
        <v>-3.1922399153511669E-6</v>
      </c>
      <c r="AB417" s="9"/>
      <c r="AC417" s="10">
        <f t="shared" si="103"/>
        <v>480.11000000000013</v>
      </c>
      <c r="AD417" s="8">
        <f>IFERROR(AC417/AC444, "NA")</f>
        <v>1.1055506721624215E-3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-3725.69</v>
      </c>
      <c r="R418" s="8">
        <f>IFERROR(Q418/Q444, "NA")</f>
        <v>-9.0744872113030514E-4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-4.9870628092912123E-2</v>
      </c>
      <c r="Y418" s="9"/>
      <c r="Z418" s="7">
        <v>-2278.69</v>
      </c>
      <c r="AA418" s="8">
        <f>IFERROR(Z418/Z444, "NA")</f>
        <v>-6.206591444293132E-4</v>
      </c>
      <c r="AB418" s="9"/>
      <c r="AC418" s="10">
        <f t="shared" si="103"/>
        <v>1447</v>
      </c>
      <c r="AD418" s="8">
        <f>IFERROR(AC418/AC444, "NA")</f>
        <v>3.3320110445919137E-3</v>
      </c>
    </row>
    <row r="419" spans="1:30" ht="16.5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56.25</v>
      </c>
      <c r="R419" s="8">
        <f>IFERROR(Q419/Q444, "NA")</f>
        <v>1.370054689562998E-5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-56.25</v>
      </c>
      <c r="X419" s="8">
        <f>IFERROR(W419/W444, "NA")</f>
        <v>7.5294048356849526E-4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-56.25</v>
      </c>
      <c r="AD419" s="8">
        <f>IFERROR(AC419/AC444, "NA")</f>
        <v>-1.2952703611492406E-4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-1.2178263907226649E-5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-6.6928042983866246E-4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1.1513514321326585E-4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-2.88</v>
      </c>
      <c r="C423" s="8">
        <f>IFERROR(B423/B444, "NA")</f>
        <v>-5.4581052142264601E-6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2.88</v>
      </c>
      <c r="I423" s="8">
        <f>IFERROR(H423/H444, "NA")</f>
        <v>-8.4635634776077098E-5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2.88</v>
      </c>
      <c r="O423" s="8">
        <f>IFERROR(N423/N444, "NA")</f>
        <v>8.4094711669017145E-5</v>
      </c>
      <c r="P423" s="9"/>
      <c r="Q423" s="7">
        <v>-6.72</v>
      </c>
      <c r="R423" s="8">
        <f>IFERROR(Q423/Q444, "NA")</f>
        <v>-1.6367586691312616E-6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6.72</v>
      </c>
      <c r="X423" s="8">
        <f>IFERROR(W423/W444, "NA")</f>
        <v>-8.9951289770316228E-5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6.72</v>
      </c>
      <c r="AD423" s="8">
        <f>IFERROR(AC423/AC444, "NA")</f>
        <v>1.5474163247862929E-5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6.6591875365594607E-4</v>
      </c>
      <c r="M424" s="9"/>
      <c r="N424" s="10">
        <f t="shared" si="101"/>
        <v>328.57</v>
      </c>
      <c r="O424" s="8">
        <f>IFERROR(N424/N444, "NA")</f>
        <v>9.5940970184336671E-3</v>
      </c>
      <c r="P424" s="9"/>
      <c r="Q424" s="7">
        <v>239.6</v>
      </c>
      <c r="R424" s="8">
        <f>IFERROR(Q424/Q444, "NA")</f>
        <v>5.8358240643430102E-5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3.2071918197868702E-3</v>
      </c>
      <c r="Y424" s="9"/>
      <c r="Z424" s="7">
        <v>681.62</v>
      </c>
      <c r="AA424" s="8">
        <f>IFERROR(Z424/Z444, "NA")</f>
        <v>1.8565653337044902E-4</v>
      </c>
      <c r="AB424" s="9"/>
      <c r="AC424" s="10">
        <f t="shared" si="103"/>
        <v>442.02</v>
      </c>
      <c r="AD424" s="8">
        <f>IFERROR(AC424/AC444, "NA")</f>
        <v>1.0178407200625553E-3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-16646.850000000002</v>
      </c>
      <c r="C426" s="8">
        <f>IFERROR(B426/B444, "NA")</f>
        <v>-3.1548700967168664E-2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16646.850000000002</v>
      </c>
      <c r="I426" s="8">
        <f>IFERROR(H426/H444, "NA")</f>
        <v>-0.48920719332365947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16646.850000000002</v>
      </c>
      <c r="O426" s="8">
        <f>IFERROR(N426/N444, "NA")</f>
        <v>0.48608057324561743</v>
      </c>
      <c r="P426" s="9"/>
      <c r="Q426" s="7">
        <v>-80313.650000000009</v>
      </c>
      <c r="R426" s="8">
        <f>IFERROR(Q426/Q444, "NA")</f>
        <v>-1.9561616501052675E-2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80313.650000000009</v>
      </c>
      <c r="X426" s="8">
        <f>IFERROR(W426/W444, "NA")</f>
        <v>-1.075047083878238</v>
      </c>
      <c r="Y426" s="9"/>
      <c r="Z426" s="7">
        <v>-4008.09</v>
      </c>
      <c r="AA426" s="8">
        <f>IFERROR(Z426/Z444, "NA")</f>
        <v>-1.0917051947371894E-3</v>
      </c>
      <c r="AB426" s="9"/>
      <c r="AC426" s="10">
        <f t="shared" si="103"/>
        <v>76305.560000000012</v>
      </c>
      <c r="AD426" s="8">
        <f>IFERROR(AC426/AC444, "NA")</f>
        <v>0.17570903157136902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12799.759999999998</v>
      </c>
      <c r="C428" s="15">
        <f>IFERROR(B428/B444, "NA")</f>
        <v>2.4257790554460857E-2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-12799.759999999998</v>
      </c>
      <c r="I428" s="15">
        <f>IFERROR(H428/H444, "NA")</f>
        <v>0.3761513238130002</v>
      </c>
      <c r="J428" s="2"/>
      <c r="K428" s="14">
        <f>IFERROR(K407+K408+K409+K410+K411+K412+K413+K414+K415+K416+K417+K418+K419+K420+K421+K422+K423+K424+K425+K426+K427, "NA")</f>
        <v>33923.75</v>
      </c>
      <c r="L428" s="15">
        <f>IFERROR(K428/K444, "NA")</f>
        <v>6.8753876858312996E-2</v>
      </c>
      <c r="M428" s="2"/>
      <c r="N428" s="14">
        <f t="shared" si="101"/>
        <v>21123.99</v>
      </c>
      <c r="O428" s="15">
        <f>IFERROR(N428/N444, "NA")</f>
        <v>0.61681105845458384</v>
      </c>
      <c r="P428" s="2"/>
      <c r="Q428" s="14">
        <f>IFERROR(Q407+Q408+Q409+Q410+Q411+Q412+Q413+Q414+Q415+Q416+Q417+Q418+Q419+Q420+Q421+Q422+Q423+Q424+Q425+Q426+Q427, "NA")</f>
        <v>115246.56000000004</v>
      </c>
      <c r="R428" s="15">
        <f>IFERROR(Q428/Q444, "NA")</f>
        <v>2.8070060441600618E-2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-115246.56000000004</v>
      </c>
      <c r="X428" s="15">
        <f>IFERROR(W428/W444, "NA")</f>
        <v>1.5426453442845445</v>
      </c>
      <c r="Y428" s="2"/>
      <c r="Z428" s="14">
        <f>IFERROR(Z407+Z408+Z409+Z410+Z411+Z412+Z413+Z414+Z415+Z416+Z417+Z418+Z419+Z420+Z421+Z422+Z423+Z424+Z425+Z426+Z427, "NA")</f>
        <v>169468.78</v>
      </c>
      <c r="AA428" s="15">
        <f>IFERROR(Z428/Z444, "NA")</f>
        <v>4.6159130027462934E-2</v>
      </c>
      <c r="AB428" s="2"/>
      <c r="AC428" s="14">
        <f t="shared" si="103"/>
        <v>54222.219999999958</v>
      </c>
      <c r="AD428" s="15">
        <f>IFERROR(AC428/AC444, "NA")</f>
        <v>0.12485766130082405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12799.759999999998</v>
      </c>
      <c r="C429" s="15">
        <f>IFERROR(B429/B444, "NA")</f>
        <v>2.4257790554460857E-2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-12799.759999999998</v>
      </c>
      <c r="I429" s="15">
        <f>IFERROR(H429/H444, "NA")</f>
        <v>0.3761513238130002</v>
      </c>
      <c r="J429" s="2"/>
      <c r="K429" s="14">
        <f>IFERROR(K407+K408+K409+K410+K411+K412+K413+K414+K415+K416+K417+K418+K419+K420+K421+K422+K423+K424+K425+K426+K427, "NA")</f>
        <v>33923.75</v>
      </c>
      <c r="L429" s="15">
        <f>IFERROR(K429/K444, "NA")</f>
        <v>6.8753876858312996E-2</v>
      </c>
      <c r="M429" s="2"/>
      <c r="N429" s="14">
        <f t="shared" si="101"/>
        <v>21123.99</v>
      </c>
      <c r="O429" s="15">
        <f>IFERROR(N429/N444, "NA")</f>
        <v>0.61681105845458384</v>
      </c>
      <c r="P429" s="2"/>
      <c r="Q429" s="14">
        <f>IFERROR(Q407+Q408+Q409+Q410+Q411+Q412+Q413+Q414+Q415+Q416+Q417+Q418+Q419+Q420+Q421+Q422+Q423+Q424+Q425+Q426+Q427, "NA")</f>
        <v>115246.56000000004</v>
      </c>
      <c r="R429" s="15">
        <f>IFERROR(Q429/Q444, "NA")</f>
        <v>2.8070060441600618E-2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-115246.56000000004</v>
      </c>
      <c r="X429" s="15">
        <f>IFERROR(W429/W444, "NA")</f>
        <v>1.5426453442845445</v>
      </c>
      <c r="Y429" s="2"/>
      <c r="Z429" s="14">
        <f>IFERROR(Z407+Z408+Z409+Z410+Z411+Z412+Z413+Z414+Z415+Z416+Z417+Z418+Z419+Z420+Z421+Z422+Z423+Z424+Z425+Z426+Z427, "NA")</f>
        <v>169468.78</v>
      </c>
      <c r="AA429" s="15">
        <f>IFERROR(Z429/Z444, "NA")</f>
        <v>4.6159130027462934E-2</v>
      </c>
      <c r="AB429" s="2"/>
      <c r="AC429" s="14">
        <f t="shared" si="103"/>
        <v>54222.219999999958</v>
      </c>
      <c r="AD429" s="15">
        <f>IFERROR(AC429/AC444, "NA")</f>
        <v>0.12485766130082405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-120491.27999999994</v>
      </c>
      <c r="C443" s="24">
        <f>IFERROR(B443/B444, "NA")</f>
        <v>-0.22835211237389585</v>
      </c>
      <c r="D443" s="25"/>
      <c r="E443" s="23">
        <f>IFERROR(E404-E429-E442, "NA")</f>
        <v>-90748.03</v>
      </c>
      <c r="F443" s="24">
        <f>IFERROR(E443/E444, "NA")</f>
        <v>-0.16156424719058154</v>
      </c>
      <c r="G443" s="25"/>
      <c r="H443" s="23">
        <f>IFERROR(B443-E443, "NA")</f>
        <v>-29743.249999999942</v>
      </c>
      <c r="I443" s="24">
        <f>IFERROR(H443/H444, "NA")</f>
        <v>0.87407598751859383</v>
      </c>
      <c r="J443" s="25"/>
      <c r="K443" s="23">
        <f>IFERROR(K404-K429-K442, "NA")</f>
        <v>-140568.24999999988</v>
      </c>
      <c r="L443" s="24">
        <f>IFERROR(K443/K444, "NA")</f>
        <v>-0.28489221122925817</v>
      </c>
      <c r="M443" s="25"/>
      <c r="N443" s="23">
        <f>IFERROR(B443-K443, "NA")</f>
        <v>20076.969999999943</v>
      </c>
      <c r="O443" s="24">
        <f>IFERROR(N443/N444, "NA")</f>
        <v>0.58623854282552168</v>
      </c>
      <c r="P443" s="25"/>
      <c r="Q443" s="23">
        <f>IFERROR(Q404-Q429-Q442, "NA")</f>
        <v>-926653.4999999986</v>
      </c>
      <c r="R443" s="24">
        <f>IFERROR(Q443/Q444, "NA")</f>
        <v>-0.22570061747110465</v>
      </c>
      <c r="S443" s="25"/>
      <c r="T443" s="23">
        <f>IFERROR(T404-T429-T442, "NA")</f>
        <v>-658784.58999999927</v>
      </c>
      <c r="U443" s="24">
        <f>IFERROR(T443/T444, "NA")</f>
        <v>-0.15758954380113641</v>
      </c>
      <c r="V443" s="25"/>
      <c r="W443" s="23">
        <f>IFERROR(Q443-T443, "NA")</f>
        <v>-267868.90999999933</v>
      </c>
      <c r="X443" s="24">
        <f>IFERROR(W443/W444, "NA")</f>
        <v>3.5855883845042706</v>
      </c>
      <c r="Y443" s="25"/>
      <c r="Z443" s="23">
        <f>IFERROR(Z404-Z429-Z442, "NA")</f>
        <v>-994886.72999999882</v>
      </c>
      <c r="AA443" s="24">
        <f>IFERROR(Z443/Z444, "NA")</f>
        <v>-0.27098269033781536</v>
      </c>
      <c r="AB443" s="25"/>
      <c r="AC443" s="23">
        <f>IFERROR(Q443-Z443, "NA")</f>
        <v>68233.230000000214</v>
      </c>
      <c r="AD443" s="24">
        <f>IFERROR(AC443/AC444, "NA")</f>
        <v>0.15712085415907465</v>
      </c>
    </row>
    <row r="444" spans="1:30" ht="15.75" hidden="1" x14ac:dyDescent="0.45">
      <c r="A444" s="26" t="s">
        <v>117</v>
      </c>
      <c r="B444" s="7">
        <v>527655.64</v>
      </c>
      <c r="C444" s="27"/>
      <c r="D444" s="9"/>
      <c r="E444" s="7">
        <v>561683.86</v>
      </c>
      <c r="F444" s="27"/>
      <c r="G444" s="9"/>
      <c r="H444" s="10">
        <f>IFERROR(B444-E444, "NA")</f>
        <v>-34028.219999999972</v>
      </c>
      <c r="I444" s="27"/>
      <c r="J444" s="9"/>
      <c r="K444" s="7">
        <v>493408.54</v>
      </c>
      <c r="L444" s="27"/>
      <c r="M444" s="9"/>
      <c r="N444" s="10">
        <f>IFERROR(B444-K444, "NA")</f>
        <v>34247.100000000035</v>
      </c>
      <c r="O444" s="27"/>
      <c r="P444" s="9"/>
      <c r="Q444" s="7">
        <v>4105675.5199999996</v>
      </c>
      <c r="R444" s="27"/>
      <c r="S444" s="9"/>
      <c r="T444" s="7">
        <v>4180382.6199999996</v>
      </c>
      <c r="U444" s="27"/>
      <c r="V444" s="9"/>
      <c r="W444" s="10">
        <f>IFERROR(Q444-T444, "NA")</f>
        <v>-74707.100000000093</v>
      </c>
      <c r="X444" s="27"/>
      <c r="Y444" s="9"/>
      <c r="Z444" s="7">
        <v>3671403.25</v>
      </c>
      <c r="AA444" s="27"/>
      <c r="AB444" s="9"/>
      <c r="AC444" s="10">
        <f>IFERROR(Q444-Z444, "NA")</f>
        <v>434272.26999999955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42298.02</v>
      </c>
      <c r="C350" s="8" t="str">
        <f>IFERROR(B350/B444, "NA")</f>
        <v>NA</v>
      </c>
      <c r="D350" s="9"/>
      <c r="E350" s="7">
        <v>62115</v>
      </c>
      <c r="F350" s="8" t="str">
        <f>IFERROR(E350/E444, "NA")</f>
        <v>NA</v>
      </c>
      <c r="G350" s="9"/>
      <c r="H350" s="10">
        <f t="shared" si="88"/>
        <v>19816.980000000003</v>
      </c>
      <c r="I350" s="8" t="str">
        <f>IFERROR(H350/H444, "NA")</f>
        <v>NA</v>
      </c>
      <c r="J350" s="9"/>
      <c r="K350" s="7">
        <v>41192.26</v>
      </c>
      <c r="L350" s="8" t="str">
        <f>IFERROR(K350/K444, "NA")</f>
        <v>NA</v>
      </c>
      <c r="M350" s="9"/>
      <c r="N350" s="10">
        <f t="shared" si="89"/>
        <v>-1105.7599999999948</v>
      </c>
      <c r="O350" s="8" t="str">
        <f>IFERROR(N350/N444, "NA")</f>
        <v>NA</v>
      </c>
      <c r="P350" s="9"/>
      <c r="Q350" s="7">
        <v>355919.82</v>
      </c>
      <c r="R350" s="8" t="str">
        <f>IFERROR(Q350/Q444, "NA")</f>
        <v>NA</v>
      </c>
      <c r="S350" s="9"/>
      <c r="T350" s="7">
        <v>458556</v>
      </c>
      <c r="U350" s="8" t="str">
        <f>IFERROR(T350/T444, "NA")</f>
        <v>NA</v>
      </c>
      <c r="V350" s="9"/>
      <c r="W350" s="10">
        <f t="shared" si="90"/>
        <v>102636.18</v>
      </c>
      <c r="X350" s="8" t="str">
        <f>IFERROR(W350/W444, "NA")</f>
        <v>NA</v>
      </c>
      <c r="Y350" s="9"/>
      <c r="Z350" s="7">
        <v>355734</v>
      </c>
      <c r="AA350" s="8" t="str">
        <f>IFERROR(Z350/Z444, "NA")</f>
        <v>NA</v>
      </c>
      <c r="AB350" s="9"/>
      <c r="AC350" s="10">
        <f t="shared" si="91"/>
        <v>-185.82000000000698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5500</v>
      </c>
      <c r="F352" s="8" t="str">
        <f>IFERROR(E352/E444, "NA")</f>
        <v>NA</v>
      </c>
      <c r="G352" s="9"/>
      <c r="H352" s="10">
        <f t="shared" si="88"/>
        <v>5500</v>
      </c>
      <c r="I352" s="8" t="str">
        <f>IFERROR(H352/H444, "NA")</f>
        <v>NA</v>
      </c>
      <c r="J352" s="9"/>
      <c r="K352" s="7">
        <v>10769.24</v>
      </c>
      <c r="L352" s="8" t="str">
        <f>IFERROR(K352/K444, "NA")</f>
        <v>NA</v>
      </c>
      <c r="M352" s="9"/>
      <c r="N352" s="10">
        <f t="shared" si="89"/>
        <v>10769.24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17875</v>
      </c>
      <c r="U352" s="8" t="str">
        <f>IFERROR(T352/T444, "NA")</f>
        <v>NA</v>
      </c>
      <c r="V352" s="9"/>
      <c r="W352" s="10">
        <f t="shared" si="90"/>
        <v>17875</v>
      </c>
      <c r="X352" s="8" t="str">
        <f>IFERROR(W352/W444, "NA")</f>
        <v>NA</v>
      </c>
      <c r="Y352" s="9"/>
      <c r="Z352" s="7">
        <v>70576.97</v>
      </c>
      <c r="AA352" s="8" t="str">
        <f>IFERROR(Z352/Z444, "NA")</f>
        <v>NA</v>
      </c>
      <c r="AB352" s="9"/>
      <c r="AC352" s="10">
        <f t="shared" si="91"/>
        <v>70576.97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145</v>
      </c>
      <c r="C353" s="8" t="str">
        <f>IFERROR(B353/B444, "NA")</f>
        <v>NA</v>
      </c>
      <c r="D353" s="9"/>
      <c r="E353" s="7">
        <v>4716.93</v>
      </c>
      <c r="F353" s="8" t="str">
        <f>IFERROR(E353/E444, "NA")</f>
        <v>NA</v>
      </c>
      <c r="G353" s="9"/>
      <c r="H353" s="10">
        <f t="shared" si="88"/>
        <v>4571.93</v>
      </c>
      <c r="I353" s="8" t="str">
        <f>IFERROR(H353/H444, "NA")</f>
        <v>NA</v>
      </c>
      <c r="J353" s="9"/>
      <c r="K353" s="7">
        <v>2826.22</v>
      </c>
      <c r="L353" s="8" t="str">
        <f>IFERROR(K353/K444, "NA")</f>
        <v>NA</v>
      </c>
      <c r="M353" s="9"/>
      <c r="N353" s="10">
        <f t="shared" si="89"/>
        <v>2681.22</v>
      </c>
      <c r="O353" s="8" t="str">
        <f>IFERROR(N353/N444, "NA")</f>
        <v>NA</v>
      </c>
      <c r="P353" s="9"/>
      <c r="Q353" s="7">
        <v>6919.8</v>
      </c>
      <c r="R353" s="8" t="str">
        <f>IFERROR(Q353/Q444, "NA")</f>
        <v>NA</v>
      </c>
      <c r="S353" s="9"/>
      <c r="T353" s="7">
        <v>34982.5</v>
      </c>
      <c r="U353" s="8" t="str">
        <f>IFERROR(T353/T444, "NA")</f>
        <v>NA</v>
      </c>
      <c r="V353" s="9"/>
      <c r="W353" s="10">
        <f t="shared" si="90"/>
        <v>28062.7</v>
      </c>
      <c r="X353" s="8" t="str">
        <f>IFERROR(W353/W444, "NA")</f>
        <v>NA</v>
      </c>
      <c r="Y353" s="9"/>
      <c r="Z353" s="7">
        <v>2826.22</v>
      </c>
      <c r="AA353" s="8" t="str">
        <f>IFERROR(Z353/Z444, "NA")</f>
        <v>NA</v>
      </c>
      <c r="AB353" s="9"/>
      <c r="AC353" s="10">
        <f t="shared" si="91"/>
        <v>-4093.5800000000004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3616.09</v>
      </c>
      <c r="C354" s="8" t="str">
        <f>IFERROR(B354/B444, "NA")</f>
        <v>NA</v>
      </c>
      <c r="D354" s="9"/>
      <c r="E354" s="7">
        <v>5244.78</v>
      </c>
      <c r="F354" s="8" t="str">
        <f>IFERROR(E354/E444, "NA")</f>
        <v>NA</v>
      </c>
      <c r="G354" s="9"/>
      <c r="H354" s="10">
        <f t="shared" si="88"/>
        <v>1628.6899999999996</v>
      </c>
      <c r="I354" s="8" t="str">
        <f>IFERROR(H354/H444, "NA")</f>
        <v>NA</v>
      </c>
      <c r="J354" s="9"/>
      <c r="K354" s="7">
        <v>4188.2</v>
      </c>
      <c r="L354" s="8" t="str">
        <f>IFERROR(K354/K444, "NA")</f>
        <v>NA</v>
      </c>
      <c r="M354" s="9"/>
      <c r="N354" s="10">
        <f t="shared" si="89"/>
        <v>572.10999999999967</v>
      </c>
      <c r="O354" s="8" t="str">
        <f>IFERROR(N354/N444, "NA")</f>
        <v>NA</v>
      </c>
      <c r="P354" s="9"/>
      <c r="Q354" s="7">
        <v>31387.54</v>
      </c>
      <c r="R354" s="8" t="str">
        <f>IFERROR(Q354/Q444, "NA")</f>
        <v>NA</v>
      </c>
      <c r="S354" s="9"/>
      <c r="T354" s="7">
        <v>39583.519999999997</v>
      </c>
      <c r="U354" s="8" t="str">
        <f>IFERROR(T354/T444, "NA")</f>
        <v>NA</v>
      </c>
      <c r="V354" s="9"/>
      <c r="W354" s="10">
        <f t="shared" si="90"/>
        <v>8195.9799999999959</v>
      </c>
      <c r="X354" s="8" t="str">
        <f>IFERROR(W354/W444, "NA")</f>
        <v>NA</v>
      </c>
      <c r="Y354" s="9"/>
      <c r="Z354" s="7">
        <v>33041.120000000003</v>
      </c>
      <c r="AA354" s="8" t="str">
        <f>IFERROR(Z354/Z444, "NA")</f>
        <v>NA</v>
      </c>
      <c r="AB354" s="9"/>
      <c r="AC354" s="10">
        <f t="shared" si="91"/>
        <v>1653.5800000000017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190.8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89.199999999999989</v>
      </c>
      <c r="I355" s="8" t="str">
        <f>IFERROR(H355/H444, "NA")</f>
        <v>NA</v>
      </c>
      <c r="J355" s="9"/>
      <c r="K355" s="7">
        <v>0</v>
      </c>
      <c r="L355" s="8" t="str">
        <f>IFERROR(K355/K444, "NA")</f>
        <v>NA</v>
      </c>
      <c r="M355" s="9"/>
      <c r="N355" s="10">
        <f t="shared" si="89"/>
        <v>-190.8</v>
      </c>
      <c r="O355" s="8" t="str">
        <f>IFERROR(N355/N444, "NA")</f>
        <v>NA</v>
      </c>
      <c r="P355" s="9"/>
      <c r="Q355" s="7">
        <v>1600.6</v>
      </c>
      <c r="R355" s="8" t="str">
        <f>IFERROR(Q355/Q444, "NA")</f>
        <v>NA</v>
      </c>
      <c r="S355" s="9"/>
      <c r="T355" s="7">
        <v>2100</v>
      </c>
      <c r="U355" s="8" t="str">
        <f>IFERROR(T355/T444, "NA")</f>
        <v>NA</v>
      </c>
      <c r="V355" s="9"/>
      <c r="W355" s="10">
        <f t="shared" si="90"/>
        <v>499.40000000000009</v>
      </c>
      <c r="X355" s="8" t="str">
        <f>IFERROR(W355/W444, "NA")</f>
        <v>NA</v>
      </c>
      <c r="Y355" s="9"/>
      <c r="Z355" s="7">
        <v>1539.12</v>
      </c>
      <c r="AA355" s="8" t="str">
        <f>IFERROR(Z355/Z444, "NA")</f>
        <v>NA</v>
      </c>
      <c r="AB355" s="9"/>
      <c r="AC355" s="10">
        <f t="shared" si="91"/>
        <v>-61.480000000000018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-1237.5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7425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1237.5</v>
      </c>
      <c r="O356" s="8" t="str">
        <f>IFERROR(N356/N444, "NA")</f>
        <v>NA</v>
      </c>
      <c r="P356" s="9"/>
      <c r="Q356" s="7">
        <v>39000</v>
      </c>
      <c r="R356" s="8" t="str">
        <f>IFERROR(Q356/Q444, "NA")</f>
        <v>NA</v>
      </c>
      <c r="S356" s="9"/>
      <c r="T356" s="7">
        <v>43312.5</v>
      </c>
      <c r="U356" s="8" t="str">
        <f>IFERROR(T356/T444, "NA")</f>
        <v>NA</v>
      </c>
      <c r="V356" s="9"/>
      <c r="W356" s="10">
        <f t="shared" si="90"/>
        <v>4312.5</v>
      </c>
      <c r="X356" s="8" t="str">
        <f>IFERROR(W356/W444, "NA")</f>
        <v>NA</v>
      </c>
      <c r="Y356" s="9"/>
      <c r="Z356" s="7">
        <v>11800</v>
      </c>
      <c r="AA356" s="8" t="str">
        <f>IFERROR(Z356/Z444, "NA")</f>
        <v>NA</v>
      </c>
      <c r="AB356" s="9"/>
      <c r="AC356" s="10">
        <f t="shared" si="91"/>
        <v>-27200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3674.43</v>
      </c>
      <c r="C357" s="8" t="str">
        <f>IFERROR(B357/B444, "NA")</f>
        <v>NA</v>
      </c>
      <c r="D357" s="9"/>
      <c r="E357" s="7">
        <v>2546.7199999999998</v>
      </c>
      <c r="F357" s="8" t="str">
        <f>IFERROR(E357/E444, "NA")</f>
        <v>NA</v>
      </c>
      <c r="G357" s="9"/>
      <c r="H357" s="10">
        <f t="shared" si="88"/>
        <v>-1127.71</v>
      </c>
      <c r="I357" s="8" t="str">
        <f>IFERROR(H357/H444, "NA")</f>
        <v>NA</v>
      </c>
      <c r="J357" s="9"/>
      <c r="K357" s="7">
        <v>2976.76</v>
      </c>
      <c r="L357" s="8" t="str">
        <f>IFERROR(K357/K444, "NA")</f>
        <v>NA</v>
      </c>
      <c r="M357" s="9"/>
      <c r="N357" s="10">
        <f t="shared" si="89"/>
        <v>-697.66999999999962</v>
      </c>
      <c r="O357" s="8" t="str">
        <f>IFERROR(N357/N444, "NA")</f>
        <v>NA</v>
      </c>
      <c r="P357" s="9"/>
      <c r="Q357" s="7">
        <v>24396.93</v>
      </c>
      <c r="R357" s="8" t="str">
        <f>IFERROR(Q357/Q444, "NA")</f>
        <v>NA</v>
      </c>
      <c r="S357" s="9"/>
      <c r="T357" s="7">
        <v>18800.8</v>
      </c>
      <c r="U357" s="8" t="str">
        <f>IFERROR(T357/T444, "NA")</f>
        <v>NA</v>
      </c>
      <c r="V357" s="9"/>
      <c r="W357" s="10">
        <f t="shared" si="90"/>
        <v>-5596.130000000001</v>
      </c>
      <c r="X357" s="8" t="str">
        <f>IFERROR(W357/W444, "NA")</f>
        <v>NA</v>
      </c>
      <c r="Y357" s="9"/>
      <c r="Z357" s="7">
        <v>17381.62</v>
      </c>
      <c r="AA357" s="8" t="str">
        <f>IFERROR(Z357/Z444, "NA")</f>
        <v>NA</v>
      </c>
      <c r="AB357" s="9"/>
      <c r="AC357" s="10">
        <f t="shared" si="91"/>
        <v>-7015.3100000000013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48686.840000000004</v>
      </c>
      <c r="C358" s="15" t="str">
        <f>IFERROR(B358/B444, "NA")</f>
        <v>NA</v>
      </c>
      <c r="D358" s="2"/>
      <c r="E358" s="14">
        <f>IFERROR(E349+E350+E351+E352+E353+E354+E355+E356+E357, "NA")</f>
        <v>86590.93</v>
      </c>
      <c r="F358" s="15" t="str">
        <f>IFERROR(E358/E444, "NA")</f>
        <v>NA</v>
      </c>
      <c r="G358" s="2"/>
      <c r="H358" s="14">
        <f t="shared" si="88"/>
        <v>37904.089999999989</v>
      </c>
      <c r="I358" s="15" t="str">
        <f>IFERROR(H358/H444, "NA")</f>
        <v>NA</v>
      </c>
      <c r="J358" s="2"/>
      <c r="K358" s="14">
        <f>IFERROR(K349+K350+K351+K352+K353+K354+K355+K356+K357, "NA")</f>
        <v>61952.68</v>
      </c>
      <c r="L358" s="15" t="str">
        <f>IFERROR(K358/K444, "NA")</f>
        <v>NA</v>
      </c>
      <c r="M358" s="2"/>
      <c r="N358" s="14">
        <f t="shared" si="89"/>
        <v>13265.839999999997</v>
      </c>
      <c r="O358" s="15" t="str">
        <f>IFERROR(N358/N444, "NA")</f>
        <v>NA</v>
      </c>
      <c r="P358" s="2"/>
      <c r="Q358" s="14">
        <f>IFERROR(Q349+Q350+Q351+Q352+Q353+Q354+Q355+Q356+Q357, "NA")</f>
        <v>459224.68999999994</v>
      </c>
      <c r="R358" s="15" t="str">
        <f>IFERROR(Q358/Q444, "NA")</f>
        <v>NA</v>
      </c>
      <c r="S358" s="2"/>
      <c r="T358" s="14">
        <f>IFERROR(T349+T350+T351+T352+T353+T354+T355+T356+T357, "NA")</f>
        <v>615210.32000000007</v>
      </c>
      <c r="U358" s="15" t="str">
        <f>IFERROR(T358/T444, "NA")</f>
        <v>NA</v>
      </c>
      <c r="V358" s="2"/>
      <c r="W358" s="14">
        <f t="shared" si="90"/>
        <v>155985.63000000012</v>
      </c>
      <c r="X358" s="15" t="str">
        <f>IFERROR(W358/W444, "NA")</f>
        <v>NA</v>
      </c>
      <c r="Y358" s="2"/>
      <c r="Z358" s="14">
        <f>IFERROR(Z349+Z350+Z351+Z352+Z353+Z354+Z355+Z356+Z357, "NA")</f>
        <v>492899.04999999993</v>
      </c>
      <c r="AA358" s="15" t="str">
        <f>IFERROR(Z358/Z444, "NA")</f>
        <v>NA</v>
      </c>
      <c r="AB358" s="2"/>
      <c r="AC358" s="14">
        <f t="shared" si="91"/>
        <v>33674.359999999986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10000</v>
      </c>
      <c r="U360" s="8" t="str">
        <f>IFERROR(T360/T444, "NA")</f>
        <v>NA</v>
      </c>
      <c r="V360" s="9"/>
      <c r="W360" s="10">
        <f t="shared" ref="W360:W383" si="94">IFERROR(-(Q360-T360), "NA")</f>
        <v>10000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174.19</v>
      </c>
      <c r="L361" s="8" t="str">
        <f>IFERROR(K361/K444, "NA")</f>
        <v>NA</v>
      </c>
      <c r="M361" s="9"/>
      <c r="N361" s="10">
        <f t="shared" si="93"/>
        <v>174.19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2806.24</v>
      </c>
      <c r="AA361" s="8" t="str">
        <f>IFERROR(Z361/Z444, "NA")</f>
        <v>NA</v>
      </c>
      <c r="AB361" s="9"/>
      <c r="AC361" s="10">
        <f t="shared" si="95"/>
        <v>2806.24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568.65</v>
      </c>
      <c r="C362" s="8" t="str">
        <f>IFERROR(B362/B444, "NA")</f>
        <v>NA</v>
      </c>
      <c r="D362" s="9"/>
      <c r="E362" s="7">
        <v>400</v>
      </c>
      <c r="F362" s="8" t="str">
        <f>IFERROR(E362/E444, "NA")</f>
        <v>NA</v>
      </c>
      <c r="G362" s="9"/>
      <c r="H362" s="10">
        <f t="shared" si="92"/>
        <v>-168.64999999999998</v>
      </c>
      <c r="I362" s="8" t="str">
        <f>IFERROR(H362/H444, "NA")</f>
        <v>NA</v>
      </c>
      <c r="J362" s="9"/>
      <c r="K362" s="7">
        <v>740.77</v>
      </c>
      <c r="L362" s="8" t="str">
        <f>IFERROR(K362/K444, "NA")</f>
        <v>NA</v>
      </c>
      <c r="M362" s="9"/>
      <c r="N362" s="10">
        <f t="shared" si="93"/>
        <v>172.12</v>
      </c>
      <c r="O362" s="8" t="str">
        <f>IFERROR(N362/N444, "NA")</f>
        <v>NA</v>
      </c>
      <c r="P362" s="9"/>
      <c r="Q362" s="7">
        <v>5440.8</v>
      </c>
      <c r="R362" s="8" t="str">
        <f>IFERROR(Q362/Q444, "NA")</f>
        <v>NA</v>
      </c>
      <c r="S362" s="9"/>
      <c r="T362" s="7">
        <v>3100</v>
      </c>
      <c r="U362" s="8" t="str">
        <f>IFERROR(T362/T444, "NA")</f>
        <v>NA</v>
      </c>
      <c r="V362" s="9"/>
      <c r="W362" s="10">
        <f t="shared" si="94"/>
        <v>-2340.8000000000002</v>
      </c>
      <c r="X362" s="8" t="str">
        <f>IFERROR(W362/W444, "NA")</f>
        <v>NA</v>
      </c>
      <c r="Y362" s="9"/>
      <c r="Z362" s="7">
        <v>3068.67</v>
      </c>
      <c r="AA362" s="8" t="str">
        <f>IFERROR(Z362/Z444, "NA")</f>
        <v>NA</v>
      </c>
      <c r="AB362" s="9"/>
      <c r="AC362" s="10">
        <f t="shared" si="95"/>
        <v>-2372.13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585.30999999999995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-385.30999999999995</v>
      </c>
      <c r="I363" s="8" t="str">
        <f>IFERROR(H363/H444, "NA")</f>
        <v>NA</v>
      </c>
      <c r="J363" s="9"/>
      <c r="K363" s="7">
        <v>5</v>
      </c>
      <c r="L363" s="8" t="str">
        <f>IFERROR(K363/K444, "NA")</f>
        <v>NA</v>
      </c>
      <c r="M363" s="9"/>
      <c r="N363" s="10">
        <f t="shared" si="93"/>
        <v>-580.30999999999995</v>
      </c>
      <c r="O363" s="8" t="str">
        <f>IFERROR(N363/N444, "NA")</f>
        <v>NA</v>
      </c>
      <c r="P363" s="9"/>
      <c r="Q363" s="7">
        <v>6350.61</v>
      </c>
      <c r="R363" s="8" t="str">
        <f>IFERROR(Q363/Q444, "NA")</f>
        <v>NA</v>
      </c>
      <c r="S363" s="9"/>
      <c r="T363" s="7">
        <v>1500</v>
      </c>
      <c r="U363" s="8" t="str">
        <f>IFERROR(T363/T444, "NA")</f>
        <v>NA</v>
      </c>
      <c r="V363" s="9"/>
      <c r="W363" s="10">
        <f t="shared" si="94"/>
        <v>-4850.6099999999997</v>
      </c>
      <c r="X363" s="8" t="str">
        <f>IFERROR(W363/W444, "NA")</f>
        <v>NA</v>
      </c>
      <c r="Y363" s="9"/>
      <c r="Z363" s="7">
        <v>14142.64</v>
      </c>
      <c r="AA363" s="8" t="str">
        <f>IFERROR(Z363/Z444, "NA")</f>
        <v>NA</v>
      </c>
      <c r="AB363" s="9"/>
      <c r="AC363" s="10">
        <f t="shared" si="95"/>
        <v>7792.03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157.37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-157.37</v>
      </c>
      <c r="I364" s="8" t="str">
        <f>IFERROR(H364/H444, "NA")</f>
        <v>NA</v>
      </c>
      <c r="J364" s="9"/>
      <c r="K364" s="7">
        <v>3061.29</v>
      </c>
      <c r="L364" s="8" t="str">
        <f>IFERROR(K364/K444, "NA")</f>
        <v>NA</v>
      </c>
      <c r="M364" s="9"/>
      <c r="N364" s="10">
        <f t="shared" si="93"/>
        <v>2903.92</v>
      </c>
      <c r="O364" s="8" t="str">
        <f>IFERROR(N364/N444, "NA")</f>
        <v>NA</v>
      </c>
      <c r="P364" s="9"/>
      <c r="Q364" s="7">
        <v>4882.3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-4882.3</v>
      </c>
      <c r="X364" s="8" t="str">
        <f>IFERROR(W364/W444, "NA")</f>
        <v>NA</v>
      </c>
      <c r="Y364" s="9"/>
      <c r="Z364" s="7">
        <v>5993.2</v>
      </c>
      <c r="AA364" s="8" t="str">
        <f>IFERROR(Z364/Z444, "NA")</f>
        <v>NA</v>
      </c>
      <c r="AB364" s="9"/>
      <c r="AC364" s="10">
        <f t="shared" si="95"/>
        <v>1110.8999999999996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0</v>
      </c>
      <c r="C365" s="8" t="str">
        <f>IFERROR(B365/B444, "NA")</f>
        <v>NA</v>
      </c>
      <c r="D365" s="9"/>
      <c r="E365" s="7">
        <v>210</v>
      </c>
      <c r="F365" s="8" t="str">
        <f>IFERROR(E365/E444, "NA")</f>
        <v>NA</v>
      </c>
      <c r="G365" s="9"/>
      <c r="H365" s="10">
        <f t="shared" si="92"/>
        <v>210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0</v>
      </c>
      <c r="O365" s="8" t="str">
        <f>IFERROR(N365/N444, "NA")</f>
        <v>NA</v>
      </c>
      <c r="P365" s="9"/>
      <c r="Q365" s="7">
        <v>4358.38</v>
      </c>
      <c r="R365" s="8" t="str">
        <f>IFERROR(Q365/Q444, "NA")</f>
        <v>NA</v>
      </c>
      <c r="S365" s="9"/>
      <c r="T365" s="7">
        <v>1260</v>
      </c>
      <c r="U365" s="8" t="str">
        <f>IFERROR(T365/T444, "NA")</f>
        <v>NA</v>
      </c>
      <c r="V365" s="9"/>
      <c r="W365" s="10">
        <f t="shared" si="94"/>
        <v>-3098.38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-4358.38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0</v>
      </c>
      <c r="C366" s="8" t="str">
        <f>IFERROR(B366/B444, "NA")</f>
        <v>NA</v>
      </c>
      <c r="D366" s="9"/>
      <c r="E366" s="7">
        <v>0</v>
      </c>
      <c r="F366" s="8" t="str">
        <f>IFERROR(E366/E444, "NA")</f>
        <v>NA</v>
      </c>
      <c r="G366" s="9"/>
      <c r="H366" s="10">
        <f t="shared" si="92"/>
        <v>0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0</v>
      </c>
      <c r="O366" s="8" t="str">
        <f>IFERROR(N366/N444, "NA")</f>
        <v>NA</v>
      </c>
      <c r="P366" s="9"/>
      <c r="Q366" s="7">
        <v>2868.51</v>
      </c>
      <c r="R366" s="8" t="str">
        <f>IFERROR(Q366/Q444, "NA")</f>
        <v>NA</v>
      </c>
      <c r="S366" s="9"/>
      <c r="T366" s="7">
        <v>2070</v>
      </c>
      <c r="U366" s="8" t="str">
        <f>IFERROR(T366/T444, "NA")</f>
        <v>NA</v>
      </c>
      <c r="V366" s="9"/>
      <c r="W366" s="10">
        <f t="shared" si="94"/>
        <v>-798.51000000000022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-2868.51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6774.06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-6774.06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-6774.06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1311.33</v>
      </c>
      <c r="C368" s="15" t="str">
        <f>IFERROR(B368/B444, "NA")</f>
        <v>NA</v>
      </c>
      <c r="D368" s="2"/>
      <c r="E368" s="14">
        <f>IFERROR(E360+E361+E362+E363+E364+E365+E366+E367, "NA")</f>
        <v>2310</v>
      </c>
      <c r="F368" s="15" t="str">
        <f>IFERROR(E368/E444, "NA")</f>
        <v>NA</v>
      </c>
      <c r="G368" s="2"/>
      <c r="H368" s="14">
        <f t="shared" si="92"/>
        <v>998.67000000000007</v>
      </c>
      <c r="I368" s="15" t="str">
        <f>IFERROR(H368/H444, "NA")</f>
        <v>NA</v>
      </c>
      <c r="J368" s="2"/>
      <c r="K368" s="14">
        <f>IFERROR(K360+K361+K362+K363+K364+K365+K366+K367, "NA")</f>
        <v>3981.25</v>
      </c>
      <c r="L368" s="15" t="str">
        <f>IFERROR(K368/K444, "NA")</f>
        <v>NA</v>
      </c>
      <c r="M368" s="2"/>
      <c r="N368" s="14">
        <f t="shared" si="93"/>
        <v>2669.92</v>
      </c>
      <c r="O368" s="15" t="str">
        <f>IFERROR(N368/N444, "NA")</f>
        <v>NA</v>
      </c>
      <c r="P368" s="2"/>
      <c r="Q368" s="14">
        <f>IFERROR(Q360+Q361+Q362+Q363+Q364+Q365+Q366+Q367, "NA")</f>
        <v>30674.66</v>
      </c>
      <c r="R368" s="15" t="str">
        <f>IFERROR(Q368/Q444, "NA")</f>
        <v>NA</v>
      </c>
      <c r="S368" s="2"/>
      <c r="T368" s="14">
        <f>IFERROR(T360+T361+T362+T363+T364+T365+T366+T367, "NA")</f>
        <v>17930</v>
      </c>
      <c r="U368" s="15" t="str">
        <f>IFERROR(T368/T444, "NA")</f>
        <v>NA</v>
      </c>
      <c r="V368" s="2"/>
      <c r="W368" s="14">
        <f t="shared" si="94"/>
        <v>-12744.66</v>
      </c>
      <c r="X368" s="15" t="str">
        <f>IFERROR(W368/W444, "NA")</f>
        <v>NA</v>
      </c>
      <c r="Y368" s="2"/>
      <c r="Z368" s="14">
        <f>IFERROR(Z360+Z361+Z362+Z363+Z364+Z365+Z366+Z367, "NA")</f>
        <v>26010.75</v>
      </c>
      <c r="AA368" s="15" t="str">
        <f>IFERROR(Z368/Z444, "NA")</f>
        <v>NA</v>
      </c>
      <c r="AB368" s="2"/>
      <c r="AC368" s="14">
        <f t="shared" si="95"/>
        <v>-4663.91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143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492</v>
      </c>
      <c r="I370" s="8" t="str">
        <f>IFERROR(H370/H444, "NA")</f>
        <v>NA</v>
      </c>
      <c r="J370" s="9"/>
      <c r="K370" s="7">
        <v>198</v>
      </c>
      <c r="L370" s="8" t="str">
        <f>IFERROR(K370/K444, "NA")</f>
        <v>NA</v>
      </c>
      <c r="M370" s="9"/>
      <c r="N370" s="10">
        <f t="shared" si="93"/>
        <v>55</v>
      </c>
      <c r="O370" s="8" t="str">
        <f>IFERROR(N370/N444, "NA")</f>
        <v>NA</v>
      </c>
      <c r="P370" s="9"/>
      <c r="Q370" s="7">
        <v>1630</v>
      </c>
      <c r="R370" s="8" t="str">
        <f>IFERROR(Q370/Q444, "NA")</f>
        <v>NA</v>
      </c>
      <c r="S370" s="9"/>
      <c r="T370" s="7">
        <v>4445</v>
      </c>
      <c r="U370" s="8" t="str">
        <f>IFERROR(T370/T444, "NA")</f>
        <v>NA</v>
      </c>
      <c r="V370" s="9"/>
      <c r="W370" s="10">
        <f t="shared" si="94"/>
        <v>2815</v>
      </c>
      <c r="X370" s="8" t="str">
        <f>IFERROR(W370/W444, "NA")</f>
        <v>NA</v>
      </c>
      <c r="Y370" s="9"/>
      <c r="Z370" s="7">
        <v>4894.6000000000004</v>
      </c>
      <c r="AA370" s="8" t="str">
        <f>IFERROR(Z370/Z444, "NA")</f>
        <v>NA</v>
      </c>
      <c r="AB370" s="9"/>
      <c r="AC370" s="10">
        <f t="shared" si="95"/>
        <v>3264.6000000000004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154.74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-54.740000000000009</v>
      </c>
      <c r="I371" s="8" t="str">
        <f>IFERROR(H371/H444, "NA")</f>
        <v>NA</v>
      </c>
      <c r="J371" s="9"/>
      <c r="K371" s="7">
        <v>268.43</v>
      </c>
      <c r="L371" s="8" t="str">
        <f>IFERROR(K371/K444, "NA")</f>
        <v>NA</v>
      </c>
      <c r="M371" s="9"/>
      <c r="N371" s="10">
        <f t="shared" si="93"/>
        <v>113.69</v>
      </c>
      <c r="O371" s="8" t="str">
        <f>IFERROR(N371/N444, "NA")</f>
        <v>NA</v>
      </c>
      <c r="P371" s="9"/>
      <c r="Q371" s="7">
        <v>4149.68</v>
      </c>
      <c r="R371" s="8" t="str">
        <f>IFERROR(Q371/Q444, "NA")</f>
        <v>NA</v>
      </c>
      <c r="S371" s="9"/>
      <c r="T371" s="7">
        <v>700</v>
      </c>
      <c r="U371" s="8" t="str">
        <f>IFERROR(T371/T444, "NA")</f>
        <v>NA</v>
      </c>
      <c r="V371" s="9"/>
      <c r="W371" s="10">
        <f t="shared" si="94"/>
        <v>-3449.6800000000003</v>
      </c>
      <c r="X371" s="8" t="str">
        <f>IFERROR(W371/W444, "NA")</f>
        <v>NA</v>
      </c>
      <c r="Y371" s="9"/>
      <c r="Z371" s="7">
        <v>3830.78</v>
      </c>
      <c r="AA371" s="8" t="str">
        <f>IFERROR(Z371/Z444, "NA")</f>
        <v>NA</v>
      </c>
      <c r="AB371" s="9"/>
      <c r="AC371" s="10">
        <f t="shared" si="95"/>
        <v>-318.90000000000009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-277.17</v>
      </c>
      <c r="O372" s="8" t="str">
        <f>IFERROR(N372/N444, "NA")</f>
        <v>NA</v>
      </c>
      <c r="P372" s="9"/>
      <c r="Q372" s="7">
        <v>2663.02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836.98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786.98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2272.02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-1947.02</v>
      </c>
      <c r="I373" s="8" t="str">
        <f>IFERROR(H373/H444, "NA")</f>
        <v>NA</v>
      </c>
      <c r="J373" s="9"/>
      <c r="K373" s="7">
        <v>702.76</v>
      </c>
      <c r="L373" s="8" t="str">
        <f>IFERROR(K373/K444, "NA")</f>
        <v>NA</v>
      </c>
      <c r="M373" s="9"/>
      <c r="N373" s="10">
        <f t="shared" si="93"/>
        <v>-1569.26</v>
      </c>
      <c r="O373" s="8" t="str">
        <f>IFERROR(N373/N444, "NA")</f>
        <v>NA</v>
      </c>
      <c r="P373" s="9"/>
      <c r="Q373" s="7">
        <v>4659.74</v>
      </c>
      <c r="R373" s="8" t="str">
        <f>IFERROR(Q373/Q444, "NA")</f>
        <v>NA</v>
      </c>
      <c r="S373" s="9"/>
      <c r="T373" s="7">
        <v>2275</v>
      </c>
      <c r="U373" s="8" t="str">
        <f>IFERROR(T373/T444, "NA")</f>
        <v>NA</v>
      </c>
      <c r="V373" s="9"/>
      <c r="W373" s="10">
        <f t="shared" si="94"/>
        <v>-2384.7399999999998</v>
      </c>
      <c r="X373" s="8" t="str">
        <f>IFERROR(W373/W444, "NA")</f>
        <v>NA</v>
      </c>
      <c r="Y373" s="9"/>
      <c r="Z373" s="7">
        <v>5927.51</v>
      </c>
      <c r="AA373" s="8" t="str">
        <f>IFERROR(Z373/Z444, "NA")</f>
        <v>NA</v>
      </c>
      <c r="AB373" s="9"/>
      <c r="AC373" s="10">
        <f t="shared" si="95"/>
        <v>1267.7700000000004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2149.5300000000002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-249.5300000000002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-252.52000000000021</v>
      </c>
      <c r="O374" s="8" t="str">
        <f>IFERROR(N374/N444, "NA")</f>
        <v>NA</v>
      </c>
      <c r="P374" s="9"/>
      <c r="Q374" s="7">
        <v>13883.07</v>
      </c>
      <c r="R374" s="8" t="str">
        <f>IFERROR(Q374/Q444, "NA")</f>
        <v>NA</v>
      </c>
      <c r="S374" s="9"/>
      <c r="T374" s="7">
        <v>13300</v>
      </c>
      <c r="U374" s="8" t="str">
        <f>IFERROR(T374/T444, "NA")</f>
        <v>NA</v>
      </c>
      <c r="V374" s="9"/>
      <c r="W374" s="10">
        <f t="shared" si="94"/>
        <v>-583.06999999999971</v>
      </c>
      <c r="X374" s="8" t="str">
        <f>IFERROR(W374/W444, "NA")</f>
        <v>NA</v>
      </c>
      <c r="Y374" s="9"/>
      <c r="Z374" s="7">
        <v>12620.72</v>
      </c>
      <c r="AA374" s="8" t="str">
        <f>IFERROR(Z374/Z444, "NA")</f>
        <v>NA</v>
      </c>
      <c r="AB374" s="9"/>
      <c r="AC374" s="10">
        <f t="shared" si="95"/>
        <v>-1262.3500000000004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3881.08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-3881.08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-3696.09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8880.3799999999992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-410.04999999999927</v>
      </c>
      <c r="I378" s="8" t="str">
        <f>IFERROR(H378/H444, "NA")</f>
        <v>NA</v>
      </c>
      <c r="J378" s="9"/>
      <c r="K378" s="7">
        <v>8024.92</v>
      </c>
      <c r="L378" s="8" t="str">
        <f>IFERROR(K378/K444, "NA")</f>
        <v>NA</v>
      </c>
      <c r="M378" s="9"/>
      <c r="N378" s="10">
        <f t="shared" si="93"/>
        <v>-855.45999999999913</v>
      </c>
      <c r="O378" s="8" t="str">
        <f>IFERROR(N378/N444, "NA")</f>
        <v>NA</v>
      </c>
      <c r="P378" s="9"/>
      <c r="Q378" s="7">
        <v>65100.34</v>
      </c>
      <c r="R378" s="8" t="str">
        <f>IFERROR(Q378/Q444, "NA")</f>
        <v>NA</v>
      </c>
      <c r="S378" s="9"/>
      <c r="T378" s="7">
        <v>59292.31</v>
      </c>
      <c r="U378" s="8" t="str">
        <f>IFERROR(T378/T444, "NA")</f>
        <v>NA</v>
      </c>
      <c r="V378" s="9"/>
      <c r="W378" s="10">
        <f t="shared" si="94"/>
        <v>-5808.0299999999988</v>
      </c>
      <c r="X378" s="8" t="str">
        <f>IFERROR(W378/W444, "NA")</f>
        <v>NA</v>
      </c>
      <c r="Y378" s="9"/>
      <c r="Z378" s="7">
        <v>42443.1</v>
      </c>
      <c r="AA378" s="8" t="str">
        <f>IFERROR(Z378/Z444, "NA")</f>
        <v>NA</v>
      </c>
      <c r="AB378" s="9"/>
      <c r="AC378" s="10">
        <f t="shared" si="95"/>
        <v>-22657.239999999998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308.38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-108.38</v>
      </c>
      <c r="I379" s="8" t="str">
        <f>IFERROR(H379/H444, "NA")</f>
        <v>NA</v>
      </c>
      <c r="J379" s="9"/>
      <c r="K379" s="7">
        <v>853.83</v>
      </c>
      <c r="L379" s="8" t="str">
        <f>IFERROR(K379/K444, "NA")</f>
        <v>NA</v>
      </c>
      <c r="M379" s="9"/>
      <c r="N379" s="10">
        <f t="shared" si="93"/>
        <v>545.45000000000005</v>
      </c>
      <c r="O379" s="8" t="str">
        <f>IFERROR(N379/N444, "NA")</f>
        <v>NA</v>
      </c>
      <c r="P379" s="9"/>
      <c r="Q379" s="7">
        <v>6520.29</v>
      </c>
      <c r="R379" s="8" t="str">
        <f>IFERROR(Q379/Q444, "NA")</f>
        <v>NA</v>
      </c>
      <c r="S379" s="9"/>
      <c r="T379" s="7">
        <v>1400</v>
      </c>
      <c r="U379" s="8" t="str">
        <f>IFERROR(T379/T444, "NA")</f>
        <v>NA</v>
      </c>
      <c r="V379" s="9"/>
      <c r="W379" s="10">
        <f t="shared" si="94"/>
        <v>-5120.29</v>
      </c>
      <c r="X379" s="8" t="str">
        <f>IFERROR(W379/W444, "NA")</f>
        <v>NA</v>
      </c>
      <c r="Y379" s="9"/>
      <c r="Z379" s="7">
        <v>2960.01</v>
      </c>
      <c r="AA379" s="8" t="str">
        <f>IFERROR(Z379/Z444, "NA")</f>
        <v>NA</v>
      </c>
      <c r="AB379" s="9"/>
      <c r="AC379" s="10">
        <f t="shared" si="95"/>
        <v>-3560.2799999999997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12190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-690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-690</v>
      </c>
      <c r="O380" s="8" t="str">
        <f>IFERROR(N380/N444, "NA")</f>
        <v>NA</v>
      </c>
      <c r="P380" s="9"/>
      <c r="Q380" s="7">
        <v>81880</v>
      </c>
      <c r="R380" s="8" t="str">
        <f>IFERROR(Q380/Q444, "NA")</f>
        <v>NA</v>
      </c>
      <c r="S380" s="9"/>
      <c r="T380" s="7">
        <v>80500</v>
      </c>
      <c r="U380" s="8" t="str">
        <f>IFERROR(T380/T444, "NA")</f>
        <v>NA</v>
      </c>
      <c r="V380" s="9"/>
      <c r="W380" s="10">
        <f t="shared" si="94"/>
        <v>-1380</v>
      </c>
      <c r="X380" s="8" t="str">
        <f>IFERROR(W380/W444, "NA")</f>
        <v>NA</v>
      </c>
      <c r="Y380" s="9"/>
      <c r="Z380" s="7">
        <v>80500</v>
      </c>
      <c r="AA380" s="8" t="str">
        <f>IFERROR(Z380/Z444, "NA")</f>
        <v>NA</v>
      </c>
      <c r="AB380" s="9"/>
      <c r="AC380" s="10">
        <f t="shared" si="95"/>
        <v>-1380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4770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-770</v>
      </c>
      <c r="I381" s="8" t="str">
        <f>IFERROR(H381/H444, "NA")</f>
        <v>NA</v>
      </c>
      <c r="J381" s="9"/>
      <c r="K381" s="7">
        <v>5849.1</v>
      </c>
      <c r="L381" s="8" t="str">
        <f>IFERROR(K381/K444, "NA")</f>
        <v>NA</v>
      </c>
      <c r="M381" s="9"/>
      <c r="N381" s="10">
        <f t="shared" si="93"/>
        <v>1079.1000000000004</v>
      </c>
      <c r="O381" s="8" t="str">
        <f>IFERROR(N381/N444, "NA")</f>
        <v>NA</v>
      </c>
      <c r="P381" s="9"/>
      <c r="Q381" s="7">
        <v>41211.51</v>
      </c>
      <c r="R381" s="8" t="str">
        <f>IFERROR(Q381/Q444, "NA")</f>
        <v>NA</v>
      </c>
      <c r="S381" s="9"/>
      <c r="T381" s="7">
        <v>28000</v>
      </c>
      <c r="U381" s="8" t="str">
        <f>IFERROR(T381/T444, "NA")</f>
        <v>NA</v>
      </c>
      <c r="V381" s="9"/>
      <c r="W381" s="10">
        <f t="shared" si="94"/>
        <v>-13211.510000000002</v>
      </c>
      <c r="X381" s="8" t="str">
        <f>IFERROR(W381/W444, "NA")</f>
        <v>NA</v>
      </c>
      <c r="Y381" s="9"/>
      <c r="Z381" s="7">
        <v>85845.57</v>
      </c>
      <c r="AA381" s="8" t="str">
        <f>IFERROR(Z381/Z444, "NA")</f>
        <v>NA</v>
      </c>
      <c r="AB381" s="9"/>
      <c r="AC381" s="10">
        <f t="shared" si="95"/>
        <v>44634.060000000005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928.91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-133.90999999999997</v>
      </c>
      <c r="I382" s="8" t="str">
        <f>IFERROR(H382/H444, "NA")</f>
        <v>NA</v>
      </c>
      <c r="J382" s="9"/>
      <c r="K382" s="7">
        <v>179.42</v>
      </c>
      <c r="L382" s="8" t="str">
        <f>IFERROR(K382/K444, "NA")</f>
        <v>NA</v>
      </c>
      <c r="M382" s="9"/>
      <c r="N382" s="10">
        <f t="shared" si="93"/>
        <v>-749.49</v>
      </c>
      <c r="O382" s="8" t="str">
        <f>IFERROR(N382/N444, "NA")</f>
        <v>NA</v>
      </c>
      <c r="P382" s="9"/>
      <c r="Q382" s="7">
        <v>4703.29</v>
      </c>
      <c r="R382" s="8" t="str">
        <f>IFERROR(Q382/Q444, "NA")</f>
        <v>NA</v>
      </c>
      <c r="S382" s="9"/>
      <c r="T382" s="7">
        <v>5565</v>
      </c>
      <c r="U382" s="8" t="str">
        <f>IFERROR(T382/T444, "NA")</f>
        <v>NA</v>
      </c>
      <c r="V382" s="9"/>
      <c r="W382" s="10">
        <f t="shared" si="94"/>
        <v>861.71</v>
      </c>
      <c r="X382" s="8" t="str">
        <f>IFERROR(W382/W444, "NA")</f>
        <v>NA</v>
      </c>
      <c r="Y382" s="9"/>
      <c r="Z382" s="7">
        <v>1827.65</v>
      </c>
      <c r="AA382" s="8" t="str">
        <f>IFERROR(Z382/Z444, "NA")</f>
        <v>NA</v>
      </c>
      <c r="AB382" s="9"/>
      <c r="AC382" s="10">
        <f t="shared" si="95"/>
        <v>-2875.64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1016.51</v>
      </c>
      <c r="C385" s="8" t="str">
        <f>IFERROR(B385/B444, "NA")</f>
        <v>NA</v>
      </c>
      <c r="D385" s="9"/>
      <c r="E385" s="7">
        <v>1123.3699999999999</v>
      </c>
      <c r="F385" s="8" t="str">
        <f>IFERROR(E385/E444, "NA")</f>
        <v>NA</v>
      </c>
      <c r="G385" s="9"/>
      <c r="H385" s="10">
        <f>IFERROR(-(B385-E385), "NA")</f>
        <v>106.8599999999999</v>
      </c>
      <c r="I385" s="8" t="str">
        <f>IFERROR(H385/H444, "NA")</f>
        <v>NA</v>
      </c>
      <c r="J385" s="9"/>
      <c r="K385" s="7">
        <v>1840.56</v>
      </c>
      <c r="L385" s="8" t="str">
        <f>IFERROR(K385/K444, "NA")</f>
        <v>NA</v>
      </c>
      <c r="M385" s="9"/>
      <c r="N385" s="10">
        <f>IFERROR(-(B385-K385), "NA")</f>
        <v>824.05</v>
      </c>
      <c r="O385" s="8" t="str">
        <f>IFERROR(N385/N444, "NA")</f>
        <v>NA</v>
      </c>
      <c r="P385" s="9"/>
      <c r="Q385" s="7">
        <v>21145.84</v>
      </c>
      <c r="R385" s="8" t="str">
        <f>IFERROR(Q385/Q444, "NA")</f>
        <v>NA</v>
      </c>
      <c r="S385" s="9"/>
      <c r="T385" s="7">
        <v>16207.99</v>
      </c>
      <c r="U385" s="8" t="str">
        <f>IFERROR(T385/T444, "NA")</f>
        <v>NA</v>
      </c>
      <c r="V385" s="9"/>
      <c r="W385" s="10">
        <f>IFERROR(-(Q385-T385), "NA")</f>
        <v>-4937.8500000000004</v>
      </c>
      <c r="X385" s="8" t="str">
        <f>IFERROR(W385/W444, "NA")</f>
        <v>NA</v>
      </c>
      <c r="Y385" s="9"/>
      <c r="Z385" s="7">
        <v>14812.24</v>
      </c>
      <c r="AA385" s="8" t="str">
        <f>IFERROR(Z385/Z444, "NA")</f>
        <v>NA</v>
      </c>
      <c r="AB385" s="9"/>
      <c r="AC385" s="10">
        <f>IFERROR(-(Q385-Z385), "NA")</f>
        <v>-6333.6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433.1</v>
      </c>
      <c r="L386" s="8" t="str">
        <f>IFERROR(K386/K444, "NA")</f>
        <v>NA</v>
      </c>
      <c r="M386" s="9"/>
      <c r="N386" s="10">
        <f>IFERROR(-(B386-K386), "NA")</f>
        <v>433.1</v>
      </c>
      <c r="O386" s="8" t="str">
        <f>IFERROR(N386/N444, "NA")</f>
        <v>NA</v>
      </c>
      <c r="P386" s="9"/>
      <c r="Q386" s="7">
        <v>51.47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-51.47</v>
      </c>
      <c r="X386" s="8" t="str">
        <f>IFERROR(W386/W444, "NA")</f>
        <v>NA</v>
      </c>
      <c r="Y386" s="9"/>
      <c r="Z386" s="7">
        <v>4804.2299999999996</v>
      </c>
      <c r="AA386" s="8" t="str">
        <f>IFERROR(Z386/Z444, "NA")</f>
        <v>NA</v>
      </c>
      <c r="AB386" s="9"/>
      <c r="AC386" s="10">
        <f>IFERROR(-(Q386-Z386), "NA")</f>
        <v>4752.7599999999993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5235.8900000000003</v>
      </c>
      <c r="C389" s="8" t="str">
        <f>IFERROR(B389/B444, "NA")</f>
        <v>NA</v>
      </c>
      <c r="D389" s="9"/>
      <c r="E389" s="7">
        <v>2584.29</v>
      </c>
      <c r="F389" s="8" t="str">
        <f>IFERROR(E389/E444, "NA")</f>
        <v>NA</v>
      </c>
      <c r="G389" s="9"/>
      <c r="H389" s="10">
        <f t="shared" si="96"/>
        <v>-2651.6000000000004</v>
      </c>
      <c r="I389" s="8" t="str">
        <f>IFERROR(H389/H444, "NA")</f>
        <v>NA</v>
      </c>
      <c r="J389" s="9"/>
      <c r="K389" s="7">
        <v>1320.19</v>
      </c>
      <c r="L389" s="8" t="str">
        <f>IFERROR(K389/K444, "NA")</f>
        <v>NA</v>
      </c>
      <c r="M389" s="9"/>
      <c r="N389" s="10">
        <f t="shared" si="97"/>
        <v>-3915.7000000000003</v>
      </c>
      <c r="O389" s="8" t="str">
        <f>IFERROR(N389/N444, "NA")</f>
        <v>NA</v>
      </c>
      <c r="P389" s="9"/>
      <c r="Q389" s="7">
        <v>33554.85</v>
      </c>
      <c r="R389" s="8" t="str">
        <f>IFERROR(Q389/Q444, "NA")</f>
        <v>NA</v>
      </c>
      <c r="S389" s="9"/>
      <c r="T389" s="7">
        <v>19229.41</v>
      </c>
      <c r="U389" s="8" t="str">
        <f>IFERROR(T389/T444, "NA")</f>
        <v>NA</v>
      </c>
      <c r="V389" s="9"/>
      <c r="W389" s="10">
        <f t="shared" si="98"/>
        <v>-14325.439999999999</v>
      </c>
      <c r="X389" s="8" t="str">
        <f>IFERROR(W389/W444, "NA")</f>
        <v>NA</v>
      </c>
      <c r="Y389" s="9"/>
      <c r="Z389" s="7">
        <v>9221.16</v>
      </c>
      <c r="AA389" s="8" t="str">
        <f>IFERROR(Z389/Z444, "NA")</f>
        <v>NA</v>
      </c>
      <c r="AB389" s="9"/>
      <c r="AC389" s="10">
        <f t="shared" si="99"/>
        <v>-24333.69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627.80999999999995</v>
      </c>
      <c r="C390" s="8" t="str">
        <f>IFERROR(B390/B444, "NA")</f>
        <v>NA</v>
      </c>
      <c r="D390" s="9"/>
      <c r="E390" s="7">
        <v>12557.34</v>
      </c>
      <c r="F390" s="8" t="str">
        <f>IFERROR(E390/E444, "NA")</f>
        <v>NA</v>
      </c>
      <c r="G390" s="9"/>
      <c r="H390" s="10">
        <f t="shared" si="96"/>
        <v>11929.53</v>
      </c>
      <c r="I390" s="8" t="str">
        <f>IFERROR(H390/H444, "NA")</f>
        <v>NA</v>
      </c>
      <c r="J390" s="9"/>
      <c r="K390" s="7">
        <v>13285.29</v>
      </c>
      <c r="L390" s="8" t="str">
        <f>IFERROR(K390/K444, "NA")</f>
        <v>NA</v>
      </c>
      <c r="M390" s="9"/>
      <c r="N390" s="10">
        <f t="shared" si="97"/>
        <v>12657.480000000001</v>
      </c>
      <c r="O390" s="8" t="str">
        <f>IFERROR(N390/N444, "NA")</f>
        <v>NA</v>
      </c>
      <c r="P390" s="9"/>
      <c r="Q390" s="7">
        <v>56384.27</v>
      </c>
      <c r="R390" s="8" t="str">
        <f>IFERROR(Q390/Q444, "NA")</f>
        <v>NA</v>
      </c>
      <c r="S390" s="9"/>
      <c r="T390" s="7">
        <v>93437.91</v>
      </c>
      <c r="U390" s="8" t="str">
        <f>IFERROR(T390/T444, "NA")</f>
        <v>NA</v>
      </c>
      <c r="V390" s="9"/>
      <c r="W390" s="10">
        <f t="shared" si="98"/>
        <v>37053.640000000007</v>
      </c>
      <c r="X390" s="8" t="str">
        <f>IFERROR(W390/W444, "NA")</f>
        <v>NA</v>
      </c>
      <c r="Y390" s="9"/>
      <c r="Z390" s="7">
        <v>99406.7</v>
      </c>
      <c r="AA390" s="8" t="str">
        <f>IFERROR(Z390/Z444, "NA")</f>
        <v>NA</v>
      </c>
      <c r="AB390" s="9"/>
      <c r="AC390" s="10">
        <f t="shared" si="99"/>
        <v>43022.43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4063.94</v>
      </c>
      <c r="C392" s="8" t="str">
        <f>IFERROR(B392/B444, "NA")</f>
        <v>NA</v>
      </c>
      <c r="D392" s="9"/>
      <c r="E392" s="7">
        <v>1929.11</v>
      </c>
      <c r="F392" s="8" t="str">
        <f>IFERROR(E392/E444, "NA")</f>
        <v>NA</v>
      </c>
      <c r="G392" s="9"/>
      <c r="H392" s="10">
        <f t="shared" si="96"/>
        <v>-2134.83</v>
      </c>
      <c r="I392" s="8" t="str">
        <f>IFERROR(H392/H444, "NA")</f>
        <v>NA</v>
      </c>
      <c r="J392" s="9"/>
      <c r="K392" s="7">
        <v>3867.82</v>
      </c>
      <c r="L392" s="8" t="str">
        <f>IFERROR(K392/K444, "NA")</f>
        <v>NA</v>
      </c>
      <c r="M392" s="9"/>
      <c r="N392" s="10">
        <f t="shared" si="97"/>
        <v>-196.11999999999989</v>
      </c>
      <c r="O392" s="8" t="str">
        <f>IFERROR(N392/N444, "NA")</f>
        <v>NA</v>
      </c>
      <c r="P392" s="9"/>
      <c r="Q392" s="7">
        <v>33211.730000000003</v>
      </c>
      <c r="R392" s="8" t="str">
        <f>IFERROR(Q392/Q444, "NA")</f>
        <v>NA</v>
      </c>
      <c r="S392" s="9"/>
      <c r="T392" s="7">
        <v>14354.3</v>
      </c>
      <c r="U392" s="8" t="str">
        <f>IFERROR(T392/T444, "NA")</f>
        <v>NA</v>
      </c>
      <c r="V392" s="9"/>
      <c r="W392" s="10">
        <f t="shared" si="98"/>
        <v>-18857.430000000004</v>
      </c>
      <c r="X392" s="8" t="str">
        <f>IFERROR(W392/W444, "NA")</f>
        <v>NA</v>
      </c>
      <c r="Y392" s="9"/>
      <c r="Z392" s="7">
        <v>22573.05</v>
      </c>
      <c r="AA392" s="8" t="str">
        <f>IFERROR(Z392/Z444, "NA")</f>
        <v>NA</v>
      </c>
      <c r="AB392" s="9"/>
      <c r="AC392" s="10">
        <f t="shared" si="99"/>
        <v>-10638.680000000004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9927.6400000000012</v>
      </c>
      <c r="C393" s="15" t="str">
        <f>IFERROR(B393/B444, "NA")</f>
        <v>NA</v>
      </c>
      <c r="D393" s="2"/>
      <c r="E393" s="14">
        <f>IFERROR(E388+E389+E390+E391+E392, "NA")</f>
        <v>17070.740000000002</v>
      </c>
      <c r="F393" s="15" t="str">
        <f>IFERROR(E393/E444, "NA")</f>
        <v>NA</v>
      </c>
      <c r="G393" s="2"/>
      <c r="H393" s="14">
        <f t="shared" si="96"/>
        <v>7143.1</v>
      </c>
      <c r="I393" s="15" t="str">
        <f>IFERROR(H393/H444, "NA")</f>
        <v>NA</v>
      </c>
      <c r="J393" s="2"/>
      <c r="K393" s="14">
        <f>IFERROR(K388+K389+K390+K391+K392, "NA")</f>
        <v>18473.300000000003</v>
      </c>
      <c r="L393" s="15" t="str">
        <f>IFERROR(K393/K444, "NA")</f>
        <v>NA</v>
      </c>
      <c r="M393" s="2"/>
      <c r="N393" s="14">
        <f t="shared" si="97"/>
        <v>8545.6600000000017</v>
      </c>
      <c r="O393" s="15" t="str">
        <f>IFERROR(N393/N444, "NA")</f>
        <v>NA</v>
      </c>
      <c r="P393" s="2"/>
      <c r="Q393" s="14">
        <f>IFERROR(Q388+Q389+Q390+Q391+Q392, "NA")</f>
        <v>123150.85</v>
      </c>
      <c r="R393" s="15" t="str">
        <f>IFERROR(Q393/Q444, "NA")</f>
        <v>NA</v>
      </c>
      <c r="S393" s="2"/>
      <c r="T393" s="14">
        <f>IFERROR(T388+T389+T390+T391+T392, "NA")</f>
        <v>127021.62000000001</v>
      </c>
      <c r="U393" s="15" t="str">
        <f>IFERROR(T393/T444, "NA")</f>
        <v>NA</v>
      </c>
      <c r="V393" s="2"/>
      <c r="W393" s="14">
        <f t="shared" si="98"/>
        <v>3870.7700000000041</v>
      </c>
      <c r="X393" s="15" t="str">
        <f>IFERROR(W393/W444, "NA")</f>
        <v>NA</v>
      </c>
      <c r="Y393" s="2"/>
      <c r="Z393" s="14">
        <f>IFERROR(Z388+Z389+Z390+Z391+Z392, "NA")</f>
        <v>131200.91</v>
      </c>
      <c r="AA393" s="15" t="str">
        <f>IFERROR(Z393/Z444, "NA")</f>
        <v>NA</v>
      </c>
      <c r="AB393" s="2"/>
      <c r="AC393" s="14">
        <f t="shared" si="99"/>
        <v>8050.0599999999977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3931.79</v>
      </c>
      <c r="F394" s="8" t="str">
        <f>IFERROR(E394/E444, "NA")</f>
        <v>NA</v>
      </c>
      <c r="G394" s="9"/>
      <c r="H394" s="10">
        <f t="shared" si="96"/>
        <v>3931.79</v>
      </c>
      <c r="I394" s="8" t="str">
        <f>IFERROR(H394/H444, "NA")</f>
        <v>NA</v>
      </c>
      <c r="J394" s="9"/>
      <c r="K394" s="7">
        <v>3004.21</v>
      </c>
      <c r="L394" s="8" t="str">
        <f>IFERROR(K394/K444, "NA")</f>
        <v>NA</v>
      </c>
      <c r="M394" s="9"/>
      <c r="N394" s="10">
        <f t="shared" si="97"/>
        <v>3004.21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32490.32</v>
      </c>
      <c r="U394" s="8" t="str">
        <f>IFERROR(T394/T444, "NA")</f>
        <v>NA</v>
      </c>
      <c r="V394" s="9"/>
      <c r="W394" s="10">
        <f t="shared" si="98"/>
        <v>25878.26</v>
      </c>
      <c r="X394" s="8" t="str">
        <f>IFERROR(W394/W444, "NA")</f>
        <v>NA</v>
      </c>
      <c r="Y394" s="9"/>
      <c r="Z394" s="7">
        <v>38039.43</v>
      </c>
      <c r="AA394" s="8" t="str">
        <f>IFERROR(Z394/Z444, "NA")</f>
        <v>NA</v>
      </c>
      <c r="AB394" s="9"/>
      <c r="AC394" s="10">
        <f t="shared" si="99"/>
        <v>31427.37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10944.150000000001</v>
      </c>
      <c r="C396" s="15" t="str">
        <f>IFERROR(B396/B444, "NA")</f>
        <v>NA</v>
      </c>
      <c r="D396" s="2"/>
      <c r="E396" s="14">
        <f>IFERROR(E385+E386+E388+E389+E390+E391+E392+E394+E395, "NA")</f>
        <v>22125.9</v>
      </c>
      <c r="F396" s="15" t="str">
        <f>IFERROR(E396/E444, "NA")</f>
        <v>NA</v>
      </c>
      <c r="G396" s="2"/>
      <c r="H396" s="14">
        <f t="shared" si="96"/>
        <v>11181.75</v>
      </c>
      <c r="I396" s="15" t="str">
        <f>IFERROR(H396/H444, "NA")</f>
        <v>NA</v>
      </c>
      <c r="J396" s="2"/>
      <c r="K396" s="14">
        <f>IFERROR(K385+K386+K388+K389+K390+K391+K392+K394+K395, "NA")</f>
        <v>23751.17</v>
      </c>
      <c r="L396" s="15" t="str">
        <f>IFERROR(K396/K444, "NA")</f>
        <v>NA</v>
      </c>
      <c r="M396" s="2"/>
      <c r="N396" s="14">
        <f t="shared" si="97"/>
        <v>12807.019999999997</v>
      </c>
      <c r="O396" s="15" t="str">
        <f>IFERROR(N396/N444, "NA")</f>
        <v>NA</v>
      </c>
      <c r="P396" s="2"/>
      <c r="Q396" s="14">
        <f>IFERROR(Q385+Q386+Q388+Q389+Q390+Q391+Q392+Q394+Q395, "NA")</f>
        <v>150960.22</v>
      </c>
      <c r="R396" s="15" t="str">
        <f>IFERROR(Q396/Q444, "NA")</f>
        <v>NA</v>
      </c>
      <c r="S396" s="2"/>
      <c r="T396" s="14">
        <f>IFERROR(T385+T386+T388+T389+T390+T391+T392+T394+T395, "NA")</f>
        <v>175719.93</v>
      </c>
      <c r="U396" s="15" t="str">
        <f>IFERROR(T396/T444, "NA")</f>
        <v>NA</v>
      </c>
      <c r="V396" s="2"/>
      <c r="W396" s="14">
        <f t="shared" si="98"/>
        <v>24759.709999999992</v>
      </c>
      <c r="X396" s="15" t="str">
        <f>IFERROR(W396/W444, "NA")</f>
        <v>NA</v>
      </c>
      <c r="Y396" s="2"/>
      <c r="Z396" s="14">
        <f>IFERROR(Z385+Z386+Z388+Z389+Z390+Z391+Z392+Z394+Z395, "NA")</f>
        <v>188856.81</v>
      </c>
      <c r="AA396" s="15" t="str">
        <f>IFERROR(Z396/Z444, "NA")</f>
        <v>NA</v>
      </c>
      <c r="AB396" s="2"/>
      <c r="AC396" s="14">
        <f t="shared" si="99"/>
        <v>37896.589999999997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20775.990000000002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-551.75</v>
      </c>
      <c r="I397" s="8" t="str">
        <f>IFERROR(H397/H444, "NA")</f>
        <v>NA</v>
      </c>
      <c r="J397" s="9"/>
      <c r="K397" s="7">
        <v>9513.4500000000007</v>
      </c>
      <c r="L397" s="8" t="str">
        <f>IFERROR(K397/K444, "NA")</f>
        <v>NA</v>
      </c>
      <c r="M397" s="9"/>
      <c r="N397" s="10">
        <f t="shared" si="97"/>
        <v>-11262.54</v>
      </c>
      <c r="O397" s="8" t="str">
        <f>IFERROR(N397/N444, "NA")</f>
        <v>NA</v>
      </c>
      <c r="P397" s="9"/>
      <c r="Q397" s="7">
        <v>60015.24</v>
      </c>
      <c r="R397" s="8" t="str">
        <f>IFERROR(Q397/Q444, "NA")</f>
        <v>NA</v>
      </c>
      <c r="S397" s="9"/>
      <c r="T397" s="7">
        <v>123978.77</v>
      </c>
      <c r="U397" s="8" t="str">
        <f>IFERROR(T397/T444, "NA")</f>
        <v>NA</v>
      </c>
      <c r="V397" s="9"/>
      <c r="W397" s="10">
        <f t="shared" si="98"/>
        <v>63963.530000000006</v>
      </c>
      <c r="X397" s="8" t="str">
        <f>IFERROR(W397/W444, "NA")</f>
        <v>NA</v>
      </c>
      <c r="Y397" s="9"/>
      <c r="Z397" s="7">
        <v>55918.09</v>
      </c>
      <c r="AA397" s="8" t="str">
        <f>IFERROR(Z397/Z444, "NA")</f>
        <v>NA</v>
      </c>
      <c r="AB397" s="9"/>
      <c r="AC397" s="10">
        <f t="shared" si="99"/>
        <v>-4097.1500000000015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165.33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-90.330000000000013</v>
      </c>
      <c r="I398" s="8" t="str">
        <f>IFERROR(H398/H444, "NA")</f>
        <v>NA</v>
      </c>
      <c r="J398" s="9"/>
      <c r="K398" s="7">
        <v>52.64</v>
      </c>
      <c r="L398" s="8" t="str">
        <f>IFERROR(K398/K444, "NA")</f>
        <v>NA</v>
      </c>
      <c r="M398" s="9"/>
      <c r="N398" s="10">
        <f t="shared" si="97"/>
        <v>-112.69000000000001</v>
      </c>
      <c r="O398" s="8" t="str">
        <f>IFERROR(N398/N444, "NA")</f>
        <v>NA</v>
      </c>
      <c r="P398" s="9"/>
      <c r="Q398" s="7">
        <v>1010.61</v>
      </c>
      <c r="R398" s="8" t="str">
        <f>IFERROR(Q398/Q444, "NA")</f>
        <v>NA</v>
      </c>
      <c r="S398" s="9"/>
      <c r="T398" s="7">
        <v>525</v>
      </c>
      <c r="U398" s="8" t="str">
        <f>IFERROR(T398/T444, "NA")</f>
        <v>NA</v>
      </c>
      <c r="V398" s="9"/>
      <c r="W398" s="10">
        <f t="shared" si="98"/>
        <v>-485.61</v>
      </c>
      <c r="X398" s="8" t="str">
        <f>IFERROR(W398/W444, "NA")</f>
        <v>NA</v>
      </c>
      <c r="Y398" s="9"/>
      <c r="Z398" s="7">
        <v>775.19</v>
      </c>
      <c r="AA398" s="8" t="str">
        <f>IFERROR(Z398/Z444, "NA")</f>
        <v>NA</v>
      </c>
      <c r="AB398" s="9"/>
      <c r="AC398" s="10">
        <f t="shared" si="99"/>
        <v>-235.41999999999996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987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-287</v>
      </c>
      <c r="I399" s="8" t="str">
        <f>IFERROR(H399/H444, "NA")</f>
        <v>NA</v>
      </c>
      <c r="J399" s="9"/>
      <c r="K399" s="7">
        <v>1894.95</v>
      </c>
      <c r="L399" s="8" t="str">
        <f>IFERROR(K399/K444, "NA")</f>
        <v>NA</v>
      </c>
      <c r="M399" s="9"/>
      <c r="N399" s="10">
        <f t="shared" si="97"/>
        <v>907.95</v>
      </c>
      <c r="O399" s="8" t="str">
        <f>IFERROR(N399/N444, "NA")</f>
        <v>NA</v>
      </c>
      <c r="P399" s="9"/>
      <c r="Q399" s="7">
        <v>1487</v>
      </c>
      <c r="R399" s="8" t="str">
        <f>IFERROR(Q399/Q444, "NA")</f>
        <v>NA</v>
      </c>
      <c r="S399" s="9"/>
      <c r="T399" s="7">
        <v>4900</v>
      </c>
      <c r="U399" s="8" t="str">
        <f>IFERROR(T399/T444, "NA")</f>
        <v>NA</v>
      </c>
      <c r="V399" s="9"/>
      <c r="W399" s="10">
        <f t="shared" si="98"/>
        <v>3413</v>
      </c>
      <c r="X399" s="8" t="str">
        <f>IFERROR(W399/W444, "NA")</f>
        <v>NA</v>
      </c>
      <c r="Y399" s="9"/>
      <c r="Z399" s="7">
        <v>5570.95</v>
      </c>
      <c r="AA399" s="8" t="str">
        <f>IFERROR(Z399/Z444, "NA")</f>
        <v>NA</v>
      </c>
      <c r="AB399" s="9"/>
      <c r="AC399" s="10">
        <f t="shared" si="99"/>
        <v>4083.95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58333.33</v>
      </c>
      <c r="AA401" s="8" t="str">
        <f>IFERROR(Z401/Z444, "NA")</f>
        <v>NA</v>
      </c>
      <c r="AB401" s="9"/>
      <c r="AC401" s="10">
        <f t="shared" si="99"/>
        <v>58333.33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114944.76999999999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159951.39999999997</v>
      </c>
      <c r="F403" s="15" t="str">
        <f>IFERROR(E403/E444, "NA")</f>
        <v>NA</v>
      </c>
      <c r="G403" s="2"/>
      <c r="H403" s="14">
        <f t="shared" si="96"/>
        <v>45006.629999999976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138952.93999999997</v>
      </c>
      <c r="L403" s="15" t="str">
        <f>IFERROR(K403/K444, "NA")</f>
        <v>NA</v>
      </c>
      <c r="M403" s="2"/>
      <c r="N403" s="14">
        <f t="shared" si="97"/>
        <v>24008.169999999984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931241.44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1137241.33</v>
      </c>
      <c r="U403" s="15" t="str">
        <f>IFERROR(T403/T444, "NA")</f>
        <v>NA</v>
      </c>
      <c r="V403" s="2"/>
      <c r="W403" s="14">
        <f t="shared" si="98"/>
        <v>205999.89000000013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1072849.0999999999</v>
      </c>
      <c r="AA403" s="15" t="str">
        <f>IFERROR(Z403/Z444, "NA")</f>
        <v>NA</v>
      </c>
      <c r="AB403" s="2"/>
      <c r="AC403" s="14">
        <f t="shared" si="99"/>
        <v>141607.65999999992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-114944.76999999999</v>
      </c>
      <c r="C404" s="24" t="str">
        <f>IFERROR(B404/B444, "NA")</f>
        <v>NA</v>
      </c>
      <c r="D404" s="25"/>
      <c r="E404" s="23">
        <f>IFERROR(E345-E403, "NA")</f>
        <v>-159951.39999999997</v>
      </c>
      <c r="F404" s="24" t="str">
        <f>IFERROR(E404/E444, "NA")</f>
        <v>NA</v>
      </c>
      <c r="G404" s="25"/>
      <c r="H404" s="23">
        <f>IFERROR(B404-E404, "NA")</f>
        <v>45006.629999999976</v>
      </c>
      <c r="I404" s="24" t="str">
        <f>IFERROR(H404/H444, "NA")</f>
        <v>NA</v>
      </c>
      <c r="J404" s="25"/>
      <c r="K404" s="23">
        <f>IFERROR(K345-K403, "NA")</f>
        <v>-138952.93999999997</v>
      </c>
      <c r="L404" s="24" t="str">
        <f>IFERROR(K404/K444, "NA")</f>
        <v>NA</v>
      </c>
      <c r="M404" s="25"/>
      <c r="N404" s="23">
        <f>IFERROR(B404-K404, "NA")</f>
        <v>24008.169999999984</v>
      </c>
      <c r="O404" s="24" t="str">
        <f>IFERROR(N404/N444, "NA")</f>
        <v>NA</v>
      </c>
      <c r="P404" s="25"/>
      <c r="Q404" s="23">
        <f>IFERROR(Q345-Q403, "NA")</f>
        <v>-931241.44</v>
      </c>
      <c r="R404" s="24" t="str">
        <f>IFERROR(Q404/Q444, "NA")</f>
        <v>NA</v>
      </c>
      <c r="S404" s="25"/>
      <c r="T404" s="23">
        <f>IFERROR(T345-T403, "NA")</f>
        <v>-1137241.33</v>
      </c>
      <c r="U404" s="24" t="str">
        <f>IFERROR(T404/T444, "NA")</f>
        <v>NA</v>
      </c>
      <c r="V404" s="25"/>
      <c r="W404" s="23">
        <f>IFERROR(Q404-T404, "NA")</f>
        <v>205999.89000000013</v>
      </c>
      <c r="X404" s="24" t="str">
        <f>IFERROR(W404/W444, "NA")</f>
        <v>NA</v>
      </c>
      <c r="Y404" s="25"/>
      <c r="Z404" s="23">
        <f>IFERROR(Z345-Z403, "NA")</f>
        <v>-1072849.0999999999</v>
      </c>
      <c r="AA404" s="24" t="str">
        <f>IFERROR(Z404/Z444, "NA")</f>
        <v>NA</v>
      </c>
      <c r="AB404" s="25"/>
      <c r="AC404" s="23">
        <f>IFERROR(Q404-Z404, "NA")</f>
        <v>141607.65999999992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543.09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-543.09</v>
      </c>
      <c r="X410" s="8" t="str">
        <f>IFERROR(W410/W444, "NA")</f>
        <v>NA</v>
      </c>
      <c r="Y410" s="9"/>
      <c r="Z410" s="7">
        <v>1294.23</v>
      </c>
      <c r="AA410" s="8" t="str">
        <f>IFERROR(Z410/Z444, "NA")</f>
        <v>NA</v>
      </c>
      <c r="AB410" s="9"/>
      <c r="AC410" s="10">
        <f t="shared" si="103"/>
        <v>751.14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1610.22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-1610.22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-1610.22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1447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56.25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-56.25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-56.25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-2.88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2.88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2.88</v>
      </c>
      <c r="O423" s="8" t="str">
        <f>IFERROR(N423/N444, "NA")</f>
        <v>NA</v>
      </c>
      <c r="P423" s="9"/>
      <c r="Q423" s="7">
        <v>-6.72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6.72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6.72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-16515.04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16515.04</v>
      </c>
      <c r="I426" s="8" t="str">
        <f>IFERROR(H426/H444, "NA")</f>
        <v>NA</v>
      </c>
      <c r="J426" s="9"/>
      <c r="K426" s="7">
        <v>0</v>
      </c>
      <c r="L426" s="8" t="str">
        <f>IFERROR(K426/K444, "NA")</f>
        <v>NA</v>
      </c>
      <c r="M426" s="9"/>
      <c r="N426" s="10">
        <f t="shared" si="101"/>
        <v>16515.04</v>
      </c>
      <c r="O426" s="8" t="str">
        <f>IFERROR(N426/N444, "NA")</f>
        <v>NA</v>
      </c>
      <c r="P426" s="9"/>
      <c r="Q426" s="7">
        <v>-79379.070000000007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79379.070000000007</v>
      </c>
      <c r="X426" s="8" t="str">
        <f>IFERROR(W426/W444, "NA")</f>
        <v>NA</v>
      </c>
      <c r="Y426" s="9"/>
      <c r="Z426" s="7">
        <v>-2871.9</v>
      </c>
      <c r="AA426" s="8" t="str">
        <f>IFERROR(Z426/Z444, "NA")</f>
        <v>NA</v>
      </c>
      <c r="AB426" s="9"/>
      <c r="AC426" s="10">
        <f t="shared" si="103"/>
        <v>76507.170000000013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-16189.85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16189.85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184.89</v>
      </c>
      <c r="L428" s="15" t="str">
        <f>IFERROR(K428/K444, "NA")</f>
        <v>NA</v>
      </c>
      <c r="M428" s="2"/>
      <c r="N428" s="14">
        <f t="shared" si="101"/>
        <v>16374.74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-80901.920000000013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80901.920000000013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-3856.36</v>
      </c>
      <c r="AA428" s="15" t="str">
        <f>IFERROR(Z428/Z444, "NA")</f>
        <v>NA</v>
      </c>
      <c r="AB428" s="2"/>
      <c r="AC428" s="14">
        <f t="shared" si="103"/>
        <v>77045.560000000012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-16189.85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16189.85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184.89</v>
      </c>
      <c r="L429" s="15" t="str">
        <f>IFERROR(K429/K444, "NA")</f>
        <v>NA</v>
      </c>
      <c r="M429" s="2"/>
      <c r="N429" s="14">
        <f t="shared" si="101"/>
        <v>16374.74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-80901.920000000013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80901.920000000013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-3856.36</v>
      </c>
      <c r="AA429" s="15" t="str">
        <f>IFERROR(Z429/Z444, "NA")</f>
        <v>NA</v>
      </c>
      <c r="AB429" s="2"/>
      <c r="AC429" s="14">
        <f t="shared" si="103"/>
        <v>77045.560000000012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-98754.919999999984</v>
      </c>
      <c r="C443" s="24" t="str">
        <f>IFERROR(B443/B444, "NA")</f>
        <v>NA</v>
      </c>
      <c r="D443" s="25"/>
      <c r="E443" s="23">
        <f>IFERROR(E404-E429-E442, "NA")</f>
        <v>-159951.39999999997</v>
      </c>
      <c r="F443" s="24" t="str">
        <f>IFERROR(E443/E444, "NA")</f>
        <v>NA</v>
      </c>
      <c r="G443" s="25"/>
      <c r="H443" s="23">
        <f>IFERROR(B443-E443, "NA")</f>
        <v>61196.479999999981</v>
      </c>
      <c r="I443" s="24" t="str">
        <f>IFERROR(H443/H444, "NA")</f>
        <v>NA</v>
      </c>
      <c r="J443" s="25"/>
      <c r="K443" s="23">
        <f>IFERROR(K404-K429-K442, "NA")</f>
        <v>-139137.82999999999</v>
      </c>
      <c r="L443" s="24" t="str">
        <f>IFERROR(K443/K444, "NA")</f>
        <v>NA</v>
      </c>
      <c r="M443" s="25"/>
      <c r="N443" s="23">
        <f>IFERROR(B443-K443, "NA")</f>
        <v>40382.910000000003</v>
      </c>
      <c r="O443" s="24" t="str">
        <f>IFERROR(N443/N444, "NA")</f>
        <v>NA</v>
      </c>
      <c r="P443" s="25"/>
      <c r="Q443" s="23">
        <f>IFERROR(Q404-Q429-Q442, "NA")</f>
        <v>-850339.5199999999</v>
      </c>
      <c r="R443" s="24" t="str">
        <f>IFERROR(Q443/Q444, "NA")</f>
        <v>NA</v>
      </c>
      <c r="S443" s="25"/>
      <c r="T443" s="23">
        <f>IFERROR(T404-T429-T442, "NA")</f>
        <v>-1137241.33</v>
      </c>
      <c r="U443" s="24" t="str">
        <f>IFERROR(T443/T444, "NA")</f>
        <v>NA</v>
      </c>
      <c r="V443" s="25"/>
      <c r="W443" s="23">
        <f>IFERROR(Q443-T443, "NA")</f>
        <v>286901.81000000017</v>
      </c>
      <c r="X443" s="24" t="str">
        <f>IFERROR(W443/W444, "NA")</f>
        <v>NA</v>
      </c>
      <c r="Y443" s="25"/>
      <c r="Z443" s="23">
        <f>IFERROR(Z404-Z429-Z442, "NA")</f>
        <v>-1068992.7399999998</v>
      </c>
      <c r="AA443" s="24" t="str">
        <f>IFERROR(Z443/Z444, "NA")</f>
        <v>NA</v>
      </c>
      <c r="AB443" s="25"/>
      <c r="AC443" s="23">
        <f>IFERROR(Q443-Z443, "NA")</f>
        <v>218653.21999999986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46054.16</v>
      </c>
      <c r="F10" s="8">
        <f>IFERROR(E10/E444, "NA")</f>
        <v>0.56399994513590623</v>
      </c>
      <c r="G10" s="9"/>
      <c r="H10" s="10">
        <f t="shared" ref="H10:H19" si="0">IFERROR(B10-E10, "NA")</f>
        <v>-46054.16</v>
      </c>
      <c r="I10" s="8">
        <f>IFERROR(H10/H444, "NA")</f>
        <v>22.348143403404471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359151.08</v>
      </c>
      <c r="U10" s="8">
        <f>IFERROR(T10/T444, "NA")</f>
        <v>0.56399999560296477</v>
      </c>
      <c r="V10" s="9"/>
      <c r="W10" s="10">
        <f t="shared" ref="W10:W19" si="2">IFERROR(Q10-T10, "NA")</f>
        <v>-359151.08</v>
      </c>
      <c r="X10" s="8">
        <f>IFERROR(W10/W444, "NA")</f>
        <v>8.0968663203838105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38176.160000000003</v>
      </c>
      <c r="C11" s="8">
        <f>IFERROR(B11/B444, "NA")</f>
        <v>0.47962675305004454</v>
      </c>
      <c r="D11" s="9"/>
      <c r="E11" s="7">
        <v>0</v>
      </c>
      <c r="F11" s="8">
        <f>IFERROR(E11/E444, "NA")</f>
        <v>0</v>
      </c>
      <c r="G11" s="9"/>
      <c r="H11" s="10">
        <f t="shared" si="0"/>
        <v>38176.160000000003</v>
      </c>
      <c r="I11" s="8">
        <f>IFERROR(H11/H444, "NA")</f>
        <v>-18.525281934820082</v>
      </c>
      <c r="J11" s="9"/>
      <c r="K11" s="7">
        <v>39311.83</v>
      </c>
      <c r="L11" s="8">
        <f>IFERROR(K11/K444, "NA")</f>
        <v>0.54642354568588736</v>
      </c>
      <c r="M11" s="9"/>
      <c r="N11" s="10">
        <f t="shared" si="1"/>
        <v>-1135.6699999999983</v>
      </c>
      <c r="O11" s="8">
        <f>IFERROR(N11/N444, "NA")</f>
        <v>-0.14842100035547739</v>
      </c>
      <c r="P11" s="9"/>
      <c r="Q11" s="7">
        <v>274239.46000000002</v>
      </c>
      <c r="R11" s="8">
        <f>IFERROR(Q11/Q444, "NA")</f>
        <v>0.46290148858298424</v>
      </c>
      <c r="S11" s="9"/>
      <c r="T11" s="7">
        <v>0</v>
      </c>
      <c r="U11" s="8">
        <f>IFERROR(T11/T444, "NA")</f>
        <v>0</v>
      </c>
      <c r="V11" s="9"/>
      <c r="W11" s="10">
        <f t="shared" si="2"/>
        <v>274239.46000000002</v>
      </c>
      <c r="X11" s="8">
        <f>IFERROR(W11/W444, "NA")</f>
        <v>-6.1825798975579946</v>
      </c>
      <c r="Y11" s="9"/>
      <c r="Z11" s="7">
        <v>306824.25</v>
      </c>
      <c r="AA11" s="8">
        <f>IFERROR(Z11/Z444, "NA")</f>
        <v>0.54001941276192766</v>
      </c>
      <c r="AB11" s="9"/>
      <c r="AC11" s="10">
        <f t="shared" si="3"/>
        <v>-32584.789999999979</v>
      </c>
      <c r="AD11" s="8">
        <f>IFERROR(AC11/AC444, "NA")</f>
        <v>-1.3429677862876668</v>
      </c>
    </row>
    <row r="12" spans="1:30" ht="16.5" customHeight="1" x14ac:dyDescent="0.45">
      <c r="A12" s="12" t="s">
        <v>14</v>
      </c>
      <c r="B12" s="7">
        <v>4167.7</v>
      </c>
      <c r="C12" s="8">
        <f>IFERROR(B12/B444, "NA")</f>
        <v>5.2360960837514049E-2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4167.7</v>
      </c>
      <c r="I12" s="8">
        <f>IFERROR(H12/H444, "NA")</f>
        <v>-2.0224092082532565</v>
      </c>
      <c r="J12" s="9"/>
      <c r="K12" s="7">
        <v>4067.45</v>
      </c>
      <c r="L12" s="8">
        <f>IFERROR(K12/K444, "NA")</f>
        <v>5.6536428115914784E-2</v>
      </c>
      <c r="M12" s="9"/>
      <c r="N12" s="10">
        <f t="shared" si="1"/>
        <v>100.25</v>
      </c>
      <c r="O12" s="8">
        <f>IFERROR(N12/N444, "NA")</f>
        <v>1.310169792777535E-2</v>
      </c>
      <c r="P12" s="9"/>
      <c r="Q12" s="7">
        <v>29469.9</v>
      </c>
      <c r="R12" s="8">
        <f>IFERROR(Q12/Q444, "NA")</f>
        <v>4.974360939301619E-2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29469.9</v>
      </c>
      <c r="X12" s="8">
        <f>IFERROR(W12/W444, "NA")</f>
        <v>-0.66438291310464348</v>
      </c>
      <c r="Y12" s="9"/>
      <c r="Z12" s="7">
        <v>28400.3</v>
      </c>
      <c r="AA12" s="8">
        <f>IFERROR(Z12/Z444, "NA")</f>
        <v>4.9985336322870742E-2</v>
      </c>
      <c r="AB12" s="9"/>
      <c r="AC12" s="10">
        <f t="shared" si="3"/>
        <v>1069.6000000000022</v>
      </c>
      <c r="AD12" s="8">
        <f>IFERROR(AC12/AC444, "NA")</f>
        <v>4.4083093498938984E-2</v>
      </c>
    </row>
    <row r="13" spans="1:30" ht="16.5" customHeight="1" x14ac:dyDescent="0.45">
      <c r="A13" s="12" t="s">
        <v>15</v>
      </c>
      <c r="B13" s="7">
        <v>190.5</v>
      </c>
      <c r="C13" s="8">
        <f>IFERROR(B13/B444, "NA")</f>
        <v>2.3933495787956012E-3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190.5</v>
      </c>
      <c r="I13" s="8">
        <f>IFERROR(H13/H444, "NA")</f>
        <v>-9.2441623478716178E-2</v>
      </c>
      <c r="J13" s="9"/>
      <c r="K13" s="7">
        <v>147.5</v>
      </c>
      <c r="L13" s="8">
        <f>IFERROR(K13/K444, "NA")</f>
        <v>2.0502091352315164E-3</v>
      </c>
      <c r="M13" s="9"/>
      <c r="N13" s="10">
        <f t="shared" si="1"/>
        <v>43</v>
      </c>
      <c r="O13" s="8">
        <f>IFERROR(N13/N444, "NA")</f>
        <v>5.6196809066767087E-3</v>
      </c>
      <c r="P13" s="9"/>
      <c r="Q13" s="7">
        <v>1529.5</v>
      </c>
      <c r="R13" s="8">
        <f>IFERROR(Q13/Q444, "NA")</f>
        <v>2.5817139035632379E-3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1529.5</v>
      </c>
      <c r="X13" s="8">
        <f>IFERROR(W13/W444, "NA")</f>
        <v>-3.4481748007069997E-2</v>
      </c>
      <c r="Y13" s="9"/>
      <c r="Z13" s="7">
        <v>1484.77</v>
      </c>
      <c r="AA13" s="8">
        <f>IFERROR(Z13/Z444, "NA")</f>
        <v>2.6132374591855997E-3</v>
      </c>
      <c r="AB13" s="9"/>
      <c r="AC13" s="10">
        <f t="shared" si="3"/>
        <v>44.730000000000018</v>
      </c>
      <c r="AD13" s="8">
        <f>IFERROR(AC13/AC444, "NA")</f>
        <v>1.8435272739412282E-3</v>
      </c>
    </row>
    <row r="14" spans="1:30" ht="16.5" customHeight="1" x14ac:dyDescent="0.45">
      <c r="A14" s="12" t="s">
        <v>16</v>
      </c>
      <c r="B14" s="7">
        <v>60</v>
      </c>
      <c r="C14" s="8">
        <f>IFERROR(B14/B444, "NA")</f>
        <v>7.5381089095924447E-4</v>
      </c>
      <c r="D14" s="9"/>
      <c r="E14" s="7">
        <v>0</v>
      </c>
      <c r="F14" s="8">
        <f>IFERROR(E14/E444, "NA")</f>
        <v>0</v>
      </c>
      <c r="G14" s="9"/>
      <c r="H14" s="10">
        <f t="shared" si="0"/>
        <v>60</v>
      </c>
      <c r="I14" s="8">
        <f>IFERROR(H14/H444, "NA")</f>
        <v>-2.9115471961800369E-2</v>
      </c>
      <c r="J14" s="9"/>
      <c r="K14" s="7">
        <v>300</v>
      </c>
      <c r="L14" s="8">
        <f>IFERROR(K14/K444, "NA")</f>
        <v>4.169916885216644E-3</v>
      </c>
      <c r="M14" s="9"/>
      <c r="N14" s="10">
        <f t="shared" si="1"/>
        <v>-240</v>
      </c>
      <c r="O14" s="8">
        <f>IFERROR(N14/N444, "NA")</f>
        <v>-3.1365660874474656E-2</v>
      </c>
      <c r="P14" s="9"/>
      <c r="Q14" s="7">
        <v>1735</v>
      </c>
      <c r="R14" s="8">
        <f>IFERROR(Q14/Q444, "NA")</f>
        <v>2.9285868732802992E-3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1735</v>
      </c>
      <c r="X14" s="8">
        <f>IFERROR(W14/W444, "NA")</f>
        <v>-3.9114634058363157E-2</v>
      </c>
      <c r="Y14" s="9"/>
      <c r="Z14" s="7">
        <v>2664.99</v>
      </c>
      <c r="AA14" s="8">
        <f>IFERROR(Z14/Z444, "NA")</f>
        <v>4.6904582503384572E-3</v>
      </c>
      <c r="AB14" s="9"/>
      <c r="AC14" s="10">
        <f t="shared" si="3"/>
        <v>-929.98999999999978</v>
      </c>
      <c r="AD14" s="8">
        <f>IFERROR(AC14/AC444, "NA")</f>
        <v>-3.8329128761292235E-2</v>
      </c>
    </row>
    <row r="15" spans="1:30" ht="16.5" customHeight="1" x14ac:dyDescent="0.45">
      <c r="A15" s="12" t="s">
        <v>17</v>
      </c>
      <c r="B15" s="7">
        <v>43</v>
      </c>
      <c r="C15" s="8">
        <f>IFERROR(B15/B444, "NA")</f>
        <v>5.4023113852079191E-4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43</v>
      </c>
      <c r="I15" s="8">
        <f>IFERROR(H15/H444, "NA")</f>
        <v>-2.0866088239290266E-2</v>
      </c>
      <c r="J15" s="9"/>
      <c r="K15" s="7">
        <v>21</v>
      </c>
      <c r="L15" s="8">
        <f>IFERROR(K15/K444, "NA")</f>
        <v>2.9189418196516506E-4</v>
      </c>
      <c r="M15" s="9"/>
      <c r="N15" s="10">
        <f t="shared" si="1"/>
        <v>22</v>
      </c>
      <c r="O15" s="8">
        <f>IFERROR(N15/N444, "NA")</f>
        <v>2.8751855801601766E-3</v>
      </c>
      <c r="P15" s="9"/>
      <c r="Q15" s="7">
        <v>299</v>
      </c>
      <c r="R15" s="8">
        <f>IFERROR(Q15/Q444, "NA")</f>
        <v>5.0469595107251262E-4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299</v>
      </c>
      <c r="X15" s="8">
        <f>IFERROR(W15/W444, "NA")</f>
        <v>-6.7407928434873674E-3</v>
      </c>
      <c r="Y15" s="9"/>
      <c r="Z15" s="7">
        <v>301</v>
      </c>
      <c r="AA15" s="8">
        <f>IFERROR(Z15/Z444, "NA")</f>
        <v>5.2976856699345058E-4</v>
      </c>
      <c r="AB15" s="9"/>
      <c r="AC15" s="10">
        <f t="shared" si="3"/>
        <v>-2</v>
      </c>
      <c r="AD15" s="8">
        <f>IFERROR(AC15/AC444, "NA")</f>
        <v>-8.2429120229878265E-5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1.35</v>
      </c>
      <c r="R16" s="8">
        <f>IFERROR(Q16/Q444, "NA")</f>
        <v>2.2787275382872645E-6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-3.0435017855210524E-5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5.5639656155167832E-5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42637.36</v>
      </c>
      <c r="C18" s="15">
        <f>IFERROR(B18/B444, "NA")</f>
        <v>0.53567510549583419</v>
      </c>
      <c r="D18" s="2"/>
      <c r="E18" s="14">
        <f>IFERROR(E10+E11+E12+E13+E14+E15+E16+E17, "NA")</f>
        <v>46054.16</v>
      </c>
      <c r="F18" s="15">
        <f>IFERROR(E18/E444, "NA")</f>
        <v>0.56399994513590623</v>
      </c>
      <c r="G18" s="2"/>
      <c r="H18" s="14">
        <f t="shared" si="0"/>
        <v>-3416.8000000000029</v>
      </c>
      <c r="I18" s="15">
        <f>IFERROR(H18/H444, "NA")</f>
        <v>1.6580290766513264</v>
      </c>
      <c r="J18" s="2"/>
      <c r="K18" s="14">
        <f>IFERROR(K10+K11+K12+K13+K14+K15+K16+K17, "NA")</f>
        <v>43847.78</v>
      </c>
      <c r="L18" s="15">
        <f>IFERROR(K18/K444, "NA")</f>
        <v>0.60947199400421548</v>
      </c>
      <c r="M18" s="2"/>
      <c r="N18" s="14">
        <f t="shared" si="1"/>
        <v>-1210.4199999999983</v>
      </c>
      <c r="O18" s="15">
        <f>IFERROR(N18/N444, "NA")</f>
        <v>-0.15819009681533983</v>
      </c>
      <c r="P18" s="2"/>
      <c r="Q18" s="14">
        <f>IFERROR(Q10+Q11+Q12+Q13+Q14+Q15+Q16+Q17, "NA")</f>
        <v>307274.21000000002</v>
      </c>
      <c r="R18" s="15">
        <f>IFERROR(Q18/Q444, "NA")</f>
        <v>0.51866237343145483</v>
      </c>
      <c r="S18" s="2"/>
      <c r="T18" s="14">
        <f>IFERROR(T10+T11+T12+T13+T14+T15+T16+T17, "NA")</f>
        <v>359151.08</v>
      </c>
      <c r="U18" s="15">
        <f>IFERROR(T18/T444, "NA")</f>
        <v>0.56399999560296477</v>
      </c>
      <c r="V18" s="2"/>
      <c r="W18" s="14">
        <f t="shared" si="2"/>
        <v>-51876.869999999995</v>
      </c>
      <c r="X18" s="15">
        <f>IFERROR(W18/W444, "NA")</f>
        <v>1.1695358997943963</v>
      </c>
      <c r="Y18" s="2"/>
      <c r="Z18" s="14">
        <f>IFERROR(Z10+Z11+Z12+Z13+Z14+Z15+Z16+Z17, "NA")</f>
        <v>339675.31</v>
      </c>
      <c r="AA18" s="15">
        <f>IFERROR(Z18/Z444, "NA")</f>
        <v>0.59783821336131593</v>
      </c>
      <c r="AB18" s="2"/>
      <c r="AC18" s="14">
        <f t="shared" si="3"/>
        <v>-32401.099999999977</v>
      </c>
      <c r="AD18" s="15">
        <f>IFERROR(AC18/AC444, "NA")</f>
        <v>-1.3353970837401534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8655.57</v>
      </c>
      <c r="F21" s="8">
        <f>IFERROR(E21/E444, "NA")</f>
        <v>0.10600000097971594</v>
      </c>
      <c r="G21" s="9"/>
      <c r="H21" s="10">
        <f t="shared" ref="H21:H29" si="4">IFERROR(B21-E21, "NA")</f>
        <v>-8655.57</v>
      </c>
      <c r="I21" s="8">
        <f>IFERROR(H21/H444, "NA")</f>
        <v>4.2001834274733403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67500.02</v>
      </c>
      <c r="U21" s="8">
        <f>IFERROR(T21/T444, "NA")</f>
        <v>0.1059999902637075</v>
      </c>
      <c r="V21" s="9"/>
      <c r="W21" s="10">
        <f t="shared" ref="W21:W29" si="6">IFERROR(Q21-T21, "NA")</f>
        <v>-67500.02</v>
      </c>
      <c r="X21" s="8">
        <f>IFERROR(W21/W444, "NA")</f>
        <v>1.5217513436496797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8565.4500000000007</v>
      </c>
      <c r="C22" s="8">
        <f>IFERROR(B22/B444, "NA")</f>
        <v>0.10761215826611435</v>
      </c>
      <c r="D22" s="9"/>
      <c r="E22" s="7">
        <v>0</v>
      </c>
      <c r="F22" s="8">
        <f>IFERROR(E22/E444, "NA")</f>
        <v>0</v>
      </c>
      <c r="G22" s="9"/>
      <c r="H22" s="10">
        <f t="shared" si="4"/>
        <v>8565.4500000000007</v>
      </c>
      <c r="I22" s="8">
        <f>IFERROR(H22/H444, "NA")</f>
        <v>-4.1564519885867162</v>
      </c>
      <c r="J22" s="9"/>
      <c r="K22" s="7">
        <v>6351.29</v>
      </c>
      <c r="L22" s="8">
        <f>IFERROR(K22/K444, "NA")</f>
        <v>8.8281171379692047E-2</v>
      </c>
      <c r="M22" s="9"/>
      <c r="N22" s="10">
        <f t="shared" si="5"/>
        <v>2214.1600000000008</v>
      </c>
      <c r="O22" s="8">
        <f>IFERROR(N22/N444, "NA")</f>
        <v>0.28936913200761177</v>
      </c>
      <c r="P22" s="9"/>
      <c r="Q22" s="7">
        <v>49948.6</v>
      </c>
      <c r="R22" s="8">
        <f>IFERROR(Q22/Q444, "NA")</f>
        <v>8.4310555791774267E-2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49948.6</v>
      </c>
      <c r="X22" s="8">
        <f>IFERROR(W22/W444, "NA")</f>
        <v>-1.1260640984020507</v>
      </c>
      <c r="Y22" s="9"/>
      <c r="Z22" s="7">
        <v>50164.68</v>
      </c>
      <c r="AA22" s="8">
        <f>IFERROR(Z22/Z444, "NA")</f>
        <v>8.8291264575697706E-2</v>
      </c>
      <c r="AB22" s="9"/>
      <c r="AC22" s="10">
        <f t="shared" si="7"/>
        <v>-216.08000000000175</v>
      </c>
      <c r="AD22" s="8">
        <f>IFERROR(AC22/AC444, "NA")</f>
        <v>-8.9056421496361195E-3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531.94000000000005</v>
      </c>
      <c r="C24" s="8">
        <f>IFERROR(B24/B444, "NA")</f>
        <v>6.6830360889476755E-3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531.94000000000005</v>
      </c>
      <c r="I24" s="8">
        <f>IFERROR(H24/H444, "NA")</f>
        <v>-0.25812806925600151</v>
      </c>
      <c r="J24" s="9"/>
      <c r="K24" s="7">
        <v>305.64999999999998</v>
      </c>
      <c r="L24" s="8">
        <f>IFERROR(K24/K444, "NA")</f>
        <v>4.2484503198882235E-3</v>
      </c>
      <c r="M24" s="9"/>
      <c r="N24" s="10">
        <f t="shared" si="5"/>
        <v>226.29000000000008</v>
      </c>
      <c r="O24" s="8">
        <f>IFERROR(N24/N444, "NA")</f>
        <v>2.9573897497020298E-2</v>
      </c>
      <c r="P24" s="9"/>
      <c r="Q24" s="7">
        <v>4376.99</v>
      </c>
      <c r="R24" s="8">
        <f>IFERROR(Q24/Q444, "NA")</f>
        <v>7.3881241835614614E-3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4376.99</v>
      </c>
      <c r="X24" s="8">
        <f>IFERROR(W24/W444, "NA")</f>
        <v>-9.8676865779316961E-2</v>
      </c>
      <c r="Y24" s="9"/>
      <c r="Z24" s="7">
        <v>2553.15</v>
      </c>
      <c r="AA24" s="8">
        <f>IFERROR(Z24/Z444, "NA")</f>
        <v>4.493616667173848E-3</v>
      </c>
      <c r="AB24" s="9"/>
      <c r="AC24" s="10">
        <f t="shared" si="7"/>
        <v>1823.8399999999997</v>
      </c>
      <c r="AD24" s="8">
        <f>IFERROR(AC24/AC444, "NA")</f>
        <v>7.5168763320030571E-2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253.46</v>
      </c>
      <c r="L27" s="8">
        <f>IFERROR(K27/K444, "NA")</f>
        <v>3.5230237790900352E-3</v>
      </c>
      <c r="M27" s="9"/>
      <c r="N27" s="10">
        <f t="shared" si="5"/>
        <v>-253.46</v>
      </c>
      <c r="O27" s="8">
        <f>IFERROR(N27/N444, "NA")</f>
        <v>-3.3124751688518111E-2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2667.41</v>
      </c>
      <c r="AA27" s="8">
        <f>IFERROR(Z27/Z444, "NA")</f>
        <v>4.6947175192159464E-3</v>
      </c>
      <c r="AB27" s="9"/>
      <c r="AC27" s="10">
        <f t="shared" si="7"/>
        <v>-2667.41</v>
      </c>
      <c r="AD27" s="8">
        <f>IFERROR(AC27/AC444, "NA")</f>
        <v>-0.10993612979618979</v>
      </c>
    </row>
    <row r="28" spans="1:30" ht="16.5" customHeight="1" x14ac:dyDescent="0.45">
      <c r="A28" s="12" t="s">
        <v>29</v>
      </c>
      <c r="B28" s="7">
        <v>868.55</v>
      </c>
      <c r="C28" s="8">
        <f>IFERROR(B28/B444, "NA")</f>
        <v>1.0912040822377529E-2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868.55</v>
      </c>
      <c r="I28" s="8">
        <f>IFERROR(H28/H444, "NA")</f>
        <v>-0.4214707195403618</v>
      </c>
      <c r="J28" s="9"/>
      <c r="K28" s="7">
        <v>886.65</v>
      </c>
      <c r="L28" s="8">
        <f>IFERROR(K28/K444, "NA")</f>
        <v>1.2324189354257789E-2</v>
      </c>
      <c r="M28" s="9"/>
      <c r="N28" s="10">
        <f t="shared" si="5"/>
        <v>-18.100000000000023</v>
      </c>
      <c r="O28" s="8">
        <f>IFERROR(N28/N444, "NA")</f>
        <v>-2.3654935909499662E-3</v>
      </c>
      <c r="P28" s="9"/>
      <c r="Q28" s="7">
        <v>5852.23</v>
      </c>
      <c r="R28" s="8">
        <f>IFERROR(Q28/Q444, "NA")</f>
        <v>9.8782501195487978E-3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5852.23</v>
      </c>
      <c r="X28" s="8">
        <f>IFERROR(W28/W444, "NA")</f>
        <v>-0.1319353515131842</v>
      </c>
      <c r="Y28" s="9"/>
      <c r="Z28" s="7">
        <v>5877.07</v>
      </c>
      <c r="AA28" s="8">
        <f>IFERROR(Z28/Z444, "NA")</f>
        <v>1.0343810471827902E-2</v>
      </c>
      <c r="AB28" s="9"/>
      <c r="AC28" s="10">
        <f t="shared" si="7"/>
        <v>-24.840000000000146</v>
      </c>
      <c r="AD28" s="8">
        <f>IFERROR(AC28/AC444, "NA")</f>
        <v>-1.0237696732550941E-3</v>
      </c>
    </row>
    <row r="29" spans="1:30" ht="16.5" customHeight="1" x14ac:dyDescent="0.45">
      <c r="A29" s="13" t="s">
        <v>30</v>
      </c>
      <c r="B29" s="14">
        <f>IFERROR(B21+B22+B23+B24+B25+B26+B27+B28, "NA")</f>
        <v>9965.94</v>
      </c>
      <c r="C29" s="15">
        <f>IFERROR(B29/B444, "NA")</f>
        <v>0.12520723517743956</v>
      </c>
      <c r="D29" s="2"/>
      <c r="E29" s="14">
        <f>IFERROR(E21+E22+E23+E24+E25+E26+E27+E28, "NA")</f>
        <v>8655.57</v>
      </c>
      <c r="F29" s="15">
        <f>IFERROR(E29/E444, "NA")</f>
        <v>0.10600000097971594</v>
      </c>
      <c r="G29" s="2"/>
      <c r="H29" s="14">
        <f t="shared" si="4"/>
        <v>1310.3700000000008</v>
      </c>
      <c r="I29" s="15">
        <f>IFERROR(H29/H444, "NA")</f>
        <v>-0.63586734990973959</v>
      </c>
      <c r="J29" s="2"/>
      <c r="K29" s="14">
        <f>IFERROR(K21+K22+K23+K24+K25+K26+K27+K28, "NA")</f>
        <v>7797.0499999999993</v>
      </c>
      <c r="L29" s="15">
        <f>IFERROR(K29/K444, "NA")</f>
        <v>0.10837683483292809</v>
      </c>
      <c r="M29" s="2"/>
      <c r="N29" s="14">
        <f t="shared" si="5"/>
        <v>2168.8900000000012</v>
      </c>
      <c r="O29" s="15">
        <f>IFERROR(N29/N444, "NA")</f>
        <v>0.28345278422516407</v>
      </c>
      <c r="P29" s="2"/>
      <c r="Q29" s="14">
        <f>IFERROR(Q21+Q22+Q23+Q24+Q25+Q26+Q27+Q28, "NA")</f>
        <v>60177.819999999992</v>
      </c>
      <c r="R29" s="15">
        <f>IFERROR(Q29/Q444, "NA")</f>
        <v>0.10157693009488451</v>
      </c>
      <c r="S29" s="2"/>
      <c r="T29" s="14">
        <f>IFERROR(T21+T22+T23+T24+T25+T26+T27+T28, "NA")</f>
        <v>67500.02</v>
      </c>
      <c r="U29" s="15">
        <f>IFERROR(T29/T444, "NA")</f>
        <v>0.1059999902637075</v>
      </c>
      <c r="V29" s="2"/>
      <c r="W29" s="14">
        <f t="shared" si="6"/>
        <v>-7322.2000000000116</v>
      </c>
      <c r="X29" s="15">
        <f>IFERROR(W29/W444, "NA")</f>
        <v>0.16507502795512805</v>
      </c>
      <c r="Y29" s="2"/>
      <c r="Z29" s="14">
        <f>IFERROR(Z21+Z22+Z23+Z24+Z25+Z26+Z27+Z28, "NA")</f>
        <v>61262.310000000005</v>
      </c>
      <c r="AA29" s="15">
        <f>IFERROR(Z29/Z444, "NA")</f>
        <v>0.10782340923391541</v>
      </c>
      <c r="AB29" s="2"/>
      <c r="AC29" s="14">
        <f t="shared" si="7"/>
        <v>-1084.4900000000125</v>
      </c>
      <c r="AD29" s="15">
        <f>IFERROR(AC29/AC444, "NA")</f>
        <v>-4.469677829905086E-2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17556.11</v>
      </c>
      <c r="F31" s="8">
        <f>IFERROR(E31/E444, "NA")</f>
        <v>0.2150000146957394</v>
      </c>
      <c r="G31" s="9"/>
      <c r="H31" s="10">
        <f t="shared" ref="H31:H40" si="8">IFERROR(B31-E31, "NA")</f>
        <v>-17556.11</v>
      </c>
      <c r="I31" s="8">
        <f>IFERROR(H31/H444, "NA")</f>
        <v>8.5192404743880523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136910.43</v>
      </c>
      <c r="U31" s="8">
        <f>IFERROR(T31/T444, "NA")</f>
        <v>0.21499999921481514</v>
      </c>
      <c r="V31" s="9"/>
      <c r="W31" s="10">
        <f t="shared" ref="W31:W40" si="10">IFERROR(Q31-T31, "NA")</f>
        <v>-136910.43</v>
      </c>
      <c r="X31" s="8">
        <f>IFERROR(W31/W444, "NA")</f>
        <v>3.0865713937885557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4886.53</v>
      </c>
      <c r="C33" s="8">
        <f>IFERROR(B33/B444, "NA")</f>
        <v>6.139199221665128E-2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4886.53</v>
      </c>
      <c r="I33" s="8">
        <f>IFERROR(H33/H444, "NA")</f>
        <v>-2.3712271200916057</v>
      </c>
      <c r="J33" s="9"/>
      <c r="K33" s="7">
        <v>3376.97</v>
      </c>
      <c r="L33" s="8">
        <f>IFERROR(K33/K444, "NA")</f>
        <v>4.693894741290016E-2</v>
      </c>
      <c r="M33" s="9"/>
      <c r="N33" s="10">
        <f t="shared" si="9"/>
        <v>1509.56</v>
      </c>
      <c r="O33" s="8">
        <f>IFERROR(N33/N444, "NA")</f>
        <v>0.19728477929029983</v>
      </c>
      <c r="P33" s="9"/>
      <c r="Q33" s="7">
        <v>39116.6</v>
      </c>
      <c r="R33" s="8">
        <f>IFERROR(Q33/Q444, "NA")</f>
        <v>6.6026721203087113E-2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39116.6</v>
      </c>
      <c r="X33" s="8">
        <f>IFERROR(W33/W444, "NA")</f>
        <v>-0.88186253291490957</v>
      </c>
      <c r="Y33" s="9"/>
      <c r="Z33" s="7">
        <v>29527.97</v>
      </c>
      <c r="AA33" s="8">
        <f>IFERROR(Z33/Z444, "NA")</f>
        <v>5.1970067618357471E-2</v>
      </c>
      <c r="AB33" s="9"/>
      <c r="AC33" s="10">
        <f t="shared" si="11"/>
        <v>9588.6299999999974</v>
      </c>
      <c r="AD33" s="8">
        <f>IFERROR(AC33/AC444, "NA")</f>
        <v>0.39519116755490874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665.74</v>
      </c>
      <c r="C35" s="8">
        <f>IFERROR(B35/B444, "NA")</f>
        <v>8.3640343757867899E-3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665.74</v>
      </c>
      <c r="I35" s="8">
        <f>IFERROR(H35/H444, "NA")</f>
        <v>-0.32305557173081628</v>
      </c>
      <c r="J35" s="9"/>
      <c r="K35" s="7">
        <v>117.77</v>
      </c>
      <c r="L35" s="8">
        <f>IFERROR(K35/K444, "NA")</f>
        <v>1.636970371906547E-3</v>
      </c>
      <c r="M35" s="9"/>
      <c r="N35" s="10">
        <f t="shared" si="9"/>
        <v>547.97</v>
      </c>
      <c r="O35" s="8">
        <f>IFERROR(N35/N444, "NA")</f>
        <v>7.1614338289107821E-2</v>
      </c>
      <c r="P35" s="9"/>
      <c r="Q35" s="7">
        <v>4130.82</v>
      </c>
      <c r="R35" s="8">
        <f>IFERROR(Q35/Q444, "NA")</f>
        <v>6.9726024368205906E-3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4130.82</v>
      </c>
      <c r="X35" s="8">
        <f>IFERROR(W35/W444, "NA")</f>
        <v>-9.3127096634563505E-2</v>
      </c>
      <c r="Y35" s="9"/>
      <c r="Z35" s="7">
        <v>117.77</v>
      </c>
      <c r="AA35" s="8">
        <f>IFERROR(Z35/Z444, "NA")</f>
        <v>2.0727855194291916E-4</v>
      </c>
      <c r="AB35" s="9"/>
      <c r="AC35" s="10">
        <f t="shared" si="11"/>
        <v>4013.0499999999997</v>
      </c>
      <c r="AD35" s="8">
        <f>IFERROR(AC35/AC444, "NA")</f>
        <v>0.16539609046925649</v>
      </c>
    </row>
    <row r="36" spans="1:30" ht="16.5" customHeight="1" x14ac:dyDescent="0.45">
      <c r="A36" s="12" t="s">
        <v>36</v>
      </c>
      <c r="B36" s="7">
        <v>7409.35</v>
      </c>
      <c r="C36" s="8">
        <f>IFERROR(B36/B444, "NA")</f>
        <v>9.3087478748814637E-2</v>
      </c>
      <c r="D36" s="9"/>
      <c r="E36" s="7">
        <v>0</v>
      </c>
      <c r="F36" s="8">
        <f>IFERROR(E36/E444, "NA")</f>
        <v>0</v>
      </c>
      <c r="G36" s="9"/>
      <c r="H36" s="10">
        <f t="shared" si="8"/>
        <v>7409.35</v>
      </c>
      <c r="I36" s="8">
        <f>IFERROR(H36/H444, "NA")</f>
        <v>-3.5954453696694264</v>
      </c>
      <c r="J36" s="9"/>
      <c r="K36" s="7">
        <v>8924.51</v>
      </c>
      <c r="L36" s="8">
        <f>IFERROR(K36/K444, "NA")</f>
        <v>0.1240482164709493</v>
      </c>
      <c r="M36" s="9"/>
      <c r="N36" s="10">
        <f t="shared" si="9"/>
        <v>-1515.1599999999999</v>
      </c>
      <c r="O36" s="8">
        <f>IFERROR(N36/N444, "NA")</f>
        <v>-0.19801664471070421</v>
      </c>
      <c r="P36" s="9"/>
      <c r="Q36" s="7">
        <v>70705.89</v>
      </c>
      <c r="R36" s="8">
        <f>IFERROR(Q36/Q444, "NA")</f>
        <v>0.1193477471571186</v>
      </c>
      <c r="S36" s="9"/>
      <c r="T36" s="7">
        <v>0</v>
      </c>
      <c r="U36" s="8">
        <f>IFERROR(T36/T444, "NA")</f>
        <v>0</v>
      </c>
      <c r="V36" s="9"/>
      <c r="W36" s="10">
        <f t="shared" si="10"/>
        <v>70705.89</v>
      </c>
      <c r="X36" s="8">
        <f>IFERROR(W36/W444, "NA")</f>
        <v>-1.5940259441618898</v>
      </c>
      <c r="Y36" s="9"/>
      <c r="Z36" s="7">
        <v>61854.37</v>
      </c>
      <c r="AA36" s="8">
        <f>IFERROR(Z36/Z444, "NA")</f>
        <v>0.10886545168499229</v>
      </c>
      <c r="AB36" s="9"/>
      <c r="AC36" s="10">
        <f t="shared" si="11"/>
        <v>8851.5199999999968</v>
      </c>
      <c r="AD36" s="8">
        <f>IFERROR(AC36/AC444, "NA")</f>
        <v>0.3648115031485859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366.05</v>
      </c>
      <c r="C39" s="8">
        <f>IFERROR(B39/B444, "NA")</f>
        <v>4.5988746105938578E-3</v>
      </c>
      <c r="D39" s="9"/>
      <c r="E39" s="7">
        <v>0</v>
      </c>
      <c r="F39" s="8">
        <f>IFERROR(E39/E444, "NA")</f>
        <v>0</v>
      </c>
      <c r="G39" s="9"/>
      <c r="H39" s="10">
        <f t="shared" si="8"/>
        <v>366.05</v>
      </c>
      <c r="I39" s="8">
        <f>IFERROR(H39/H444, "NA")</f>
        <v>-0.17762864186028376</v>
      </c>
      <c r="J39" s="9"/>
      <c r="K39" s="7">
        <v>965.49</v>
      </c>
      <c r="L39" s="8">
        <f>IFERROR(K39/K444, "NA")</f>
        <v>1.3420043511692724E-2</v>
      </c>
      <c r="M39" s="9"/>
      <c r="N39" s="10">
        <f t="shared" si="9"/>
        <v>-599.44000000000005</v>
      </c>
      <c r="O39" s="8">
        <f>IFERROR(N39/N444, "NA")</f>
        <v>-7.8340965644146207E-2</v>
      </c>
      <c r="P39" s="9"/>
      <c r="Q39" s="7">
        <v>4558.68</v>
      </c>
      <c r="R39" s="8">
        <f>IFERROR(Q39/Q444, "NA")</f>
        <v>7.6948071512884346E-3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4558.68</v>
      </c>
      <c r="X39" s="8">
        <f>IFERROR(W39/W444, "NA")</f>
        <v>-0.1027729682934749</v>
      </c>
      <c r="Y39" s="9"/>
      <c r="Z39" s="7">
        <v>7253.81</v>
      </c>
      <c r="AA39" s="8">
        <f>IFERROR(Z39/Z444, "NA")</f>
        <v>1.2766912056288245E-2</v>
      </c>
      <c r="AB39" s="9"/>
      <c r="AC39" s="10">
        <f t="shared" si="11"/>
        <v>-2695.13</v>
      </c>
      <c r="AD39" s="8">
        <f>IFERROR(AC39/AC444, "NA")</f>
        <v>-0.11107859740257592</v>
      </c>
    </row>
    <row r="40" spans="1:30" ht="16.5" customHeight="1" x14ac:dyDescent="0.45">
      <c r="A40" s="13" t="s">
        <v>40</v>
      </c>
      <c r="B40" s="14">
        <f>IFERROR(B31+B32+B33+B34+B35+B36+B37+B38+B39, "NA")</f>
        <v>13327.669999999998</v>
      </c>
      <c r="C40" s="15">
        <f>IFERROR(B40/B444, "NA")</f>
        <v>0.16744237995184655</v>
      </c>
      <c r="D40" s="2"/>
      <c r="E40" s="14">
        <f>IFERROR(E31+E32+E33+E34+E35+E36+E37+E38+E39, "NA")</f>
        <v>17556.11</v>
      </c>
      <c r="F40" s="15">
        <f>IFERROR(E40/E444, "NA")</f>
        <v>0.2150000146957394</v>
      </c>
      <c r="G40" s="2"/>
      <c r="H40" s="14">
        <f t="shared" si="8"/>
        <v>-4228.4400000000023</v>
      </c>
      <c r="I40" s="15">
        <f>IFERROR(H40/H444, "NA")</f>
        <v>2.0518837710359206</v>
      </c>
      <c r="J40" s="2"/>
      <c r="K40" s="14">
        <f>IFERROR(K31+K32+K33+K34+K35+K36+K37+K38+K39, "NA")</f>
        <v>13384.74</v>
      </c>
      <c r="L40" s="15">
        <f>IFERROR(K40/K444, "NA")</f>
        <v>0.18604417776744872</v>
      </c>
      <c r="M40" s="2"/>
      <c r="N40" s="14">
        <f t="shared" si="9"/>
        <v>-57.070000000001528</v>
      </c>
      <c r="O40" s="15">
        <f>IFERROR(N40/N444, "NA")</f>
        <v>-7.4584927754429847E-3</v>
      </c>
      <c r="P40" s="2"/>
      <c r="Q40" s="14">
        <f>IFERROR(Q31+Q32+Q33+Q34+Q35+Q36+Q37+Q38+Q39, "NA")</f>
        <v>118511.98999999999</v>
      </c>
      <c r="R40" s="15">
        <f>IFERROR(Q40/Q444, "NA")</f>
        <v>0.20004187794831471</v>
      </c>
      <c r="S40" s="2"/>
      <c r="T40" s="14">
        <f>IFERROR(T31+T32+T33+T34+T35+T36+T37+T38+T39, "NA")</f>
        <v>136910.43</v>
      </c>
      <c r="U40" s="15">
        <f>IFERROR(T40/T444, "NA")</f>
        <v>0.21499999921481514</v>
      </c>
      <c r="V40" s="2"/>
      <c r="W40" s="14">
        <f t="shared" si="10"/>
        <v>-18398.440000000002</v>
      </c>
      <c r="X40" s="15">
        <f>IFERROR(W40/W444, "NA")</f>
        <v>0.41478285178371821</v>
      </c>
      <c r="Y40" s="2"/>
      <c r="Z40" s="14">
        <f>IFERROR(Z31+Z32+Z33+Z34+Z35+Z36+Z37+Z38+Z39, "NA")</f>
        <v>98753.919999999998</v>
      </c>
      <c r="AA40" s="15">
        <f>IFERROR(Z40/Z444, "NA")</f>
        <v>0.17380970991158093</v>
      </c>
      <c r="AB40" s="2"/>
      <c r="AC40" s="14">
        <f t="shared" si="11"/>
        <v>19758.069999999992</v>
      </c>
      <c r="AD40" s="15">
        <f>IFERROR(AC40/AC444, "NA")</f>
        <v>0.81432016377017513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2704.08</v>
      </c>
      <c r="C43" s="8">
        <f>IFERROR(B43/B444, "NA")</f>
        <v>3.397274923375123E-2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2704.08</v>
      </c>
      <c r="I43" s="8">
        <f>IFERROR(H43/H444, "NA")</f>
        <v>-1.3121760903744191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2704.08</v>
      </c>
      <c r="O43" s="8">
        <f>IFERROR(N43/N444, "NA")</f>
        <v>0.35339690107270594</v>
      </c>
      <c r="P43" s="9"/>
      <c r="Q43" s="7">
        <v>38685.919999999998</v>
      </c>
      <c r="R43" s="8">
        <f>IFERROR(Q43/Q444, "NA")</f>
        <v>6.5299756479983734E-2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38685.919999999998</v>
      </c>
      <c r="X43" s="8">
        <f>IFERROR(W43/W444, "NA")</f>
        <v>-0.87215308588536733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38685.919999999998</v>
      </c>
      <c r="AD43" s="8">
        <f>IFERROR(AC43/AC444, "NA")</f>
        <v>1.594423175441726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12003.48</v>
      </c>
      <c r="F46" s="8">
        <f>IFERROR(E46/E444, "NA")</f>
        <v>0.1470000117565915</v>
      </c>
      <c r="G46" s="9"/>
      <c r="H46" s="10">
        <f t="shared" ref="H46:H62" si="12">IFERROR(B46-E46, "NA")</f>
        <v>-12003.48</v>
      </c>
      <c r="I46" s="8">
        <f>IFERROR(H46/H444, "NA")</f>
        <v>5.8247830897338577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93608.53</v>
      </c>
      <c r="U46" s="8">
        <f>IFERROR(T46/T444, "NA")</f>
        <v>0.14700000486814627</v>
      </c>
      <c r="V46" s="9"/>
      <c r="W46" s="10">
        <f t="shared" ref="W46:W62" si="14">IFERROR(Q46-T46, "NA")</f>
        <v>-93608.53</v>
      </c>
      <c r="X46" s="8">
        <f>IFERROR(W46/W444, "NA")</f>
        <v>2.1103535421851927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357.81</v>
      </c>
      <c r="C47" s="8">
        <f>IFERROR(B47/B444, "NA")</f>
        <v>4.4953512482354546E-3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357.81</v>
      </c>
      <c r="I47" s="8">
        <f>IFERROR(H47/H444, "NA")</f>
        <v>-0.17363011704419651</v>
      </c>
      <c r="J47" s="9"/>
      <c r="K47" s="7">
        <v>1431.64</v>
      </c>
      <c r="L47" s="8">
        <f>IFERROR(K47/K444, "NA")</f>
        <v>1.9899399365171853E-2</v>
      </c>
      <c r="M47" s="9"/>
      <c r="N47" s="10">
        <f t="shared" si="13"/>
        <v>-1073.8300000000002</v>
      </c>
      <c r="O47" s="8">
        <f>IFERROR(N47/N444, "NA")</f>
        <v>-0.14033911507015467</v>
      </c>
      <c r="P47" s="9"/>
      <c r="Q47" s="7">
        <v>6355.75</v>
      </c>
      <c r="R47" s="8">
        <f>IFERROR(Q47/Q444, "NA")</f>
        <v>1.0728164852940208E-2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6355.75</v>
      </c>
      <c r="X47" s="8">
        <f>IFERROR(W47/W444, "NA")</f>
        <v>-0.14328693683944763</v>
      </c>
      <c r="Y47" s="9"/>
      <c r="Z47" s="7">
        <v>3818.35</v>
      </c>
      <c r="AA47" s="8">
        <f>IFERROR(Z47/Z444, "NA")</f>
        <v>6.7204046770081129E-3</v>
      </c>
      <c r="AB47" s="9"/>
      <c r="AC47" s="10">
        <f t="shared" si="15"/>
        <v>2537.4</v>
      </c>
      <c r="AD47" s="8">
        <f>IFERROR(AC47/AC444, "NA")</f>
        <v>0.10457782483564657</v>
      </c>
    </row>
    <row r="48" spans="1:30" ht="16.5" customHeight="1" x14ac:dyDescent="0.45">
      <c r="A48" s="17" t="s">
        <v>46</v>
      </c>
      <c r="B48" s="7">
        <v>1674.9</v>
      </c>
      <c r="C48" s="8">
        <f>IFERROR(B48/B444, "NA")</f>
        <v>2.1042631021127311E-2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1674.9</v>
      </c>
      <c r="I48" s="8">
        <f>IFERROR(H48/H444, "NA")</f>
        <v>-0.81275839981365738</v>
      </c>
      <c r="J48" s="9"/>
      <c r="K48" s="7">
        <v>3777.71</v>
      </c>
      <c r="L48" s="8">
        <f>IFERROR(K48/K444, "NA")</f>
        <v>5.2509122388172555E-2</v>
      </c>
      <c r="M48" s="9"/>
      <c r="N48" s="10">
        <f t="shared" si="13"/>
        <v>-2102.81</v>
      </c>
      <c r="O48" s="8">
        <f>IFERROR(N48/N444, "NA")</f>
        <v>-0.27481677226439183</v>
      </c>
      <c r="P48" s="9"/>
      <c r="Q48" s="7">
        <v>37339.629999999997</v>
      </c>
      <c r="R48" s="8">
        <f>IFERROR(Q48/Q444, "NA")</f>
        <v>6.3027291222560955E-2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37339.629999999997</v>
      </c>
      <c r="X48" s="8">
        <f>IFERROR(W48/W444, "NA")</f>
        <v>-0.84180170796811438</v>
      </c>
      <c r="Y48" s="9"/>
      <c r="Z48" s="7">
        <v>50049.14</v>
      </c>
      <c r="AA48" s="8">
        <f>IFERROR(Z48/Z444, "NA")</f>
        <v>8.8087910887224535E-2</v>
      </c>
      <c r="AB48" s="9"/>
      <c r="AC48" s="10">
        <f t="shared" si="15"/>
        <v>-12709.510000000002</v>
      </c>
      <c r="AD48" s="8">
        <f>IFERROR(AC48/AC444, "NA")</f>
        <v>-0.52381686392642013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27.5</v>
      </c>
      <c r="R49" s="8">
        <f>IFERROR(Q49/Q444, "NA")</f>
        <v>4.6418523928073908E-5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-6.1997258593947358E-4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27.5</v>
      </c>
      <c r="AD49" s="8">
        <f>IFERROR(AC49/AC444, "NA")</f>
        <v>1.1334004031608262E-3</v>
      </c>
    </row>
    <row r="50" spans="1:30" ht="16.5" customHeight="1" x14ac:dyDescent="0.45">
      <c r="A50" s="17" t="s">
        <v>48</v>
      </c>
      <c r="B50" s="7">
        <v>3547.5</v>
      </c>
      <c r="C50" s="8">
        <f>IFERROR(B50/B444, "NA")</f>
        <v>4.4569068927965333E-2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3547.5</v>
      </c>
      <c r="I50" s="8">
        <f>IFERROR(H50/H444, "NA")</f>
        <v>-1.7214522797414469</v>
      </c>
      <c r="J50" s="9"/>
      <c r="K50" s="7">
        <v>2648.95</v>
      </c>
      <c r="L50" s="8">
        <f>IFERROR(K50/K444, "NA")</f>
        <v>3.6819671110315422E-2</v>
      </c>
      <c r="M50" s="9"/>
      <c r="N50" s="10">
        <f t="shared" si="13"/>
        <v>898.55000000000018</v>
      </c>
      <c r="O50" s="8">
        <f>IFERROR(N50/N444, "NA")</f>
        <v>0.1174317274114967</v>
      </c>
      <c r="P50" s="9"/>
      <c r="Q50" s="7">
        <v>11488.07</v>
      </c>
      <c r="R50" s="8">
        <f>IFERROR(Q50/Q444, "NA")</f>
        <v>1.9391245533905015E-2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11488.07</v>
      </c>
      <c r="X50" s="8">
        <f>IFERROR(W50/W444, "NA")</f>
        <v>-0.25899230783104321</v>
      </c>
      <c r="Y50" s="9"/>
      <c r="Z50" s="7">
        <v>20883.29</v>
      </c>
      <c r="AA50" s="8">
        <f>IFERROR(Z50/Z444, "NA")</f>
        <v>3.6755184775444039E-2</v>
      </c>
      <c r="AB50" s="9"/>
      <c r="AC50" s="10">
        <f t="shared" si="15"/>
        <v>-9395.2200000000012</v>
      </c>
      <c r="AD50" s="8">
        <f>IFERROR(AC50/AC444, "NA")</f>
        <v>-0.38721985948307852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399</v>
      </c>
      <c r="L54" s="8">
        <f>IFERROR(K54/K444, "NA")</f>
        <v>5.5459894573381355E-3</v>
      </c>
      <c r="M54" s="9"/>
      <c r="N54" s="10">
        <f t="shared" si="13"/>
        <v>-399</v>
      </c>
      <c r="O54" s="8">
        <f>IFERROR(N54/N444, "NA")</f>
        <v>-5.2145411203814114E-2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1377.7</v>
      </c>
      <c r="AA54" s="8">
        <f>IFERROR(Z54/Z444, "NA")</f>
        <v>2.4247912117836439E-3</v>
      </c>
      <c r="AB54" s="9"/>
      <c r="AC54" s="10">
        <f t="shared" si="15"/>
        <v>-1377.7</v>
      </c>
      <c r="AD54" s="8">
        <f>IFERROR(AC54/AC444, "NA")</f>
        <v>-5.6781299470351647E-2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1047.45</v>
      </c>
      <c r="L55" s="8">
        <f>IFERROR(K55/K444, "NA")</f>
        <v>1.4559264804733912E-2</v>
      </c>
      <c r="M55" s="9"/>
      <c r="N55" s="10">
        <f t="shared" si="13"/>
        <v>-1047.45</v>
      </c>
      <c r="O55" s="8">
        <f>IFERROR(N55/N444, "NA")</f>
        <v>-0.13689150617903531</v>
      </c>
      <c r="P55" s="9"/>
      <c r="Q55" s="7">
        <v>334.29</v>
      </c>
      <c r="R55" s="8">
        <f>IFERROR(Q55/Q444, "NA")</f>
        <v>5.6426357686966647E-4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-7.5363867546802419E-3</v>
      </c>
      <c r="Y55" s="9"/>
      <c r="Z55" s="7">
        <v>2934</v>
      </c>
      <c r="AA55" s="8">
        <f>IFERROR(Z55/Z444, "NA")</f>
        <v>5.163923506839814E-3</v>
      </c>
      <c r="AB55" s="9"/>
      <c r="AC55" s="10">
        <f t="shared" si="15"/>
        <v>-2599.71</v>
      </c>
      <c r="AD55" s="8">
        <f>IFERROR(AC55/AC444, "NA")</f>
        <v>-0.10714590407640842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163.22999999999999</v>
      </c>
      <c r="L56" s="8">
        <f>IFERROR(K56/K444, "NA")</f>
        <v>2.2688517772463754E-3</v>
      </c>
      <c r="M56" s="9"/>
      <c r="N56" s="10">
        <f t="shared" si="13"/>
        <v>-163.22999999999999</v>
      </c>
      <c r="O56" s="8">
        <f>IFERROR(N56/N444, "NA")</f>
        <v>-2.1332570102252073E-2</v>
      </c>
      <c r="P56" s="9"/>
      <c r="Q56" s="7">
        <v>54.95</v>
      </c>
      <c r="R56" s="8">
        <f>IFERROR(Q56/Q444, "NA")</f>
        <v>9.2752650539914956E-5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-1.238817948995421E-3</v>
      </c>
      <c r="Y56" s="9"/>
      <c r="Z56" s="7">
        <v>1022.05</v>
      </c>
      <c r="AA56" s="8">
        <f>IFERROR(Z56/Z444, "NA")</f>
        <v>1.7988370893543392E-3</v>
      </c>
      <c r="AB56" s="9"/>
      <c r="AC56" s="10">
        <f t="shared" si="15"/>
        <v>-967.09999999999991</v>
      </c>
      <c r="AD56" s="8">
        <f>IFERROR(AC56/AC444, "NA")</f>
        <v>-3.9858601087157636E-2</v>
      </c>
    </row>
    <row r="57" spans="1:30" ht="16.5" customHeight="1" x14ac:dyDescent="0.45">
      <c r="A57" s="17" t="s">
        <v>55</v>
      </c>
      <c r="B57" s="7">
        <v>997.94</v>
      </c>
      <c r="C57" s="8">
        <f>IFERROR(B57/B444, "NA")</f>
        <v>1.2537634008731141E-2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997.94</v>
      </c>
      <c r="I57" s="8">
        <f>IFERROR(H57/H444, "NA")</f>
        <v>-0.48425823482598435</v>
      </c>
      <c r="J57" s="9"/>
      <c r="K57" s="7">
        <v>0</v>
      </c>
      <c r="L57" s="8">
        <f>IFERROR(K57/K444, "NA")</f>
        <v>0</v>
      </c>
      <c r="M57" s="9"/>
      <c r="N57" s="10">
        <f t="shared" si="13"/>
        <v>997.94</v>
      </c>
      <c r="O57" s="8">
        <f>IFERROR(N57/N444, "NA")</f>
        <v>0.1304210317211385</v>
      </c>
      <c r="P57" s="9"/>
      <c r="Q57" s="7">
        <v>5508.26</v>
      </c>
      <c r="R57" s="8">
        <f>IFERROR(Q57/Q444, "NA")</f>
        <v>9.2976472222564503E-3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5508.26</v>
      </c>
      <c r="X57" s="8">
        <f>IFERROR(W57/W444, "NA")</f>
        <v>-0.12418073440825328</v>
      </c>
      <c r="Y57" s="9"/>
      <c r="Z57" s="7">
        <v>14356.41</v>
      </c>
      <c r="AA57" s="8">
        <f>IFERROR(Z57/Z444, "NA")</f>
        <v>2.5267690208871905E-2</v>
      </c>
      <c r="AB57" s="9"/>
      <c r="AC57" s="10">
        <f t="shared" si="15"/>
        <v>-8848.15</v>
      </c>
      <c r="AD57" s="8">
        <f>IFERROR(AC57/AC444, "NA")</f>
        <v>-0.36467261008099866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6578.15</v>
      </c>
      <c r="C61" s="15">
        <f>IFERROR(B61/B444, "NA")</f>
        <v>8.2644685206059235E-2</v>
      </c>
      <c r="D61" s="2"/>
      <c r="E61" s="14">
        <f>IFERROR(E46+E47+E48+E49+E50+E51+E52+E53+E54+E55+E56+E57+E58+E59+E60, "NA")</f>
        <v>12003.48</v>
      </c>
      <c r="F61" s="15">
        <f>IFERROR(E61/E444, "NA")</f>
        <v>0.1470000117565915</v>
      </c>
      <c r="G61" s="2"/>
      <c r="H61" s="14">
        <f t="shared" si="12"/>
        <v>-5425.33</v>
      </c>
      <c r="I61" s="15">
        <f>IFERROR(H61/H444, "NA")</f>
        <v>2.6326840583085733</v>
      </c>
      <c r="J61" s="2"/>
      <c r="K61" s="14">
        <f>IFERROR(K46+K47+K48+K49+K50+K51+K52+K53+K54+K55+K56+K57+K58+K59+K60, "NA")</f>
        <v>9467.98</v>
      </c>
      <c r="L61" s="15">
        <f>IFERROR(K61/K444, "NA")</f>
        <v>0.13160229890297825</v>
      </c>
      <c r="M61" s="2"/>
      <c r="N61" s="14">
        <f t="shared" si="13"/>
        <v>-2889.83</v>
      </c>
      <c r="O61" s="15">
        <f>IFERROR(N61/N444, "NA")</f>
        <v>-0.37767261568701288</v>
      </c>
      <c r="P61" s="2"/>
      <c r="Q61" s="14">
        <f>IFERROR(Q46+Q47+Q48+Q49+Q50+Q51+Q52+Q53+Q54+Q55+Q56+Q57+Q58+Q59+Q60, "NA")</f>
        <v>61108.45</v>
      </c>
      <c r="R61" s="15">
        <f>IFERROR(Q61/Q444, "NA")</f>
        <v>0.10314778358300028</v>
      </c>
      <c r="S61" s="2"/>
      <c r="T61" s="14">
        <f>IFERROR(T46+T47+T48+T49+T50+T51+T52+T53+T54+T55+T56+T57+T58+T59+T60, "NA")</f>
        <v>93608.53</v>
      </c>
      <c r="U61" s="15">
        <f>IFERROR(T61/T444, "NA")</f>
        <v>0.14700000486814627</v>
      </c>
      <c r="V61" s="2"/>
      <c r="W61" s="14">
        <f t="shared" si="14"/>
        <v>-32500.080000000002</v>
      </c>
      <c r="X61" s="15">
        <f>IFERROR(W61/W444, "NA")</f>
        <v>0.73269667784871884</v>
      </c>
      <c r="Y61" s="2"/>
      <c r="Z61" s="14">
        <f>IFERROR(Z46+Z47+Z48+Z49+Z50+Z51+Z52+Z53+Z54+Z55+Z56+Z57+Z58+Z59+Z60, "NA")</f>
        <v>94440.94</v>
      </c>
      <c r="AA61" s="15">
        <f>IFERROR(Z61/Z444, "NA")</f>
        <v>0.16621874235652639</v>
      </c>
      <c r="AB61" s="2"/>
      <c r="AC61" s="14">
        <f t="shared" si="15"/>
        <v>-33332.490000000005</v>
      </c>
      <c r="AD61" s="15">
        <f>IFERROR(AC61/AC444, "NA")</f>
        <v>-1.3737839128856077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9282.2300000000014</v>
      </c>
      <c r="C62" s="15">
        <f>IFERROR(B62/B444, "NA")</f>
        <v>0.11661743443981049</v>
      </c>
      <c r="D62" s="2"/>
      <c r="E62" s="14">
        <f>IFERROR(E42+E43+E44+E46+E47+E48+E49+E50+E51+E52+E53+E54+E55+E56+E57+E58+E59+E60, "NA")</f>
        <v>12003.48</v>
      </c>
      <c r="F62" s="15">
        <f>IFERROR(E62/E444, "NA")</f>
        <v>0.1470000117565915</v>
      </c>
      <c r="G62" s="2"/>
      <c r="H62" s="14">
        <f t="shared" si="12"/>
        <v>-2721.2499999999982</v>
      </c>
      <c r="I62" s="15">
        <f>IFERROR(H62/H444, "NA")</f>
        <v>1.3205079679341534</v>
      </c>
      <c r="J62" s="2"/>
      <c r="K62" s="14">
        <f>IFERROR(K42+K43+K44+K46+K47+K48+K49+K50+K51+K52+K53+K54+K55+K56+K57+K58+K59+K60, "NA")</f>
        <v>9467.98</v>
      </c>
      <c r="L62" s="15">
        <f>IFERROR(K62/K444, "NA")</f>
        <v>0.13160229890297825</v>
      </c>
      <c r="M62" s="2"/>
      <c r="N62" s="14">
        <f t="shared" si="13"/>
        <v>-185.74999999999818</v>
      </c>
      <c r="O62" s="15">
        <f>IFERROR(N62/N444, "NA")</f>
        <v>-2.4275714614306707E-2</v>
      </c>
      <c r="P62" s="2"/>
      <c r="Q62" s="14">
        <f>IFERROR(Q42+Q43+Q44+Q46+Q47+Q48+Q49+Q50+Q51+Q52+Q53+Q54+Q55+Q56+Q57+Q58+Q59+Q60, "NA")</f>
        <v>99794.369999999981</v>
      </c>
      <c r="R62" s="15">
        <f>IFERROR(Q62/Q444, "NA")</f>
        <v>0.16844754006298399</v>
      </c>
      <c r="S62" s="2"/>
      <c r="T62" s="14">
        <f>IFERROR(T42+T43+T44+T46+T47+T48+T49+T50+T51+T52+T53+T54+T55+T56+T57+T58+T59+T60, "NA")</f>
        <v>93608.53</v>
      </c>
      <c r="U62" s="15">
        <f>IFERROR(T62/T444, "NA")</f>
        <v>0.14700000486814627</v>
      </c>
      <c r="V62" s="2"/>
      <c r="W62" s="14">
        <f t="shared" si="14"/>
        <v>6185.839999999982</v>
      </c>
      <c r="X62" s="15">
        <f>IFERROR(W62/W444, "NA")</f>
        <v>-0.13945640803664808</v>
      </c>
      <c r="Y62" s="2"/>
      <c r="Z62" s="14">
        <f>IFERROR(Z42+Z43+Z44+Z46+Z47+Z48+Z49+Z50+Z51+Z52+Z53+Z54+Z55+Z56+Z57+Z58+Z59+Z60, "NA")</f>
        <v>94440.94</v>
      </c>
      <c r="AA62" s="15">
        <f>IFERROR(Z62/Z444, "NA")</f>
        <v>0.16621874235652639</v>
      </c>
      <c r="AB62" s="2"/>
      <c r="AC62" s="14">
        <f t="shared" si="15"/>
        <v>5353.4299999999785</v>
      </c>
      <c r="AD62" s="15">
        <f>IFERROR(AC62/AC444, "NA")</f>
        <v>0.22063926255611771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7100.81</v>
      </c>
      <c r="C65" s="8">
        <f>IFERROR(B65/B444, "NA")</f>
        <v>8.9211131877205224E-2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7100.81</v>
      </c>
      <c r="I65" s="8">
        <f>IFERROR(H65/H444, "NA")</f>
        <v>-3.4457239076845281</v>
      </c>
      <c r="J65" s="9"/>
      <c r="K65" s="7">
        <v>0</v>
      </c>
      <c r="L65" s="8">
        <f>IFERROR(K65/K444, "NA")</f>
        <v>0</v>
      </c>
      <c r="M65" s="9"/>
      <c r="N65" s="10">
        <f t="shared" si="17"/>
        <v>7100.81</v>
      </c>
      <c r="O65" s="8">
        <f>IFERROR(N65/N444, "NA")</f>
        <v>0.92800665997532661</v>
      </c>
      <c r="P65" s="9"/>
      <c r="Q65" s="7">
        <v>22940.44</v>
      </c>
      <c r="R65" s="8">
        <f>IFERROR(Q65/Q444, "NA")</f>
        <v>3.872223138401977E-2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22940.44</v>
      </c>
      <c r="X65" s="8">
        <f>IFERROR(W65/W444, "NA")</f>
        <v>-0.51717977852324859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22940.44</v>
      </c>
      <c r="AD65" s="8">
        <f>IFERROR(AC65/AC444, "NA")</f>
        <v>0.94548014344315423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6889.38</v>
      </c>
      <c r="R66" s="8">
        <f>IFERROR(Q66/Q444, "NA")</f>
        <v>1.1628903650167048E-2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-0.15531733578617057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6889.38</v>
      </c>
      <c r="AD66" s="8">
        <f>IFERROR(AC66/AC444, "NA")</f>
        <v>0.28394276616465935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2424.9</v>
      </c>
      <c r="C68" s="8">
        <f>IFERROR(B68/B444, "NA")</f>
        <v>3.0465267158117867E-2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2424.9</v>
      </c>
      <c r="I68" s="8">
        <f>IFERROR(H68/H444, "NA")</f>
        <v>-1.1767017993361619</v>
      </c>
      <c r="J68" s="9"/>
      <c r="K68" s="7">
        <v>0</v>
      </c>
      <c r="L68" s="8">
        <f>IFERROR(K68/K444, "NA")</f>
        <v>0</v>
      </c>
      <c r="M68" s="9"/>
      <c r="N68" s="10">
        <f t="shared" si="17"/>
        <v>2424.9</v>
      </c>
      <c r="O68" s="8">
        <f>IFERROR(N68/N444, "NA")</f>
        <v>0.31691079606047329</v>
      </c>
      <c r="P68" s="9"/>
      <c r="Q68" s="7">
        <v>6780.3</v>
      </c>
      <c r="R68" s="8">
        <f>IFERROR(Q68/Q444, "NA")</f>
        <v>1.1444782465073437E-2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6780.3</v>
      </c>
      <c r="X68" s="8">
        <f>IFERROR(W68/W444, "NA")</f>
        <v>-0.15285818634346957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6780.3</v>
      </c>
      <c r="AD68" s="8">
        <f>IFERROR(AC68/AC444, "NA")</f>
        <v>0.27944708194732182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9525.7100000000009</v>
      </c>
      <c r="C73" s="15">
        <f>IFERROR(B73/B444, "NA")</f>
        <v>0.11967639903532309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9525.7100000000009</v>
      </c>
      <c r="I73" s="15">
        <f>IFERROR(H73/H444, "NA")</f>
        <v>-4.6224257070206907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9525.7100000000009</v>
      </c>
      <c r="O73" s="15">
        <f>IFERROR(N73/N444, "NA")</f>
        <v>1.2449174560357998</v>
      </c>
      <c r="P73" s="2"/>
      <c r="Q73" s="14">
        <f>IFERROR(Q64+Q65+Q66+Q67+Q68+Q69+Q70+Q71+Q72, "NA")</f>
        <v>36610.120000000003</v>
      </c>
      <c r="R73" s="15">
        <f>IFERROR(Q73/Q444, "NA")</f>
        <v>6.1795917499260257E-2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36610.120000000003</v>
      </c>
      <c r="X73" s="15">
        <f>IFERROR(W73/W444, "NA")</f>
        <v>-0.82535530065288887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36610.120000000003</v>
      </c>
      <c r="AD73" s="15">
        <f>IFERROR(AC73/AC444, "NA")</f>
        <v>1.5088699915551356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653.25</v>
      </c>
      <c r="F75" s="8">
        <f>IFERROR(E75/E444, "NA")</f>
        <v>7.999993141988274E-3</v>
      </c>
      <c r="G75" s="9"/>
      <c r="H75" s="10">
        <f t="shared" ref="H75:H92" si="20">IFERROR(B75-E75, "NA")</f>
        <v>-653.25</v>
      </c>
      <c r="I75" s="8">
        <f>IFERROR(H75/H444, "NA")</f>
        <v>0.31699470098410154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5094.3500000000004</v>
      </c>
      <c r="U75" s="8">
        <f>IFERROR(T75/T444, "NA")</f>
        <v>8.0000131911059924E-3</v>
      </c>
      <c r="V75" s="9"/>
      <c r="W75" s="10">
        <f t="shared" ref="W75:W92" si="22">IFERROR(Q75-T75, "NA")</f>
        <v>-5094.3500000000004</v>
      </c>
      <c r="X75" s="8">
        <f>IFERROR(W75/W444, "NA")</f>
        <v>0.11484935793384574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205.74</v>
      </c>
      <c r="C77" s="8">
        <f>IFERROR(B77/B444, "NA")</f>
        <v>2.5848175450992493E-3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205.74</v>
      </c>
      <c r="I77" s="8">
        <f>IFERROR(H77/H444, "NA")</f>
        <v>-9.9836953357013467E-2</v>
      </c>
      <c r="J77" s="9"/>
      <c r="K77" s="7">
        <v>53.82</v>
      </c>
      <c r="L77" s="8">
        <f>IFERROR(K77/K444, "NA")</f>
        <v>7.4808308920786589E-4</v>
      </c>
      <c r="M77" s="9"/>
      <c r="N77" s="10">
        <f t="shared" si="21"/>
        <v>151.92000000000002</v>
      </c>
      <c r="O77" s="8">
        <f>IFERROR(N77/N444, "NA")</f>
        <v>1.9854463333542457E-2</v>
      </c>
      <c r="P77" s="9"/>
      <c r="Q77" s="7">
        <v>1474.48</v>
      </c>
      <c r="R77" s="8">
        <f>IFERROR(Q77/Q444, "NA")</f>
        <v>2.4888430967805967E-3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1474.48</v>
      </c>
      <c r="X77" s="8">
        <f>IFERROR(W77/W444, "NA")</f>
        <v>-3.3241351946037639E-2</v>
      </c>
      <c r="Y77" s="9"/>
      <c r="Z77" s="7">
        <v>484.38</v>
      </c>
      <c r="AA77" s="8">
        <f>IFERROR(Z77/Z444, "NA")</f>
        <v>8.5252258631324782E-4</v>
      </c>
      <c r="AB77" s="9"/>
      <c r="AC77" s="10">
        <f t="shared" si="23"/>
        <v>990.1</v>
      </c>
      <c r="AD77" s="8">
        <f>IFERROR(AC77/AC444, "NA")</f>
        <v>4.0806535969801237E-2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6.2817574246603702E-4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-2.4262893301500308E-2</v>
      </c>
      <c r="J78" s="9"/>
      <c r="K78" s="7">
        <v>25</v>
      </c>
      <c r="L78" s="8">
        <f>IFERROR(K78/K444, "NA")</f>
        <v>3.4749307376805361E-4</v>
      </c>
      <c r="M78" s="9"/>
      <c r="N78" s="10">
        <f t="shared" si="21"/>
        <v>25</v>
      </c>
      <c r="O78" s="8">
        <f>IFERROR(N78/N444, "NA")</f>
        <v>3.2672563410911099E-3</v>
      </c>
      <c r="P78" s="9"/>
      <c r="Q78" s="7">
        <v>375</v>
      </c>
      <c r="R78" s="8">
        <f>IFERROR(Q78/Q444, "NA")</f>
        <v>6.3297987174646233E-4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375</v>
      </c>
      <c r="X78" s="8">
        <f>IFERROR(W78/W444, "NA")</f>
        <v>-8.4541716264473678E-3</v>
      </c>
      <c r="Y78" s="9"/>
      <c r="Z78" s="7">
        <v>275</v>
      </c>
      <c r="AA78" s="8">
        <f>IFERROR(Z78/Z444, "NA")</f>
        <v>4.8400782698737176E-4</v>
      </c>
      <c r="AB78" s="9"/>
      <c r="AC78" s="10">
        <f t="shared" si="23"/>
        <v>100</v>
      </c>
      <c r="AD78" s="8">
        <f>IFERROR(AC78/AC444, "NA")</f>
        <v>4.1214560114939134E-3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50.83</v>
      </c>
      <c r="AA79" s="8">
        <f>IFERROR(Z79/Z444, "NA")</f>
        <v>8.9462246711884027E-5</v>
      </c>
      <c r="AB79" s="9"/>
      <c r="AC79" s="10">
        <f t="shared" si="23"/>
        <v>-50.83</v>
      </c>
      <c r="AD79" s="8">
        <f>IFERROR(AC79/AC444, "NA")</f>
        <v>-2.094936090642356E-3</v>
      </c>
    </row>
    <row r="80" spans="1:30" ht="16.5" customHeight="1" x14ac:dyDescent="0.45">
      <c r="A80" s="12" t="s">
        <v>76</v>
      </c>
      <c r="B80" s="7">
        <v>166.14</v>
      </c>
      <c r="C80" s="8">
        <f>IFERROR(B80/B444, "NA")</f>
        <v>2.087302357066148E-3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166.14</v>
      </c>
      <c r="I80" s="8">
        <f>IFERROR(H80/H444, "NA")</f>
        <v>-8.0620741862225218E-2</v>
      </c>
      <c r="J80" s="9"/>
      <c r="K80" s="7">
        <v>468.52</v>
      </c>
      <c r="L80" s="8">
        <f>IFERROR(K80/K444, "NA")</f>
        <v>6.5122981968723393E-3</v>
      </c>
      <c r="M80" s="9"/>
      <c r="N80" s="10">
        <f t="shared" si="21"/>
        <v>-302.38</v>
      </c>
      <c r="O80" s="8">
        <f>IFERROR(N80/N444, "NA")</f>
        <v>-3.9518118896765188E-2</v>
      </c>
      <c r="P80" s="9"/>
      <c r="Q80" s="7">
        <v>3515.25</v>
      </c>
      <c r="R80" s="8">
        <f>IFERROR(Q80/Q444, "NA")</f>
        <v>5.9335533177513377E-3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3515.25</v>
      </c>
      <c r="X80" s="8">
        <f>IFERROR(W80/W444, "NA")</f>
        <v>-7.9249404826317621E-2</v>
      </c>
      <c r="Y80" s="9"/>
      <c r="Z80" s="7">
        <v>4074.16</v>
      </c>
      <c r="AA80" s="8">
        <f>IFERROR(Z80/Z444, "NA")</f>
        <v>7.170637557814075E-3</v>
      </c>
      <c r="AB80" s="9"/>
      <c r="AC80" s="10">
        <f t="shared" si="23"/>
        <v>-558.90999999999985</v>
      </c>
      <c r="AD80" s="8">
        <f>IFERROR(AC80/AC444, "NA")</f>
        <v>-2.3035229793840626E-2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4.2198658116430823E-5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-5.6361144176315784E-4</v>
      </c>
      <c r="Y82" s="9"/>
      <c r="Z82" s="7">
        <v>75</v>
      </c>
      <c r="AA82" s="8">
        <f>IFERROR(Z82/Z444, "NA")</f>
        <v>1.3200213463291957E-4</v>
      </c>
      <c r="AB82" s="9"/>
      <c r="AC82" s="10">
        <f t="shared" si="23"/>
        <v>-50</v>
      </c>
      <c r="AD82" s="8">
        <f>IFERROR(AC82/AC444, "NA")</f>
        <v>-2.0607280057469567E-3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115.98</v>
      </c>
      <c r="AA85" s="8">
        <f>IFERROR(Z85/Z444, "NA")</f>
        <v>2.0412810099634685E-4</v>
      </c>
      <c r="AB85" s="9"/>
      <c r="AC85" s="10">
        <f t="shared" si="23"/>
        <v>-115.98</v>
      </c>
      <c r="AD85" s="8">
        <f>IFERROR(AC85/AC444, "NA")</f>
        <v>-4.7800646821306407E-3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3.1408787123301851E-4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-1.2131446650750154E-2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3.2672563410911099E-3</v>
      </c>
      <c r="P86" s="9"/>
      <c r="Q86" s="7">
        <v>100</v>
      </c>
      <c r="R86" s="8">
        <f>IFERROR(Q86/Q444, "NA")</f>
        <v>1.6879463246572329E-4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100</v>
      </c>
      <c r="X86" s="8">
        <f>IFERROR(W86/W444, "NA")</f>
        <v>-2.2544457670526314E-3</v>
      </c>
      <c r="Y86" s="9"/>
      <c r="Z86" s="7">
        <v>820</v>
      </c>
      <c r="AA86" s="8">
        <f>IFERROR(Z86/Z444, "NA")</f>
        <v>1.4432233386532541E-3</v>
      </c>
      <c r="AB86" s="9"/>
      <c r="AC86" s="10">
        <f t="shared" si="23"/>
        <v>-720</v>
      </c>
      <c r="AD86" s="8">
        <f>IFERROR(AC86/AC444, "NA")</f>
        <v>-2.9674483282756178E-2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446.88</v>
      </c>
      <c r="C88" s="15">
        <f>IFERROR(B88/B444, "NA")</f>
        <v>5.6143835158644524E-3</v>
      </c>
      <c r="D88" s="2"/>
      <c r="E88" s="14">
        <f>IFERROR(E75+E76+E77+E78+E79+E80+E81+E82+E83+E84+E85+E86+E87, "NA")</f>
        <v>653.25</v>
      </c>
      <c r="F88" s="15">
        <f>IFERROR(E88/E444, "NA")</f>
        <v>7.999993141988274E-3</v>
      </c>
      <c r="G88" s="2"/>
      <c r="H88" s="14">
        <f t="shared" si="20"/>
        <v>-206.37</v>
      </c>
      <c r="I88" s="15">
        <f>IFERROR(H88/H444, "NA")</f>
        <v>0.10014266581261237</v>
      </c>
      <c r="J88" s="2"/>
      <c r="K88" s="14">
        <f>IFERROR(K75+K76+K77+K78+K79+K80+K81+K82+K83+K84+K85+K86+K87, "NA")</f>
        <v>547.33999999999992</v>
      </c>
      <c r="L88" s="15">
        <f>IFERROR(K88/K444, "NA")</f>
        <v>7.6078743598482577E-3</v>
      </c>
      <c r="M88" s="2"/>
      <c r="N88" s="14">
        <f t="shared" si="21"/>
        <v>-100.45999999999992</v>
      </c>
      <c r="O88" s="15">
        <f>IFERROR(N88/N444, "NA")</f>
        <v>-1.3129142881040506E-2</v>
      </c>
      <c r="P88" s="2"/>
      <c r="Q88" s="14">
        <f>IFERROR(Q75+Q76+Q77+Q78+Q79+Q80+Q81+Q82+Q83+Q84+Q85+Q86+Q87, "NA")</f>
        <v>5489.73</v>
      </c>
      <c r="R88" s="15">
        <f>IFERROR(Q88/Q444, "NA")</f>
        <v>9.2663695768605506E-3</v>
      </c>
      <c r="S88" s="2"/>
      <c r="T88" s="14">
        <f>IFERROR(T75+T76+T77+T78+T79+T80+T81+T82+T83+T84+T85+T86+T87, "NA")</f>
        <v>5094.3500000000004</v>
      </c>
      <c r="U88" s="15">
        <f>IFERROR(T88/T444, "NA")</f>
        <v>8.0000131911059924E-3</v>
      </c>
      <c r="V88" s="2"/>
      <c r="W88" s="14">
        <f t="shared" si="22"/>
        <v>395.3799999999992</v>
      </c>
      <c r="X88" s="15">
        <f>IFERROR(W88/W444, "NA")</f>
        <v>-8.9136276737726752E-3</v>
      </c>
      <c r="Y88" s="2"/>
      <c r="Z88" s="14">
        <f>IFERROR(Z75+Z76+Z77+Z78+Z79+Z80+Z81+Z82+Z83+Z84+Z85+Z86+Z87, "NA")</f>
        <v>5895.3499999999995</v>
      </c>
      <c r="AA88" s="15">
        <f>IFERROR(Z88/Z444, "NA")</f>
        <v>1.0375983792109097E-2</v>
      </c>
      <c r="AB88" s="2"/>
      <c r="AC88" s="14">
        <f t="shared" si="23"/>
        <v>-405.61999999999989</v>
      </c>
      <c r="AD88" s="15">
        <f>IFERROR(AC88/AC444, "NA")</f>
        <v>-1.6717449873821608E-2</v>
      </c>
    </row>
    <row r="89" spans="1:30" ht="16.5" customHeight="1" x14ac:dyDescent="0.45">
      <c r="A89" s="6" t="s">
        <v>85</v>
      </c>
      <c r="B89" s="7">
        <v>-99.8</v>
      </c>
      <c r="C89" s="8">
        <f>IFERROR(B89/B444, "NA")</f>
        <v>-1.25383878196221E-3</v>
      </c>
      <c r="D89" s="9"/>
      <c r="E89" s="7">
        <v>0</v>
      </c>
      <c r="F89" s="8">
        <f>IFERROR(E89/E444, "NA")</f>
        <v>0</v>
      </c>
      <c r="G89" s="9"/>
      <c r="H89" s="10">
        <f t="shared" si="20"/>
        <v>-99.8</v>
      </c>
      <c r="I89" s="8">
        <f>IFERROR(H89/H444, "NA")</f>
        <v>4.8428735029794612E-2</v>
      </c>
      <c r="J89" s="9"/>
      <c r="K89" s="7">
        <v>410.67</v>
      </c>
      <c r="L89" s="8">
        <f>IFERROR(K89/K444, "NA")</f>
        <v>5.7081992241730635E-3</v>
      </c>
      <c r="M89" s="9"/>
      <c r="N89" s="10">
        <f t="shared" si="21"/>
        <v>-510.47</v>
      </c>
      <c r="O89" s="8">
        <f>IFERROR(N89/N444, "NA")</f>
        <v>-6.6713453777471149E-2</v>
      </c>
      <c r="P89" s="9"/>
      <c r="Q89" s="7">
        <v>-668.01</v>
      </c>
      <c r="R89" s="8">
        <f>IFERROR(Q89/Q444, "NA")</f>
        <v>-1.1275650243342782E-3</v>
      </c>
      <c r="S89" s="9"/>
      <c r="T89" s="7">
        <v>0</v>
      </c>
      <c r="U89" s="8">
        <f>IFERROR(T89/T444, "NA")</f>
        <v>0</v>
      </c>
      <c r="V89" s="9"/>
      <c r="W89" s="10">
        <f t="shared" si="22"/>
        <v>-668.01</v>
      </c>
      <c r="X89" s="8">
        <f>IFERROR(W89/W444, "NA")</f>
        <v>1.5059923168488282E-2</v>
      </c>
      <c r="Y89" s="9"/>
      <c r="Z89" s="7">
        <v>-1829.79</v>
      </c>
      <c r="AA89" s="8">
        <f>IFERROR(Z89/Z444, "NA")</f>
        <v>-3.2204824790662656E-3</v>
      </c>
      <c r="AB89" s="9"/>
      <c r="AC89" s="10">
        <f t="shared" si="23"/>
        <v>1161.78</v>
      </c>
      <c r="AD89" s="8">
        <f>IFERROR(AC89/AC444, "NA")</f>
        <v>4.7882251650333989E-2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-3266.25</v>
      </c>
      <c r="F94" s="8">
        <f>IFERROR(E94/E444, "NA")</f>
        <v>-3.9999965709941368E-2</v>
      </c>
      <c r="G94" s="9"/>
      <c r="H94" s="10">
        <f t="shared" ref="H94:H124" si="24">IFERROR(B94-E94, "NA")</f>
        <v>3266.25</v>
      </c>
      <c r="I94" s="8">
        <f>IFERROR(H94/H444, "NA")</f>
        <v>-1.5849735049205076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-25471.71</v>
      </c>
      <c r="U94" s="8">
        <f>IFERROR(T94/T444, "NA")</f>
        <v>-4.0000003140739523E-2</v>
      </c>
      <c r="V94" s="9"/>
      <c r="W94" s="10">
        <f t="shared" ref="W94:W124" si="26">IFERROR(Q94-T94, "NA")</f>
        <v>25471.71</v>
      </c>
      <c r="X94" s="8">
        <f>IFERROR(W94/W444, "NA")</f>
        <v>-0.57424588789092179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-945.67</v>
      </c>
      <c r="C96" s="8">
        <f>IFERROR(B96/B444, "NA")</f>
        <v>-1.1880939087557146E-2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-945.67</v>
      </c>
      <c r="I96" s="8">
        <f>IFERROR(H96/H444, "NA")</f>
        <v>0.45889380616859587</v>
      </c>
      <c r="J96" s="9"/>
      <c r="K96" s="7">
        <v>-1046.26</v>
      </c>
      <c r="L96" s="8">
        <f>IFERROR(K96/K444, "NA")</f>
        <v>-1.4542724134422551E-2</v>
      </c>
      <c r="M96" s="9"/>
      <c r="N96" s="10">
        <f t="shared" si="25"/>
        <v>100.59000000000003</v>
      </c>
      <c r="O96" s="8">
        <f>IFERROR(N96/N444, "NA")</f>
        <v>1.3146132614014193E-2</v>
      </c>
      <c r="P96" s="9"/>
      <c r="Q96" s="7">
        <v>-8110.96</v>
      </c>
      <c r="R96" s="8">
        <f>IFERROR(Q96/Q444, "NA")</f>
        <v>-1.3690865121441831E-2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-8110.96</v>
      </c>
      <c r="X96" s="8">
        <f>IFERROR(W96/W444, "NA")</f>
        <v>0.18285719438733211</v>
      </c>
      <c r="Y96" s="9"/>
      <c r="Z96" s="7">
        <v>-7319.04</v>
      </c>
      <c r="AA96" s="8">
        <f>IFERROR(Z96/Z444, "NA")</f>
        <v>-1.2881718712849649E-2</v>
      </c>
      <c r="AB96" s="9"/>
      <c r="AC96" s="10">
        <f t="shared" si="27"/>
        <v>-791.92000000000007</v>
      </c>
      <c r="AD96" s="8">
        <f>IFERROR(AC96/AC444, "NA")</f>
        <v>-3.26386344462226E-2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-2501.36</v>
      </c>
      <c r="C98" s="8">
        <f>IFERROR(B98/B444, "NA")</f>
        <v>-3.1425873503496932E-2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-2501.36</v>
      </c>
      <c r="I98" s="8">
        <f>IFERROR(H98/H444, "NA")</f>
        <v>1.2138046157728162</v>
      </c>
      <c r="J98" s="9"/>
      <c r="K98" s="7">
        <v>-1960.41</v>
      </c>
      <c r="L98" s="8">
        <f>IFERROR(K98/K444, "NA")</f>
        <v>-2.7249155869825202E-2</v>
      </c>
      <c r="M98" s="9"/>
      <c r="N98" s="10">
        <f t="shared" si="25"/>
        <v>-540.95000000000005</v>
      </c>
      <c r="O98" s="8">
        <f>IFERROR(N98/N444, "NA")</f>
        <v>-7.0696892708529441E-2</v>
      </c>
      <c r="P98" s="9"/>
      <c r="Q98" s="7">
        <v>-13852.47</v>
      </c>
      <c r="R98" s="8">
        <f>IFERROR(Q98/Q444, "NA")</f>
        <v>-2.3382225823924577E-2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-13852.47</v>
      </c>
      <c r="X98" s="8">
        <f>IFERROR(W98/W444, "NA")</f>
        <v>0.31229642354723564</v>
      </c>
      <c r="Y98" s="9"/>
      <c r="Z98" s="7">
        <v>-12544.98</v>
      </c>
      <c r="AA98" s="8">
        <f>IFERROR(Z98/Z444, "NA")</f>
        <v>-2.2079521852363778E-2</v>
      </c>
      <c r="AB98" s="9"/>
      <c r="AC98" s="10">
        <f t="shared" si="27"/>
        <v>-1307.4899999999998</v>
      </c>
      <c r="AD98" s="8">
        <f>IFERROR(AC98/AC444, "NA")</f>
        <v>-5.3887625204681759E-2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-294.83</v>
      </c>
      <c r="C100" s="8">
        <f>IFERROR(B100/B444, "NA")</f>
        <v>-3.7041010830252338E-3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-294.83</v>
      </c>
      <c r="I100" s="8">
        <f>IFERROR(H100/H444, "NA")</f>
        <v>0.1430685766416267</v>
      </c>
      <c r="J100" s="9"/>
      <c r="K100" s="7">
        <v>-5</v>
      </c>
      <c r="L100" s="8">
        <f>IFERROR(K100/K444, "NA")</f>
        <v>-6.9498614753610733E-5</v>
      </c>
      <c r="M100" s="9"/>
      <c r="N100" s="10">
        <f t="shared" si="25"/>
        <v>-289.83</v>
      </c>
      <c r="O100" s="8">
        <f>IFERROR(N100/N444, "NA")</f>
        <v>-3.7877956213537449E-2</v>
      </c>
      <c r="P100" s="9"/>
      <c r="Q100" s="7">
        <v>-2095.04</v>
      </c>
      <c r="R100" s="8">
        <f>IFERROR(Q100/Q444, "NA")</f>
        <v>-3.5363150680098893E-3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-2095.04</v>
      </c>
      <c r="X100" s="8">
        <f>IFERROR(W100/W444, "NA")</f>
        <v>4.7231540598059445E-2</v>
      </c>
      <c r="Y100" s="9"/>
      <c r="Z100" s="7">
        <v>-171.52</v>
      </c>
      <c r="AA100" s="8">
        <f>IFERROR(Z100/Z444, "NA")</f>
        <v>-3.0188008176317824E-4</v>
      </c>
      <c r="AB100" s="9"/>
      <c r="AC100" s="10">
        <f t="shared" si="27"/>
        <v>-1923.52</v>
      </c>
      <c r="AD100" s="8">
        <f>IFERROR(AC100/AC444, "NA")</f>
        <v>-7.9277030672287724E-2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-909.55</v>
      </c>
      <c r="C102" s="8">
        <f>IFERROR(B102/B444, "NA")</f>
        <v>-1.142714493119968E-2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-909.55</v>
      </c>
      <c r="I102" s="8">
        <f>IFERROR(H102/H444, "NA")</f>
        <v>0.44136629204759209</v>
      </c>
      <c r="J102" s="9"/>
      <c r="K102" s="7">
        <v>-152.6</v>
      </c>
      <c r="L102" s="8">
        <f>IFERROR(K102/K444, "NA")</f>
        <v>-2.1210977222801994E-3</v>
      </c>
      <c r="M102" s="9"/>
      <c r="N102" s="10">
        <f t="shared" si="25"/>
        <v>-756.94999999999993</v>
      </c>
      <c r="O102" s="8">
        <f>IFERROR(N102/N444, "NA")</f>
        <v>-9.8925987495556617E-2</v>
      </c>
      <c r="P102" s="9"/>
      <c r="Q102" s="7">
        <v>-6395.13</v>
      </c>
      <c r="R102" s="8">
        <f>IFERROR(Q102/Q444, "NA")</f>
        <v>-1.079463617920521E-2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-6395.13</v>
      </c>
      <c r="X102" s="8">
        <f>IFERROR(W102/W444, "NA")</f>
        <v>0.14417473758251295</v>
      </c>
      <c r="Y102" s="9"/>
      <c r="Z102" s="7">
        <v>-1515.14</v>
      </c>
      <c r="AA102" s="8">
        <f>IFERROR(Z102/Z444, "NA")</f>
        <v>-2.6666895235696237E-3</v>
      </c>
      <c r="AB102" s="9"/>
      <c r="AC102" s="10">
        <f t="shared" si="27"/>
        <v>-4879.99</v>
      </c>
      <c r="AD102" s="8">
        <f>IFERROR(AC102/AC444, "NA")</f>
        <v>-0.20112664121530183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-539.03</v>
      </c>
      <c r="C104" s="8">
        <f>IFERROR(B104/B444, "NA")</f>
        <v>-6.7721114092293587E-3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-539.03</v>
      </c>
      <c r="I104" s="8">
        <f>IFERROR(H104/H444, "NA")</f>
        <v>0.26156854752615422</v>
      </c>
      <c r="J104" s="9"/>
      <c r="K104" s="7">
        <v>-347.41</v>
      </c>
      <c r="L104" s="8">
        <f>IFERROR(K104/K444, "NA")</f>
        <v>-4.828902750310381E-3</v>
      </c>
      <c r="M104" s="9"/>
      <c r="N104" s="10">
        <f t="shared" si="25"/>
        <v>-191.61999999999995</v>
      </c>
      <c r="O104" s="8">
        <f>IFERROR(N104/N444, "NA")</f>
        <v>-2.504286640319513E-2</v>
      </c>
      <c r="P104" s="9"/>
      <c r="Q104" s="7">
        <v>-3232.65</v>
      </c>
      <c r="R104" s="8">
        <f>IFERROR(Q104/Q444, "NA")</f>
        <v>-5.4565396864032041E-3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-3232.65</v>
      </c>
      <c r="X104" s="8">
        <f>IFERROR(W104/W444, "NA")</f>
        <v>7.2878341088626883E-2</v>
      </c>
      <c r="Y104" s="9"/>
      <c r="Z104" s="7">
        <v>-2709.91</v>
      </c>
      <c r="AA104" s="8">
        <f>IFERROR(Z104/Z444, "NA")</f>
        <v>-4.7695187288412672E-3</v>
      </c>
      <c r="AB104" s="9"/>
      <c r="AC104" s="10">
        <f t="shared" si="27"/>
        <v>-522.74000000000024</v>
      </c>
      <c r="AD104" s="8">
        <f>IFERROR(AC104/AC444, "NA")</f>
        <v>-2.1544499154483292E-2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-299.99</v>
      </c>
      <c r="C106" s="8">
        <f>IFERROR(B106/B444, "NA")</f>
        <v>-3.7689288196477294E-3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-299.99</v>
      </c>
      <c r="I106" s="8">
        <f>IFERROR(H106/H444, "NA")</f>
        <v>0.14557250723034154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-299.99</v>
      </c>
      <c r="O106" s="8">
        <f>IFERROR(N106/N444, "NA")</f>
        <v>-3.9205769190556884E-2</v>
      </c>
      <c r="P106" s="9"/>
      <c r="Q106" s="7">
        <v>-1068.08</v>
      </c>
      <c r="R106" s="8">
        <f>IFERROR(Q106/Q444, "NA")</f>
        <v>-1.8028617104398972E-3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-1068.08</v>
      </c>
      <c r="X106" s="8">
        <f>IFERROR(W106/W444, "NA")</f>
        <v>2.4079284348735745E-2</v>
      </c>
      <c r="Y106" s="9"/>
      <c r="Z106" s="7">
        <v>-5623.68</v>
      </c>
      <c r="AA106" s="8">
        <f>IFERROR(Z106/Z444, "NA")</f>
        <v>-9.8978368598994296E-3</v>
      </c>
      <c r="AB106" s="9"/>
      <c r="AC106" s="10">
        <f t="shared" si="27"/>
        <v>4555.6000000000004</v>
      </c>
      <c r="AD106" s="8">
        <f>IFERROR(AC106/AC444, "NA")</f>
        <v>0.18775705005961674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-141.13999999999999</v>
      </c>
      <c r="AA108" s="8">
        <f>IFERROR(Z108/Z444, "NA")</f>
        <v>-2.4841041709453688E-4</v>
      </c>
      <c r="AB108" s="9"/>
      <c r="AC108" s="10">
        <f t="shared" si="27"/>
        <v>141.13999999999999</v>
      </c>
      <c r="AD108" s="8">
        <f>IFERROR(AC108/AC444, "NA")</f>
        <v>5.8170230146225091E-3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-5490.4299999999994</v>
      </c>
      <c r="C118" s="15">
        <f>IFERROR(B118/B444, "NA")</f>
        <v>-6.8979098834156066E-2</v>
      </c>
      <c r="D118" s="2"/>
      <c r="E118" s="14">
        <f>IFERROR(E94+E95+E96+E97+E98+E99+E100+E101+E102+E103+E104+E105+E106+E107+E108+E109+E110+E111+E112+E113+E114+E115+E116+E117, "NA")</f>
        <v>-3266.25</v>
      </c>
      <c r="F118" s="15">
        <f>IFERROR(E118/E444, "NA")</f>
        <v>-3.9999965709941368E-2</v>
      </c>
      <c r="G118" s="2"/>
      <c r="H118" s="14">
        <f t="shared" si="24"/>
        <v>-2224.1799999999994</v>
      </c>
      <c r="I118" s="15">
        <f>IFERROR(H118/H444, "NA")</f>
        <v>1.0793008404666189</v>
      </c>
      <c r="J118" s="2"/>
      <c r="K118" s="14">
        <f>IFERROR(K94+K95+K96+K97+K98+K99+K100+K101+K102+K103+K104+K105+K106+K107+K108+K109+K110+K111+K112+K113+K114+K115+K116+K117, "NA")</f>
        <v>-3511.68</v>
      </c>
      <c r="L118" s="15">
        <f>IFERROR(K118/K444, "NA")</f>
        <v>-4.8811379091591944E-2</v>
      </c>
      <c r="M118" s="2"/>
      <c r="N118" s="14">
        <f t="shared" si="25"/>
        <v>-1978.7499999999995</v>
      </c>
      <c r="O118" s="15">
        <f>IFERROR(N118/N444, "NA")</f>
        <v>-0.2586033393973613</v>
      </c>
      <c r="P118" s="2"/>
      <c r="Q118" s="14">
        <f>IFERROR(Q94+Q95+Q96+Q97+Q98+Q99+Q100+Q101+Q102+Q103+Q104+Q105+Q106+Q107+Q108+Q109+Q110+Q111+Q112+Q113+Q114+Q115+Q116+Q117, "NA")</f>
        <v>-34754.33</v>
      </c>
      <c r="R118" s="15">
        <f>IFERROR(Q118/Q444, "NA")</f>
        <v>-5.8663443589424609E-2</v>
      </c>
      <c r="S118" s="2"/>
      <c r="T118" s="14">
        <f>IFERROR(T94+T95+T96+T97+T98+T99+T100+T101+T102+T103+T104+T105+T106+T107+T108+T109+T110+T111+T112+T113+T114+T115+T116+T117, "NA")</f>
        <v>-25471.71</v>
      </c>
      <c r="U118" s="15">
        <f>IFERROR(T118/T444, "NA")</f>
        <v>-4.0000003140739523E-2</v>
      </c>
      <c r="V118" s="2"/>
      <c r="W118" s="14">
        <f t="shared" si="26"/>
        <v>-9282.6200000000026</v>
      </c>
      <c r="X118" s="15">
        <f>IFERROR(W118/W444, "NA")</f>
        <v>0.20927163366158102</v>
      </c>
      <c r="Y118" s="2"/>
      <c r="Z118" s="14">
        <f>IFERROR(Z94+Z95+Z96+Z97+Z98+Z99+Z100+Z101+Z102+Z103+Z104+Z105+Z106+Z107+Z108+Z109+Z110+Z111+Z112+Z113+Z114+Z115+Z116+Z117, "NA")</f>
        <v>-30025.41</v>
      </c>
      <c r="AA118" s="15">
        <f>IFERROR(Z118/Z444, "NA")</f>
        <v>-5.2845576176381463E-2</v>
      </c>
      <c r="AB118" s="2"/>
      <c r="AC118" s="14">
        <f t="shared" si="27"/>
        <v>-4728.9200000000019</v>
      </c>
      <c r="AD118" s="15">
        <f>IFERROR(AC118/AC444, "NA")</f>
        <v>-0.19490035761873806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79595.559999999983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81656.319999999992</v>
      </c>
      <c r="F122" s="15">
        <f>IFERROR(E122/E444, "NA")</f>
        <v>0.99999999999999978</v>
      </c>
      <c r="G122" s="2"/>
      <c r="H122" s="14">
        <f t="shared" si="24"/>
        <v>-2060.7600000000093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71943.88</v>
      </c>
      <c r="L122" s="15">
        <f>IFERROR(K122/K444, "NA")</f>
        <v>1</v>
      </c>
      <c r="M122" s="2"/>
      <c r="N122" s="14">
        <f t="shared" si="25"/>
        <v>7651.6799999999785</v>
      </c>
      <c r="O122" s="15">
        <f>IFERROR(N122/N444, "NA")</f>
        <v>0.99999999999999811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592435.89999999991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636792.70000000007</v>
      </c>
      <c r="U122" s="15">
        <f>IFERROR(T122/T444, "NA")</f>
        <v>1.0000000000000002</v>
      </c>
      <c r="V122" s="2"/>
      <c r="W122" s="14">
        <f t="shared" si="26"/>
        <v>-44356.800000000163</v>
      </c>
      <c r="X122" s="15">
        <f>IFERROR(W122/W444, "NA")</f>
        <v>1.0000000000000053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568172.62999999977</v>
      </c>
      <c r="AA122" s="15">
        <f>IFERROR(Z122/Z444, "NA")</f>
        <v>0.99999999999999956</v>
      </c>
      <c r="AB122" s="2"/>
      <c r="AC122" s="14">
        <f t="shared" si="27"/>
        <v>24263.270000000135</v>
      </c>
      <c r="AD122" s="15">
        <f>IFERROR(AC122/AC444, "NA")</f>
        <v>1.0000000000000049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79595.559999999983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81656.319999999992</v>
      </c>
      <c r="F124" s="15">
        <f>IFERROR(E124/E444, "NA")</f>
        <v>0.99999999999999978</v>
      </c>
      <c r="G124" s="2"/>
      <c r="H124" s="14">
        <f t="shared" si="24"/>
        <v>-2060.7600000000093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71943.88</v>
      </c>
      <c r="L124" s="15">
        <f>IFERROR(K124/K444, "NA")</f>
        <v>1</v>
      </c>
      <c r="M124" s="2"/>
      <c r="N124" s="14">
        <f t="shared" si="25"/>
        <v>7651.6799999999785</v>
      </c>
      <c r="O124" s="15">
        <f>IFERROR(N124/N444, "NA")</f>
        <v>0.99999999999999811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592435.89999999991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636792.70000000007</v>
      </c>
      <c r="U124" s="15">
        <f>IFERROR(T124/T444, "NA")</f>
        <v>1.0000000000000002</v>
      </c>
      <c r="V124" s="2"/>
      <c r="W124" s="14">
        <f t="shared" si="26"/>
        <v>-44356.800000000163</v>
      </c>
      <c r="X124" s="15">
        <f>IFERROR(W124/W444, "NA")</f>
        <v>1.0000000000000053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568172.62999999977</v>
      </c>
      <c r="AA124" s="15">
        <f>IFERROR(Z124/Z444, "NA")</f>
        <v>0.99999999999999956</v>
      </c>
      <c r="AB124" s="2"/>
      <c r="AC124" s="14">
        <f t="shared" si="27"/>
        <v>24263.270000000135</v>
      </c>
      <c r="AD124" s="15">
        <f>IFERROR(AC124/AC444, "NA")</f>
        <v>1.0000000000000049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20169.11</v>
      </c>
      <c r="F129" s="8">
        <f>IFERROR(E129/E444, "NA")</f>
        <v>0.24699998726369249</v>
      </c>
      <c r="G129" s="9"/>
      <c r="H129" s="10">
        <f t="shared" ref="H129:H141" si="28">IFERROR(-(B129-E129), "NA")</f>
        <v>20169.11</v>
      </c>
      <c r="I129" s="8">
        <f>IFERROR(H129/H444, "NA")</f>
        <v>-9.7872192783244572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161551.18</v>
      </c>
      <c r="U129" s="8">
        <f>IFERROR(T129/T444, "NA")</f>
        <v>0.25369508789909184</v>
      </c>
      <c r="V129" s="9"/>
      <c r="W129" s="10">
        <f t="shared" ref="W129:W141" si="30">IFERROR(-(Q129-T129), "NA")</f>
        <v>161551.18</v>
      </c>
      <c r="X129" s="8">
        <f>IFERROR(W129/W444, "NA")</f>
        <v>-3.642083739133577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4122.22</v>
      </c>
      <c r="C130" s="8">
        <f>IFERROR(B130/B444, "NA")</f>
        <v>5.1789572182166947E-2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-4122.22</v>
      </c>
      <c r="I130" s="8">
        <f>IFERROR(H130/H444, "NA")</f>
        <v>2.0003396805062121</v>
      </c>
      <c r="J130" s="9"/>
      <c r="K130" s="7">
        <v>5057.82</v>
      </c>
      <c r="L130" s="8">
        <f>IFERROR(K130/K444, "NA")</f>
        <v>7.0302296734621475E-2</v>
      </c>
      <c r="M130" s="9"/>
      <c r="N130" s="10">
        <f t="shared" si="29"/>
        <v>935.59999999999945</v>
      </c>
      <c r="O130" s="8">
        <f>IFERROR(N130/N444, "NA")</f>
        <v>0.12227380130899362</v>
      </c>
      <c r="P130" s="9"/>
      <c r="Q130" s="7">
        <v>32264.29</v>
      </c>
      <c r="R130" s="8">
        <f>IFERROR(Q130/Q444, "NA")</f>
        <v>5.4460389723175115E-2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-32264.29</v>
      </c>
      <c r="X130" s="8">
        <f>IFERROR(W130/W444, "NA")</f>
        <v>0.72738092017458544</v>
      </c>
      <c r="Y130" s="9"/>
      <c r="Z130" s="7">
        <v>37136.199999999997</v>
      </c>
      <c r="AA130" s="8">
        <f>IFERROR(Z130/Z444, "NA")</f>
        <v>6.5360768962067037E-2</v>
      </c>
      <c r="AB130" s="9"/>
      <c r="AC130" s="10">
        <f t="shared" si="31"/>
        <v>4871.9099999999962</v>
      </c>
      <c r="AD130" s="8">
        <f>IFERROR(AC130/AC444, "NA")</f>
        <v>0.20079362756957295</v>
      </c>
    </row>
    <row r="131" spans="1:30" ht="16.5" customHeight="1" x14ac:dyDescent="0.45">
      <c r="A131" s="12" t="s">
        <v>123</v>
      </c>
      <c r="B131" s="7">
        <v>2272.36</v>
      </c>
      <c r="C131" s="8">
        <f>IFERROR(B131/B444, "NA")</f>
        <v>2.8548828603002483E-2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-2272.36</v>
      </c>
      <c r="I131" s="8">
        <f>IFERROR(H131/H444, "NA")</f>
        <v>1.1026805644519448</v>
      </c>
      <c r="J131" s="9"/>
      <c r="K131" s="7">
        <v>2368.9</v>
      </c>
      <c r="L131" s="8">
        <f>IFERROR(K131/K444, "NA")</f>
        <v>3.292705369796569E-2</v>
      </c>
      <c r="M131" s="9"/>
      <c r="N131" s="10">
        <f t="shared" si="29"/>
        <v>96.539999999999964</v>
      </c>
      <c r="O131" s="8">
        <f>IFERROR(N131/N444, "NA")</f>
        <v>1.2616837086757425E-2</v>
      </c>
      <c r="P131" s="9"/>
      <c r="Q131" s="7">
        <v>18095.59</v>
      </c>
      <c r="R131" s="8">
        <f>IFERROR(Q131/Q444, "NA")</f>
        <v>3.0544384633004178E-2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-18095.59</v>
      </c>
      <c r="X131" s="8">
        <f>IFERROR(W131/W444, "NA")</f>
        <v>0.40795526277819927</v>
      </c>
      <c r="Y131" s="9"/>
      <c r="Z131" s="7">
        <v>18049.39</v>
      </c>
      <c r="AA131" s="8">
        <f>IFERROR(Z131/Z444, "NA")</f>
        <v>3.1767440117627631E-2</v>
      </c>
      <c r="AB131" s="9"/>
      <c r="AC131" s="10">
        <f t="shared" si="31"/>
        <v>-46.200000000000728</v>
      </c>
      <c r="AD131" s="8">
        <f>IFERROR(AC131/AC444, "NA")</f>
        <v>-1.904112677310218E-3</v>
      </c>
    </row>
    <row r="132" spans="1:30" ht="16.5" customHeight="1" x14ac:dyDescent="0.45">
      <c r="A132" s="12" t="s">
        <v>124</v>
      </c>
      <c r="B132" s="7">
        <v>4453.47</v>
      </c>
      <c r="C132" s="8">
        <f>IFERROR(B132/B444, "NA")</f>
        <v>5.5951236476004446E-2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-4453.47</v>
      </c>
      <c r="I132" s="8">
        <f>IFERROR(H132/H444, "NA")</f>
        <v>2.1610813486286515</v>
      </c>
      <c r="J132" s="9"/>
      <c r="K132" s="7">
        <v>2824.78</v>
      </c>
      <c r="L132" s="8">
        <f>IFERROR(K132/K444, "NA")</f>
        <v>3.9263659396740903E-2</v>
      </c>
      <c r="M132" s="9"/>
      <c r="N132" s="10">
        <f t="shared" si="29"/>
        <v>-1628.69</v>
      </c>
      <c r="O132" s="8">
        <f>IFERROR(N132/N444, "NA")</f>
        <v>-0.2128539092068672</v>
      </c>
      <c r="P132" s="9"/>
      <c r="Q132" s="7">
        <v>27969.68</v>
      </c>
      <c r="R132" s="8">
        <f>IFERROR(Q132/Q444, "NA")</f>
        <v>4.7211318557838916E-2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-27969.68</v>
      </c>
      <c r="X132" s="8">
        <f>IFERROR(W132/W444, "NA")</f>
        <v>0.63056126681816638</v>
      </c>
      <c r="Y132" s="9"/>
      <c r="Z132" s="7">
        <v>20735.349999999999</v>
      </c>
      <c r="AA132" s="8">
        <f>IFERROR(Z132/Z444, "NA")</f>
        <v>3.6494806164809449E-2</v>
      </c>
      <c r="AB132" s="9"/>
      <c r="AC132" s="10">
        <f t="shared" si="31"/>
        <v>-7234.3300000000017</v>
      </c>
      <c r="AD132" s="8">
        <f>IFERROR(AC132/AC444, "NA")</f>
        <v>-0.29815972867630769</v>
      </c>
    </row>
    <row r="133" spans="1:30" ht="16.5" customHeight="1" x14ac:dyDescent="0.45">
      <c r="A133" s="12" t="s">
        <v>125</v>
      </c>
      <c r="B133" s="7">
        <v>1992.87</v>
      </c>
      <c r="C133" s="8">
        <f>IFERROR(B133/B444, "NA")</f>
        <v>2.5037451837765824E-2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-1992.87</v>
      </c>
      <c r="I133" s="8">
        <f>IFERROR(H133/H444, "NA")</f>
        <v>0.96705584347521834</v>
      </c>
      <c r="J133" s="9"/>
      <c r="K133" s="7">
        <v>1567.21</v>
      </c>
      <c r="L133" s="8">
        <f>IFERROR(K133/K444, "NA")</f>
        <v>2.1783784805601253E-2</v>
      </c>
      <c r="M133" s="9"/>
      <c r="N133" s="10">
        <f t="shared" si="29"/>
        <v>-425.65999999999985</v>
      </c>
      <c r="O133" s="8">
        <f>IFERROR(N133/N444, "NA")</f>
        <v>-5.5629613365953651E-2</v>
      </c>
      <c r="P133" s="9"/>
      <c r="Q133" s="7">
        <v>12857.43</v>
      </c>
      <c r="R133" s="8">
        <f>IFERROR(Q133/Q444, "NA")</f>
        <v>2.1702651713037646E-2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-12857.43</v>
      </c>
      <c r="X133" s="8">
        <f>IFERROR(W133/W444, "NA")</f>
        <v>0.28986378638675514</v>
      </c>
      <c r="Y133" s="9"/>
      <c r="Z133" s="7">
        <v>11364.47</v>
      </c>
      <c r="AA133" s="8">
        <f>IFERROR(Z133/Z444, "NA")</f>
        <v>2.0001790652957006E-2</v>
      </c>
      <c r="AB133" s="9"/>
      <c r="AC133" s="10">
        <f t="shared" si="31"/>
        <v>-1492.9600000000009</v>
      </c>
      <c r="AD133" s="8">
        <f>IFERROR(AC133/AC444, "NA")</f>
        <v>-6.1531689669199571E-2</v>
      </c>
    </row>
    <row r="134" spans="1:30" ht="16.5" customHeight="1" x14ac:dyDescent="0.45">
      <c r="A134" s="12" t="s">
        <v>126</v>
      </c>
      <c r="B134" s="7">
        <v>662.25</v>
      </c>
      <c r="C134" s="8">
        <f>IFERROR(B134/B444, "NA")</f>
        <v>8.3201877089626609E-3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-662.25</v>
      </c>
      <c r="I134" s="8">
        <f>IFERROR(H134/H444, "NA")</f>
        <v>0.32136202177837159</v>
      </c>
      <c r="J134" s="9"/>
      <c r="K134" s="7">
        <v>751.67</v>
      </c>
      <c r="L134" s="8">
        <f>IFERROR(K134/K444, "NA")</f>
        <v>1.0448004750369314E-2</v>
      </c>
      <c r="M134" s="9"/>
      <c r="N134" s="10">
        <f t="shared" si="29"/>
        <v>89.419999999999959</v>
      </c>
      <c r="O134" s="8">
        <f>IFERROR(N134/N444, "NA")</f>
        <v>1.1686322480814675E-2</v>
      </c>
      <c r="P134" s="9"/>
      <c r="Q134" s="7">
        <v>4859.29</v>
      </c>
      <c r="R134" s="8">
        <f>IFERROR(Q134/Q444, "NA")</f>
        <v>8.2022206959436444E-3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-4859.29</v>
      </c>
      <c r="X134" s="8">
        <f>IFERROR(W134/W444, "NA")</f>
        <v>0.10955005771381181</v>
      </c>
      <c r="Y134" s="9"/>
      <c r="Z134" s="7">
        <v>6316.29</v>
      </c>
      <c r="AA134" s="8">
        <f>IFERROR(Z134/Z444, "NA")</f>
        <v>1.1116850172807514E-2</v>
      </c>
      <c r="AB134" s="9"/>
      <c r="AC134" s="10">
        <f t="shared" si="31"/>
        <v>1457</v>
      </c>
      <c r="AD134" s="8">
        <f>IFERROR(AC134/AC444, "NA")</f>
        <v>6.004961408746632E-2</v>
      </c>
    </row>
    <row r="135" spans="1:30" ht="16.5" customHeight="1" x14ac:dyDescent="0.45">
      <c r="A135" s="12" t="s">
        <v>127</v>
      </c>
      <c r="B135" s="7">
        <v>485.75</v>
      </c>
      <c r="C135" s="8">
        <f>IFERROR(B135/B444, "NA")</f>
        <v>6.1027273380575503E-3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-485.75</v>
      </c>
      <c r="I135" s="8">
        <f>IFERROR(H135/H444, "NA")</f>
        <v>0.2357140084240755</v>
      </c>
      <c r="J135" s="9"/>
      <c r="K135" s="7">
        <v>762.33</v>
      </c>
      <c r="L135" s="8">
        <f>IFERROR(K135/K444, "NA")</f>
        <v>1.0596175797024014E-2</v>
      </c>
      <c r="M135" s="9"/>
      <c r="N135" s="10">
        <f t="shared" si="29"/>
        <v>276.58000000000004</v>
      </c>
      <c r="O135" s="8">
        <f>IFERROR(N135/N444, "NA")</f>
        <v>3.614631035275917E-2</v>
      </c>
      <c r="P135" s="9"/>
      <c r="Q135" s="7">
        <v>4589.5200000000004</v>
      </c>
      <c r="R135" s="8">
        <f>IFERROR(Q135/Q444, "NA")</f>
        <v>7.7468634159408639E-3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-4589.5200000000004</v>
      </c>
      <c r="X135" s="8">
        <f>IFERROR(W135/W444, "NA")</f>
        <v>0.10346823936803394</v>
      </c>
      <c r="Y135" s="9"/>
      <c r="Z135" s="7">
        <v>5458.23</v>
      </c>
      <c r="AA135" s="8">
        <f>IFERROR(Z135/Z444, "NA")</f>
        <v>9.6066401508992077E-3</v>
      </c>
      <c r="AB135" s="9"/>
      <c r="AC135" s="10">
        <f t="shared" si="31"/>
        <v>868.70999999999913</v>
      </c>
      <c r="AD135" s="8">
        <f>IFERROR(AC135/AC444, "NA")</f>
        <v>3.5803500517448739E-2</v>
      </c>
    </row>
    <row r="136" spans="1:30" ht="16.5" customHeight="1" x14ac:dyDescent="0.45">
      <c r="A136" s="12" t="s">
        <v>128</v>
      </c>
      <c r="B136" s="7">
        <v>115</v>
      </c>
      <c r="C136" s="8">
        <f>IFERROR(B136/B444, "NA")</f>
        <v>1.4448042076718852E-3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-115</v>
      </c>
      <c r="I136" s="8">
        <f>IFERROR(H136/H444, "NA")</f>
        <v>5.5804654593450707E-2</v>
      </c>
      <c r="J136" s="9"/>
      <c r="K136" s="7">
        <v>909.02</v>
      </c>
      <c r="L136" s="8">
        <f>IFERROR(K136/K444, "NA")</f>
        <v>1.2635126156665445E-2</v>
      </c>
      <c r="M136" s="9"/>
      <c r="N136" s="10">
        <f t="shared" si="29"/>
        <v>794.02</v>
      </c>
      <c r="O136" s="8">
        <f>IFERROR(N136/N444, "NA")</f>
        <v>0.10377067519812652</v>
      </c>
      <c r="P136" s="9"/>
      <c r="Q136" s="7">
        <v>4916.55</v>
      </c>
      <c r="R136" s="8">
        <f>IFERROR(Q136/Q444, "NA")</f>
        <v>8.2988725024935178E-3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-4916.55</v>
      </c>
      <c r="X136" s="8">
        <f>IFERROR(W136/W444, "NA")</f>
        <v>0.11084095336002615</v>
      </c>
      <c r="Y136" s="9"/>
      <c r="Z136" s="7">
        <v>7592.68</v>
      </c>
      <c r="AA136" s="8">
        <f>IFERROR(Z136/Z444, "NA")</f>
        <v>1.336333290112901E-2</v>
      </c>
      <c r="AB136" s="9"/>
      <c r="AC136" s="10">
        <f t="shared" si="31"/>
        <v>2676.13</v>
      </c>
      <c r="AD136" s="8">
        <f>IFERROR(AC136/AC444, "NA")</f>
        <v>0.11029552076039206</v>
      </c>
    </row>
    <row r="137" spans="1:30" ht="16.5" customHeight="1" x14ac:dyDescent="0.45">
      <c r="A137" s="12" t="s">
        <v>129</v>
      </c>
      <c r="B137" s="7">
        <v>475.85</v>
      </c>
      <c r="C137" s="8">
        <f>IFERROR(B137/B444, "NA")</f>
        <v>5.9783485410492753E-3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-475.85</v>
      </c>
      <c r="I137" s="8">
        <f>IFERROR(H137/H444, "NA")</f>
        <v>0.23090995555037844</v>
      </c>
      <c r="J137" s="9"/>
      <c r="K137" s="7">
        <v>392.65</v>
      </c>
      <c r="L137" s="8">
        <f>IFERROR(K137/K444, "NA")</f>
        <v>5.45772621660105E-3</v>
      </c>
      <c r="M137" s="9"/>
      <c r="N137" s="10">
        <f t="shared" si="29"/>
        <v>-83.200000000000045</v>
      </c>
      <c r="O137" s="8">
        <f>IFERROR(N137/N444, "NA")</f>
        <v>-1.0873429103151219E-2</v>
      </c>
      <c r="P137" s="9"/>
      <c r="Q137" s="7">
        <v>3414.24</v>
      </c>
      <c r="R137" s="8">
        <f>IFERROR(Q137/Q444, "NA")</f>
        <v>5.7630538594977106E-3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-3414.24</v>
      </c>
      <c r="X137" s="8">
        <f>IFERROR(W137/W444, "NA")</f>
        <v>7.6972189157017756E-2</v>
      </c>
      <c r="Y137" s="9"/>
      <c r="Z137" s="7">
        <v>3187.77</v>
      </c>
      <c r="AA137" s="8">
        <f>IFERROR(Z137/Z444, "NA")</f>
        <v>5.6105659295837603E-3</v>
      </c>
      <c r="AB137" s="9"/>
      <c r="AC137" s="10">
        <f t="shared" si="31"/>
        <v>-226.4699999999998</v>
      </c>
      <c r="AD137" s="8">
        <f>IFERROR(AC137/AC444, "NA")</f>
        <v>-9.3338614292302578E-3</v>
      </c>
    </row>
    <row r="138" spans="1:30" ht="16.5" customHeight="1" x14ac:dyDescent="0.45">
      <c r="A138" s="12" t="s">
        <v>130</v>
      </c>
      <c r="B138" s="7">
        <v>4460.5600000000004</v>
      </c>
      <c r="C138" s="8">
        <f>IFERROR(B138/B444, "NA")</f>
        <v>5.604031179628613E-2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-4460.5600000000004</v>
      </c>
      <c r="I138" s="8">
        <f>IFERROR(H138/H444, "NA")</f>
        <v>2.1645218268988042</v>
      </c>
      <c r="J138" s="9"/>
      <c r="K138" s="7">
        <v>3227.45</v>
      </c>
      <c r="L138" s="8">
        <f>IFERROR(K138/K444, "NA")</f>
        <v>4.4860660837308185E-2</v>
      </c>
      <c r="M138" s="9"/>
      <c r="N138" s="10">
        <f t="shared" si="29"/>
        <v>-1233.1100000000006</v>
      </c>
      <c r="O138" s="8">
        <f>IFERROR(N138/N444, "NA")</f>
        <v>-0.16115545867051442</v>
      </c>
      <c r="P138" s="9"/>
      <c r="Q138" s="7">
        <v>33371.300000000003</v>
      </c>
      <c r="R138" s="8">
        <f>IFERROR(Q138/Q444, "NA")</f>
        <v>5.6328963184033923E-2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-33371.300000000003</v>
      </c>
      <c r="X138" s="8">
        <f>IFERROR(W138/W444, "NA")</f>
        <v>0.75233786026043481</v>
      </c>
      <c r="Y138" s="9"/>
      <c r="Z138" s="7">
        <v>28484.94</v>
      </c>
      <c r="AA138" s="8">
        <f>IFERROR(Z138/Z444, "NA")</f>
        <v>5.0134305131875147E-2</v>
      </c>
      <c r="AB138" s="9"/>
      <c r="AC138" s="10">
        <f t="shared" si="31"/>
        <v>-4886.3600000000042</v>
      </c>
      <c r="AD138" s="8">
        <f>IFERROR(AC138/AC444, "NA")</f>
        <v>-0.20138917796323416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19040.329999999998</v>
      </c>
      <c r="C141" s="15">
        <f>IFERROR(B141/B444, "NA")</f>
        <v>0.23921346869096716</v>
      </c>
      <c r="D141" s="2"/>
      <c r="E141" s="14">
        <f>IFERROR(E129+E130+E131+E132+E133+E134+E135+E136+E137+E138+E139+E140, "NA")</f>
        <v>20169.11</v>
      </c>
      <c r="F141" s="15">
        <f>IFERROR(E141/E444, "NA")</f>
        <v>0.24699998726369249</v>
      </c>
      <c r="G141" s="2"/>
      <c r="H141" s="14">
        <f t="shared" si="28"/>
        <v>1128.7800000000025</v>
      </c>
      <c r="I141" s="15">
        <f>IFERROR(H141/H444, "NA")</f>
        <v>-0.54774937401735158</v>
      </c>
      <c r="J141" s="2"/>
      <c r="K141" s="14">
        <f>IFERROR(K129+K130+K131+K132+K133+K134+K135+K136+K137+K138+K139+K140, "NA")</f>
        <v>17861.829999999998</v>
      </c>
      <c r="L141" s="15">
        <f>IFERROR(K141/K444, "NA")</f>
        <v>0.24827448839289731</v>
      </c>
      <c r="M141" s="2"/>
      <c r="N141" s="14">
        <f t="shared" si="29"/>
        <v>-1178.5</v>
      </c>
      <c r="O141" s="15">
        <f>IFERROR(N141/N444, "NA")</f>
        <v>-0.15401846391903493</v>
      </c>
      <c r="P141" s="2"/>
      <c r="Q141" s="14">
        <f>IFERROR(Q129+Q130+Q131+Q132+Q133+Q134+Q135+Q136+Q137+Q138+Q139+Q140, "NA")</f>
        <v>142337.89000000001</v>
      </c>
      <c r="R141" s="15">
        <f>IFERROR(Q141/Q444, "NA")</f>
        <v>0.24025871828496553</v>
      </c>
      <c r="S141" s="2"/>
      <c r="T141" s="14">
        <f>IFERROR(T129+T130+T131+T132+T133+T134+T135+T136+T137+T138+T139+T140, "NA")</f>
        <v>161551.18</v>
      </c>
      <c r="U141" s="15">
        <f>IFERROR(T141/T444, "NA")</f>
        <v>0.25369508789909184</v>
      </c>
      <c r="V141" s="2"/>
      <c r="W141" s="14">
        <f t="shared" si="30"/>
        <v>19213.289999999979</v>
      </c>
      <c r="X141" s="15">
        <f>IFERROR(W141/W444, "NA")</f>
        <v>-0.43315320311654604</v>
      </c>
      <c r="Y141" s="2"/>
      <c r="Z141" s="14">
        <f>IFERROR(Z129+Z130+Z131+Z132+Z133+Z134+Z135+Z136+Z137+Z138+Z139+Z140, "NA")</f>
        <v>138325.31999999998</v>
      </c>
      <c r="AA141" s="15">
        <f>IFERROR(Z141/Z444, "NA")</f>
        <v>0.24345650018375573</v>
      </c>
      <c r="AB141" s="2"/>
      <c r="AC141" s="14">
        <f t="shared" si="31"/>
        <v>-4012.5700000000361</v>
      </c>
      <c r="AD141" s="15">
        <f>IFERROR(AC141/AC444, "NA")</f>
        <v>-0.1653763074804028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1177.0999999999999</v>
      </c>
      <c r="C144" s="8">
        <f>IFERROR(B144/B444, "NA")</f>
        <v>1.4788513329135444E-2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-1177.0999999999999</v>
      </c>
      <c r="I144" s="8">
        <f>IFERROR(H144/H444, "NA")</f>
        <v>0.5711970341039202</v>
      </c>
      <c r="J144" s="9"/>
      <c r="K144" s="7">
        <v>670.55</v>
      </c>
      <c r="L144" s="8">
        <f>IFERROR(K144/K444, "NA")</f>
        <v>9.3204592246067339E-3</v>
      </c>
      <c r="M144" s="9"/>
      <c r="N144" s="10">
        <f t="shared" si="33"/>
        <v>-506.54999999999995</v>
      </c>
      <c r="O144" s="8">
        <f>IFERROR(N144/N444, "NA")</f>
        <v>-6.6201147983188061E-2</v>
      </c>
      <c r="P144" s="9"/>
      <c r="Q144" s="7">
        <v>8471.48</v>
      </c>
      <c r="R144" s="8">
        <f>IFERROR(Q144/Q444, "NA")</f>
        <v>1.4299403530407255E-2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-8471.48</v>
      </c>
      <c r="X144" s="8">
        <f>IFERROR(W144/W444, "NA")</f>
        <v>0.19098492226671024</v>
      </c>
      <c r="Y144" s="9"/>
      <c r="Z144" s="7">
        <v>6954.27</v>
      </c>
      <c r="AA144" s="8">
        <f>IFERROR(Z144/Z444, "NA")</f>
        <v>1.2239713130848982E-2</v>
      </c>
      <c r="AB144" s="9"/>
      <c r="AC144" s="10">
        <f t="shared" si="35"/>
        <v>-1517.2099999999991</v>
      </c>
      <c r="AD144" s="8">
        <f>IFERROR(AC144/AC444, "NA")</f>
        <v>-6.2531142751986762E-2</v>
      </c>
    </row>
    <row r="145" spans="1:30" ht="16.5" customHeight="1" x14ac:dyDescent="0.45">
      <c r="A145" s="12" t="s">
        <v>136</v>
      </c>
      <c r="B145" s="7">
        <v>101.87</v>
      </c>
      <c r="C145" s="8">
        <f>IFERROR(B145/B444, "NA")</f>
        <v>1.279845257700304E-3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-101.87</v>
      </c>
      <c r="I145" s="8">
        <f>IFERROR(H145/H444, "NA")</f>
        <v>4.9433218812476726E-2</v>
      </c>
      <c r="J145" s="9"/>
      <c r="K145" s="7">
        <v>169.99</v>
      </c>
      <c r="L145" s="8">
        <f>IFERROR(K145/K444, "NA")</f>
        <v>2.3628139043932574E-3</v>
      </c>
      <c r="M145" s="9"/>
      <c r="N145" s="10">
        <f t="shared" si="33"/>
        <v>68.12</v>
      </c>
      <c r="O145" s="8">
        <f>IFERROR(N145/N444, "NA")</f>
        <v>8.902620078205057E-3</v>
      </c>
      <c r="P145" s="9"/>
      <c r="Q145" s="7">
        <v>961.18</v>
      </c>
      <c r="R145" s="8">
        <f>IFERROR(Q145/Q444, "NA")</f>
        <v>1.6224202483340389E-3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-961.18</v>
      </c>
      <c r="X145" s="8">
        <f>IFERROR(W145/W444, "NA")</f>
        <v>2.1669281823756482E-2</v>
      </c>
      <c r="Y145" s="9"/>
      <c r="Z145" s="7">
        <v>989.97</v>
      </c>
      <c r="AA145" s="8">
        <f>IFERROR(Z145/Z444, "NA")</f>
        <v>1.7423753763006853E-3</v>
      </c>
      <c r="AB145" s="9"/>
      <c r="AC145" s="10">
        <f t="shared" si="35"/>
        <v>28.790000000000077</v>
      </c>
      <c r="AD145" s="8">
        <f>IFERROR(AC145/AC444, "NA")</f>
        <v>1.1865671857091008E-3</v>
      </c>
    </row>
    <row r="146" spans="1:30" ht="16.5" customHeight="1" x14ac:dyDescent="0.45">
      <c r="A146" s="12" t="s">
        <v>137</v>
      </c>
      <c r="B146" s="7">
        <v>20</v>
      </c>
      <c r="C146" s="8">
        <f>IFERROR(B146/B444, "NA")</f>
        <v>2.5127029698641484E-4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-20</v>
      </c>
      <c r="I146" s="8">
        <f>IFERROR(H146/H444, "NA")</f>
        <v>9.7051573206001236E-3</v>
      </c>
      <c r="J146" s="9"/>
      <c r="K146" s="7">
        <v>73.349999999999994</v>
      </c>
      <c r="L146" s="8">
        <f>IFERROR(K146/K444, "NA")</f>
        <v>1.0195446784354693E-3</v>
      </c>
      <c r="M146" s="9"/>
      <c r="N146" s="10">
        <f t="shared" si="33"/>
        <v>53.349999999999994</v>
      </c>
      <c r="O146" s="8">
        <f>IFERROR(N146/N444, "NA")</f>
        <v>6.9723250318884274E-3</v>
      </c>
      <c r="P146" s="9"/>
      <c r="Q146" s="7">
        <v>554.23</v>
      </c>
      <c r="R146" s="8">
        <f>IFERROR(Q146/Q444, "NA")</f>
        <v>9.3551049151477817E-4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-554.23</v>
      </c>
      <c r="X146" s="8">
        <f>IFERROR(W146/W444, "NA")</f>
        <v>1.24948147747358E-2</v>
      </c>
      <c r="Y146" s="9"/>
      <c r="Z146" s="7">
        <v>2523.31</v>
      </c>
      <c r="AA146" s="8">
        <f>IFERROR(Z146/Z444, "NA")</f>
        <v>4.4410974178745637E-3</v>
      </c>
      <c r="AB146" s="9"/>
      <c r="AC146" s="10">
        <f t="shared" si="35"/>
        <v>1969.08</v>
      </c>
      <c r="AD146" s="8">
        <f>IFERROR(AC146/AC444, "NA")</f>
        <v>8.1154766031124342E-2</v>
      </c>
    </row>
    <row r="147" spans="1:30" ht="16.5" customHeight="1" x14ac:dyDescent="0.45">
      <c r="A147" s="12" t="s">
        <v>138</v>
      </c>
      <c r="B147" s="7">
        <v>13.36</v>
      </c>
      <c r="C147" s="8">
        <f>IFERROR(B147/B444, "NA")</f>
        <v>1.6784855838692509E-4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-13.36</v>
      </c>
      <c r="I147" s="8">
        <f>IFERROR(H147/H444, "NA")</f>
        <v>6.483045090160882E-3</v>
      </c>
      <c r="J147" s="9"/>
      <c r="K147" s="7">
        <v>14.69</v>
      </c>
      <c r="L147" s="8">
        <f>IFERROR(K147/K444, "NA")</f>
        <v>2.041869301461083E-4</v>
      </c>
      <c r="M147" s="9"/>
      <c r="N147" s="10">
        <f t="shared" si="33"/>
        <v>1.33</v>
      </c>
      <c r="O147" s="8">
        <f>IFERROR(N147/N444, "NA")</f>
        <v>1.7381803734604705E-4</v>
      </c>
      <c r="P147" s="9"/>
      <c r="Q147" s="7">
        <v>238.9</v>
      </c>
      <c r="R147" s="8">
        <f>IFERROR(Q147/Q444, "NA")</f>
        <v>4.0325037696061297E-4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-238.9</v>
      </c>
      <c r="X147" s="8">
        <f>IFERROR(W147/W444, "NA")</f>
        <v>5.385870937488736E-3</v>
      </c>
      <c r="Y147" s="9"/>
      <c r="Z147" s="7">
        <v>159.09</v>
      </c>
      <c r="AA147" s="8">
        <f>IFERROR(Z147/Z444, "NA")</f>
        <v>2.8000292798334903E-4</v>
      </c>
      <c r="AB147" s="9"/>
      <c r="AC147" s="10">
        <f t="shared" si="35"/>
        <v>-79.81</v>
      </c>
      <c r="AD147" s="8">
        <f>IFERROR(AC147/AC444, "NA")</f>
        <v>-3.2893340427732924E-3</v>
      </c>
    </row>
    <row r="148" spans="1:30" ht="16.5" customHeight="1" x14ac:dyDescent="0.45">
      <c r="A148" s="13" t="s">
        <v>139</v>
      </c>
      <c r="B148" s="14">
        <f>IFERROR(B143+B144+B145+B146+B147, "NA")</f>
        <v>1312.3299999999997</v>
      </c>
      <c r="C148" s="15">
        <f>IFERROR(B148/B444, "NA")</f>
        <v>1.6487477442209086E-2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-1312.3299999999997</v>
      </c>
      <c r="I148" s="15">
        <f>IFERROR(H148/H444, "NA")</f>
        <v>0.63681845532715786</v>
      </c>
      <c r="J148" s="2"/>
      <c r="K148" s="14">
        <f>IFERROR(K143+K144+K145+K146+K147, "NA")</f>
        <v>928.58</v>
      </c>
      <c r="L148" s="15">
        <f>IFERROR(K148/K444, "NA")</f>
        <v>1.290700473758157E-2</v>
      </c>
      <c r="M148" s="2"/>
      <c r="N148" s="14">
        <f t="shared" si="33"/>
        <v>-383.74999999999966</v>
      </c>
      <c r="O148" s="15">
        <f>IFERROR(N148/N444, "NA")</f>
        <v>-5.0152384835748492E-2</v>
      </c>
      <c r="P148" s="2"/>
      <c r="Q148" s="14">
        <f>IFERROR(Q143+Q144+Q145+Q146+Q147, "NA")</f>
        <v>10225.789999999999</v>
      </c>
      <c r="R148" s="15">
        <f>IFERROR(Q148/Q444, "NA")</f>
        <v>1.7260584647216685E-2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-10225.789999999999</v>
      </c>
      <c r="X148" s="15">
        <f>IFERROR(W148/W444, "NA")</f>
        <v>0.23053488980269124</v>
      </c>
      <c r="Y148" s="2"/>
      <c r="Z148" s="14">
        <f>IFERROR(Z143+Z144+Z145+Z146+Z147, "NA")</f>
        <v>10626.640000000001</v>
      </c>
      <c r="AA148" s="15">
        <f>IFERROR(Z148/Z444, "NA")</f>
        <v>1.870318885300758E-2</v>
      </c>
      <c r="AB148" s="2"/>
      <c r="AC148" s="14">
        <f t="shared" si="35"/>
        <v>400.85000000000218</v>
      </c>
      <c r="AD148" s="15">
        <f>IFERROR(AC148/AC444, "NA")</f>
        <v>1.6520856422073443E-2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20352.659999999996</v>
      </c>
      <c r="C149" s="15">
        <f>IFERROR(B149/B444, "NA")</f>
        <v>0.25570094613317623</v>
      </c>
      <c r="D149" s="2"/>
      <c r="E149" s="14">
        <f>IFERROR(E127+E129+E130+E131+E132+E133+E134+E135+E136+E137+E138+E139+E140+E143+E144+E145+E146+E147, "NA")</f>
        <v>20169.11</v>
      </c>
      <c r="F149" s="15">
        <f>IFERROR(E149/E444, "NA")</f>
        <v>0.24699998726369249</v>
      </c>
      <c r="G149" s="2"/>
      <c r="H149" s="14">
        <f t="shared" si="32"/>
        <v>-183.54999999999563</v>
      </c>
      <c r="I149" s="15">
        <f>IFERROR(H149/H444, "NA")</f>
        <v>8.9069081309805509E-2</v>
      </c>
      <c r="J149" s="2"/>
      <c r="K149" s="14">
        <f>IFERROR(K127+K129+K130+K131+K132+K133+K134+K135+K136+K137+K138+K139+K140+K143+K144+K145+K146+K147, "NA")</f>
        <v>18790.409999999996</v>
      </c>
      <c r="L149" s="15">
        <f>IFERROR(K149/K444, "NA")</f>
        <v>0.26118149313047884</v>
      </c>
      <c r="M149" s="2"/>
      <c r="N149" s="14">
        <f t="shared" si="33"/>
        <v>-1562.25</v>
      </c>
      <c r="O149" s="15">
        <f>IFERROR(N149/N444, "NA")</f>
        <v>-0.20417084875478345</v>
      </c>
      <c r="P149" s="2"/>
      <c r="Q149" s="14">
        <f>IFERROR(Q127+Q129+Q130+Q131+Q132+Q133+Q134+Q135+Q136+Q137+Q138+Q139+Q140+Q143+Q144+Q145+Q146+Q147, "NA")</f>
        <v>152563.68000000002</v>
      </c>
      <c r="R149" s="15">
        <f>IFERROR(Q149/Q444, "NA")</f>
        <v>0.25751930293218223</v>
      </c>
      <c r="S149" s="2"/>
      <c r="T149" s="14">
        <f>IFERROR(T127+T129+T130+T131+T132+T133+T134+T135+T136+T137+T138+T139+T140+T143+T144+T145+T146+T147, "NA")</f>
        <v>161551.18</v>
      </c>
      <c r="U149" s="15">
        <f>IFERROR(T149/T444, "NA")</f>
        <v>0.25369508789909184</v>
      </c>
      <c r="V149" s="2"/>
      <c r="W149" s="14">
        <f t="shared" si="34"/>
        <v>8987.4999999999709</v>
      </c>
      <c r="X149" s="15">
        <f>IFERROR(W149/W444, "NA")</f>
        <v>-0.20261831331385458</v>
      </c>
      <c r="Y149" s="2"/>
      <c r="Z149" s="14">
        <f>IFERROR(Z127+Z129+Z130+Z131+Z132+Z133+Z134+Z135+Z136+Z137+Z138+Z139+Z140+Z143+Z144+Z145+Z146+Z147, "NA")</f>
        <v>148951.95999999996</v>
      </c>
      <c r="AA149" s="15">
        <f>IFERROR(Z149/Z444, "NA")</f>
        <v>0.26215968903676329</v>
      </c>
      <c r="AB149" s="2"/>
      <c r="AC149" s="14">
        <f t="shared" si="35"/>
        <v>-3611.7200000000594</v>
      </c>
      <c r="AD149" s="15">
        <f>IFERROR(AC149/AC444, "NA")</f>
        <v>-0.14885545105833042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1224.8399999999999</v>
      </c>
      <c r="F153" s="8">
        <f>IFERROR(E153/E444, "NA")</f>
        <v>1.4999941217042352E-2</v>
      </c>
      <c r="G153" s="9"/>
      <c r="H153" s="10">
        <f t="shared" ref="H153:H158" si="36">IFERROR(-(B153-E153), "NA")</f>
        <v>1224.8399999999999</v>
      </c>
      <c r="I153" s="8">
        <f>IFERROR(H153/H444, "NA")</f>
        <v>-0.59436324462819268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10119.24</v>
      </c>
      <c r="U153" s="8">
        <f>IFERROR(T153/T444, "NA")</f>
        <v>1.5890948498624435E-2</v>
      </c>
      <c r="V153" s="9"/>
      <c r="W153" s="10">
        <f t="shared" ref="W153:W158" si="38">IFERROR(-(Q153-T153), "NA")</f>
        <v>10119.24</v>
      </c>
      <c r="X153" s="8">
        <f>IFERROR(W153/W444, "NA")</f>
        <v>-0.22813277783789668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2834.75</v>
      </c>
      <c r="C154" s="8">
        <f>IFERROR(B154/B444, "NA")</f>
        <v>3.5614423719111971E-2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-2834.75</v>
      </c>
      <c r="I154" s="8">
        <f>IFERROR(H154/H444, "NA")</f>
        <v>1.37558473572856</v>
      </c>
      <c r="J154" s="9"/>
      <c r="K154" s="7">
        <v>2596.9299999999998</v>
      </c>
      <c r="L154" s="8">
        <f>IFERROR(K154/K444, "NA")</f>
        <v>3.6096607522418861E-2</v>
      </c>
      <c r="M154" s="9"/>
      <c r="N154" s="10">
        <f t="shared" si="37"/>
        <v>-237.82000000000016</v>
      </c>
      <c r="O154" s="8">
        <f>IFERROR(N154/N444, "NA")</f>
        <v>-3.1080756121531529E-2</v>
      </c>
      <c r="P154" s="9"/>
      <c r="Q154" s="7">
        <v>20375.419999999998</v>
      </c>
      <c r="R154" s="8">
        <f>IFERROR(Q154/Q444, "NA")</f>
        <v>3.4392615302347475E-2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-20375.419999999998</v>
      </c>
      <c r="X154" s="8">
        <f>IFERROR(W154/W444, "NA")</f>
        <v>0.45935279370919524</v>
      </c>
      <c r="Y154" s="9"/>
      <c r="Z154" s="7">
        <v>21964.49</v>
      </c>
      <c r="AA154" s="8">
        <f>IFERROR(Z154/Z444, "NA")</f>
        <v>3.8658127548312209E-2</v>
      </c>
      <c r="AB154" s="9"/>
      <c r="AC154" s="10">
        <f t="shared" si="39"/>
        <v>1589.0700000000033</v>
      </c>
      <c r="AD154" s="8">
        <f>IFERROR(AC154/AC444, "NA")</f>
        <v>6.5492821041846463E-2</v>
      </c>
    </row>
    <row r="155" spans="1:30" ht="16.5" customHeight="1" x14ac:dyDescent="0.45">
      <c r="A155" s="12" t="s">
        <v>144</v>
      </c>
      <c r="B155" s="7">
        <v>588.57000000000005</v>
      </c>
      <c r="C155" s="8">
        <f>IFERROR(B155/B444, "NA")</f>
        <v>7.3945079348647098E-3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-588.57000000000005</v>
      </c>
      <c r="I155" s="8">
        <f>IFERROR(H155/H444, "NA")</f>
        <v>0.28560822220928073</v>
      </c>
      <c r="J155" s="9"/>
      <c r="K155" s="7">
        <v>356.78</v>
      </c>
      <c r="L155" s="8">
        <f>IFERROR(K155/K444, "NA")</f>
        <v>4.9591431543586466E-3</v>
      </c>
      <c r="M155" s="9"/>
      <c r="N155" s="10">
        <f t="shared" si="37"/>
        <v>-231.79000000000008</v>
      </c>
      <c r="O155" s="8">
        <f>IFERROR(N155/N444, "NA")</f>
        <v>-3.0292693892060345E-2</v>
      </c>
      <c r="P155" s="9"/>
      <c r="Q155" s="7">
        <v>4612.88</v>
      </c>
      <c r="R155" s="8">
        <f>IFERROR(Q155/Q444, "NA")</f>
        <v>7.7862938420848564E-3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-4612.88</v>
      </c>
      <c r="X155" s="8">
        <f>IFERROR(W155/W444, "NA")</f>
        <v>0.10399487789921742</v>
      </c>
      <c r="Y155" s="9"/>
      <c r="Z155" s="7">
        <v>3838.9</v>
      </c>
      <c r="AA155" s="8">
        <f>IFERROR(Z155/Z444, "NA")</f>
        <v>6.7565732618975333E-3</v>
      </c>
      <c r="AB155" s="9"/>
      <c r="AC155" s="10">
        <f t="shared" si="39"/>
        <v>-773.98</v>
      </c>
      <c r="AD155" s="8">
        <f>IFERROR(AC155/AC444, "NA")</f>
        <v>-3.1899245237760589E-2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3423.32</v>
      </c>
      <c r="C158" s="15">
        <f>IFERROR(B158/B444, "NA")</f>
        <v>4.3008931653976686E-2</v>
      </c>
      <c r="D158" s="2"/>
      <c r="E158" s="14">
        <f>IFERROR(E153+E154+E155+E156+E157, "NA")</f>
        <v>1224.8399999999999</v>
      </c>
      <c r="F158" s="15">
        <f>IFERROR(E158/E444, "NA")</f>
        <v>1.4999941217042352E-2</v>
      </c>
      <c r="G158" s="2"/>
      <c r="H158" s="14">
        <f t="shared" si="36"/>
        <v>-2198.4800000000005</v>
      </c>
      <c r="I158" s="15">
        <f>IFERROR(H158/H444, "NA")</f>
        <v>1.0668297133096483</v>
      </c>
      <c r="J158" s="2"/>
      <c r="K158" s="14">
        <f>IFERROR(K153+K154+K155+K156+K157, "NA")</f>
        <v>2953.71</v>
      </c>
      <c r="L158" s="15">
        <f>IFERROR(K158/K444, "NA")</f>
        <v>4.1055750676777511E-2</v>
      </c>
      <c r="M158" s="2"/>
      <c r="N158" s="14">
        <f t="shared" si="37"/>
        <v>-469.61000000000013</v>
      </c>
      <c r="O158" s="15">
        <f>IFERROR(N158/N444, "NA")</f>
        <v>-6.137345001359186E-2</v>
      </c>
      <c r="P158" s="2"/>
      <c r="Q158" s="14">
        <f>IFERROR(Q153+Q154+Q155+Q156+Q157, "NA")</f>
        <v>24988.3</v>
      </c>
      <c r="R158" s="15">
        <f>IFERROR(Q158/Q444, "NA")</f>
        <v>4.2178909144432335E-2</v>
      </c>
      <c r="S158" s="2"/>
      <c r="T158" s="14">
        <f>IFERROR(T153+T154+T155+T156+T157, "NA")</f>
        <v>10119.24</v>
      </c>
      <c r="U158" s="15">
        <f>IFERROR(T158/T444, "NA")</f>
        <v>1.5890948498624435E-2</v>
      </c>
      <c r="V158" s="2"/>
      <c r="W158" s="14">
        <f t="shared" si="38"/>
        <v>-14869.06</v>
      </c>
      <c r="X158" s="15">
        <f>IFERROR(W158/W444, "NA")</f>
        <v>0.335214893770516</v>
      </c>
      <c r="Y158" s="2"/>
      <c r="Z158" s="14">
        <f>IFERROR(Z153+Z154+Z155+Z156+Z157, "NA")</f>
        <v>25803.390000000003</v>
      </c>
      <c r="AA158" s="15">
        <f>IFERROR(Z158/Z444, "NA")</f>
        <v>4.5414700810209749E-2</v>
      </c>
      <c r="AB158" s="2"/>
      <c r="AC158" s="14">
        <f t="shared" si="39"/>
        <v>815.09000000000378</v>
      </c>
      <c r="AD158" s="15">
        <f>IFERROR(AC158/AC444, "NA")</f>
        <v>3.3593575804085896E-2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258.14999999999998</v>
      </c>
      <c r="C161" s="8">
        <f>IFERROR(B161/B444, "NA")</f>
        <v>3.243271358352149E-3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-258.14999999999998</v>
      </c>
      <c r="I161" s="8">
        <f>IFERROR(H161/H444, "NA")</f>
        <v>0.12526931811564607</v>
      </c>
      <c r="J161" s="9"/>
      <c r="K161" s="7">
        <v>325.58999999999997</v>
      </c>
      <c r="L161" s="8">
        <f>IFERROR(K161/K444, "NA")</f>
        <v>4.525610795525623E-3</v>
      </c>
      <c r="M161" s="9"/>
      <c r="N161" s="10">
        <f t="shared" si="41"/>
        <v>67.44</v>
      </c>
      <c r="O161" s="8">
        <f>IFERROR(N161/N444, "NA")</f>
        <v>8.813750705727378E-3</v>
      </c>
      <c r="P161" s="9"/>
      <c r="Q161" s="7">
        <v>1987.71</v>
      </c>
      <c r="R161" s="8">
        <f>IFERROR(Q161/Q444, "NA")</f>
        <v>3.3551477889844283E-3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-1987.71</v>
      </c>
      <c r="X161" s="8">
        <f>IFERROR(W161/W444, "NA")</f>
        <v>4.4811843956281856E-2</v>
      </c>
      <c r="Y161" s="9"/>
      <c r="Z161" s="7">
        <v>1525.96</v>
      </c>
      <c r="AA161" s="8">
        <f>IFERROR(Z161/Z444, "NA")</f>
        <v>2.6857330315259993E-3</v>
      </c>
      <c r="AB161" s="9"/>
      <c r="AC161" s="10">
        <f t="shared" si="43"/>
        <v>-461.75</v>
      </c>
      <c r="AD161" s="8">
        <f>IFERROR(AC161/AC444, "NA")</f>
        <v>-1.9030823133073145E-2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258.14999999999998</v>
      </c>
      <c r="C166" s="15">
        <f>IFERROR(B166/B444, "NA")</f>
        <v>3.243271358352149E-3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-258.14999999999998</v>
      </c>
      <c r="I166" s="15">
        <f>IFERROR(H166/H444, "NA")</f>
        <v>0.12526931811564607</v>
      </c>
      <c r="J166" s="2"/>
      <c r="K166" s="14">
        <f>IFERROR(K160+K161+K162+K163+K164+K165, "NA")</f>
        <v>325.58999999999997</v>
      </c>
      <c r="L166" s="15">
        <f>IFERROR(K166/K444, "NA")</f>
        <v>4.525610795525623E-3</v>
      </c>
      <c r="M166" s="2"/>
      <c r="N166" s="14">
        <f t="shared" si="41"/>
        <v>67.44</v>
      </c>
      <c r="O166" s="15">
        <f>IFERROR(N166/N444, "NA")</f>
        <v>8.813750705727378E-3</v>
      </c>
      <c r="P166" s="2"/>
      <c r="Q166" s="14">
        <f>IFERROR(Q160+Q161+Q162+Q163+Q164+Q165, "NA")</f>
        <v>1987.71</v>
      </c>
      <c r="R166" s="15">
        <f>IFERROR(Q166/Q444, "NA")</f>
        <v>3.3551477889844283E-3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-1987.71</v>
      </c>
      <c r="X166" s="15">
        <f>IFERROR(W166/W444, "NA")</f>
        <v>4.4811843956281856E-2</v>
      </c>
      <c r="Y166" s="2"/>
      <c r="Z166" s="14">
        <f>IFERROR(Z160+Z161+Z162+Z163+Z164+Z165, "NA")</f>
        <v>1525.96</v>
      </c>
      <c r="AA166" s="15">
        <f>IFERROR(Z166/Z444, "NA")</f>
        <v>2.6857330315259993E-3</v>
      </c>
      <c r="AB166" s="2"/>
      <c r="AC166" s="14">
        <f t="shared" si="43"/>
        <v>-461.75</v>
      </c>
      <c r="AD166" s="15">
        <f>IFERROR(AC166/AC444, "NA")</f>
        <v>-1.9030823133073145E-2</v>
      </c>
    </row>
    <row r="167" spans="1:30" ht="16.5" customHeight="1" x14ac:dyDescent="0.45">
      <c r="A167" s="6" t="s">
        <v>155</v>
      </c>
      <c r="B167" s="7">
        <v>70.13</v>
      </c>
      <c r="C167" s="8">
        <f>IFERROR(B167/B444, "NA")</f>
        <v>8.8107929638286356E-4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-70.13</v>
      </c>
      <c r="I167" s="8">
        <f>IFERROR(H167/H444, "NA")</f>
        <v>3.4031134144684332E-2</v>
      </c>
      <c r="J167" s="9"/>
      <c r="K167" s="7">
        <v>102.86</v>
      </c>
      <c r="L167" s="8">
        <f>IFERROR(K167/K444, "NA")</f>
        <v>1.4297255027112799E-3</v>
      </c>
      <c r="M167" s="9"/>
      <c r="N167" s="10">
        <f t="shared" si="41"/>
        <v>32.730000000000004</v>
      </c>
      <c r="O167" s="8">
        <f>IFERROR(N167/N444, "NA")</f>
        <v>4.2774920017564812E-3</v>
      </c>
      <c r="P167" s="9"/>
      <c r="Q167" s="7">
        <v>593.38</v>
      </c>
      <c r="R167" s="8">
        <f>IFERROR(Q167/Q444, "NA")</f>
        <v>1.0015935901251088E-3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-593.38</v>
      </c>
      <c r="X167" s="8">
        <f>IFERROR(W167/W444, "NA")</f>
        <v>1.3377430292536904E-2</v>
      </c>
      <c r="Y167" s="9"/>
      <c r="Z167" s="7">
        <v>868.32</v>
      </c>
      <c r="AA167" s="8">
        <f>IFERROR(Z167/Z444, "NA")</f>
        <v>1.5282679139260898E-3</v>
      </c>
      <c r="AB167" s="9"/>
      <c r="AC167" s="10">
        <f t="shared" si="43"/>
        <v>274.94000000000005</v>
      </c>
      <c r="AD167" s="8">
        <f>IFERROR(AC167/AC444, "NA")</f>
        <v>1.1331531158001368E-2</v>
      </c>
    </row>
    <row r="168" spans="1:30" ht="16.5" customHeight="1" x14ac:dyDescent="0.45">
      <c r="A168" s="6" t="s">
        <v>156</v>
      </c>
      <c r="B168" s="7">
        <v>27.62</v>
      </c>
      <c r="C168" s="8">
        <f>IFERROR(B168/B444, "NA")</f>
        <v>3.4700428013823887E-4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-27.62</v>
      </c>
      <c r="I168" s="8">
        <f>IFERROR(H168/H444, "NA")</f>
        <v>1.3402822259748771E-2</v>
      </c>
      <c r="J168" s="9"/>
      <c r="K168" s="7">
        <v>41.4</v>
      </c>
      <c r="L168" s="8">
        <f>IFERROR(K168/K444, "NA")</f>
        <v>5.7544853015989677E-4</v>
      </c>
      <c r="M168" s="9"/>
      <c r="N168" s="10">
        <f t="shared" si="41"/>
        <v>13.779999999999998</v>
      </c>
      <c r="O168" s="8">
        <f>IFERROR(N168/N444, "NA")</f>
        <v>1.8009116952094194E-3</v>
      </c>
      <c r="P168" s="9"/>
      <c r="Q168" s="7">
        <v>188.02</v>
      </c>
      <c r="R168" s="8">
        <f>IFERROR(Q168/Q444, "NA")</f>
        <v>3.1736766796205295E-4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-188.02</v>
      </c>
      <c r="X168" s="8">
        <f>IFERROR(W168/W444, "NA")</f>
        <v>4.2388089312123574E-3</v>
      </c>
      <c r="Y168" s="9"/>
      <c r="Z168" s="7">
        <v>309.08999999999997</v>
      </c>
      <c r="AA168" s="8">
        <f>IFERROR(Z168/Z444, "NA")</f>
        <v>5.4400719724918812E-4</v>
      </c>
      <c r="AB168" s="9"/>
      <c r="AC168" s="10">
        <f t="shared" si="43"/>
        <v>121.06999999999996</v>
      </c>
      <c r="AD168" s="8">
        <f>IFERROR(AC168/AC444, "NA")</f>
        <v>4.9898467931156791E-3</v>
      </c>
    </row>
    <row r="169" spans="1:30" ht="16.5" customHeight="1" x14ac:dyDescent="0.45">
      <c r="A169" s="6" t="s">
        <v>157</v>
      </c>
      <c r="B169" s="7">
        <v>-1298.9100000000001</v>
      </c>
      <c r="C169" s="8">
        <f>IFERROR(B169/B444, "NA")</f>
        <v>-1.6318875072931206E-2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1298.9100000000001</v>
      </c>
      <c r="I169" s="8">
        <f>IFERROR(H169/H444, "NA")</f>
        <v>-0.6303062947650353</v>
      </c>
      <c r="J169" s="9"/>
      <c r="K169" s="7">
        <v>-2454.9499999999998</v>
      </c>
      <c r="L169" s="8">
        <f>IFERROR(K169/K444, "NA")</f>
        <v>-3.4123124857875331E-2</v>
      </c>
      <c r="M169" s="9"/>
      <c r="N169" s="10">
        <f t="shared" si="41"/>
        <v>-1156.0399999999997</v>
      </c>
      <c r="O169" s="8">
        <f>IFERROR(N169/N444, "NA")</f>
        <v>-0.15108316082219864</v>
      </c>
      <c r="P169" s="9"/>
      <c r="Q169" s="7">
        <v>-11523.64</v>
      </c>
      <c r="R169" s="8">
        <f>IFERROR(Q169/Q444, "NA")</f>
        <v>-1.9451285784673075E-2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11523.64</v>
      </c>
      <c r="X169" s="8">
        <f>IFERROR(W169/W444, "NA")</f>
        <v>-0.25979421419038384</v>
      </c>
      <c r="Y169" s="9"/>
      <c r="Z169" s="7">
        <v>-14007.82</v>
      </c>
      <c r="AA169" s="8">
        <f>IFERROR(Z169/Z444, "NA")</f>
        <v>-2.4654161887382713E-2</v>
      </c>
      <c r="AB169" s="9"/>
      <c r="AC169" s="10">
        <f t="shared" si="43"/>
        <v>-2484.1800000000003</v>
      </c>
      <c r="AD169" s="8">
        <f>IFERROR(AC169/AC444, "NA")</f>
        <v>-0.10238438594632951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2480.3100000000004</v>
      </c>
      <c r="C170" s="15">
        <f>IFERROR(B170/B444, "NA")</f>
        <v>3.1161411515918735E-2</v>
      </c>
      <c r="D170" s="2"/>
      <c r="E170" s="14">
        <f>IFERROR(E151+E153+E154+E155+E156+E157+E160+E161+E162+E163+E164+E165+E167+E168+E169, "NA")</f>
        <v>1224.8399999999999</v>
      </c>
      <c r="F170" s="15">
        <f>IFERROR(E170/E444, "NA")</f>
        <v>1.4999941217042352E-2</v>
      </c>
      <c r="G170" s="2"/>
      <c r="H170" s="14">
        <f t="shared" si="40"/>
        <v>-1255.4700000000005</v>
      </c>
      <c r="I170" s="15">
        <f>IFERROR(H170/H444, "NA")</f>
        <v>0.60922669306469202</v>
      </c>
      <c r="J170" s="2"/>
      <c r="K170" s="14">
        <f>IFERROR(K151+K153+K154+K155+K156+K157+K160+K161+K162+K163+K164+K165+K167+K168+K169, "NA")</f>
        <v>968.61000000000058</v>
      </c>
      <c r="L170" s="15">
        <f>IFERROR(K170/K444, "NA")</f>
        <v>1.3463410647298986E-2</v>
      </c>
      <c r="M170" s="2"/>
      <c r="N170" s="14">
        <f t="shared" si="41"/>
        <v>-1511.6999999999998</v>
      </c>
      <c r="O170" s="15">
        <f>IFERROR(N170/N444, "NA")</f>
        <v>-0.1975644564330972</v>
      </c>
      <c r="P170" s="2"/>
      <c r="Q170" s="14">
        <f>IFERROR(Q151+Q153+Q154+Q155+Q156+Q157+Q160+Q161+Q162+Q163+Q164+Q165+Q167+Q168+Q169, "NA")</f>
        <v>16233.77</v>
      </c>
      <c r="R170" s="15">
        <f>IFERROR(Q170/Q444, "NA")</f>
        <v>2.7401732406830848E-2</v>
      </c>
      <c r="S170" s="2"/>
      <c r="T170" s="14">
        <f>IFERROR(T151+T153+T154+T155+T156+T157+T160+T161+T162+T163+T164+T165+T167+T168+T169, "NA")</f>
        <v>10119.24</v>
      </c>
      <c r="U170" s="15">
        <f>IFERROR(T170/T444, "NA")</f>
        <v>1.5890948498624435E-2</v>
      </c>
      <c r="V170" s="2"/>
      <c r="W170" s="14">
        <f t="shared" si="42"/>
        <v>-6114.5300000000007</v>
      </c>
      <c r="X170" s="15">
        <f>IFERROR(W170/W444, "NA")</f>
        <v>0.13784876276016328</v>
      </c>
      <c r="Y170" s="2"/>
      <c r="Z170" s="14">
        <f>IFERROR(Z151+Z153+Z154+Z155+Z156+Z157+Z160+Z161+Z162+Z163+Z164+Z165+Z167+Z168+Z169, "NA")</f>
        <v>14498.940000000002</v>
      </c>
      <c r="AA170" s="15">
        <f>IFERROR(Z170/Z444, "NA")</f>
        <v>2.5518547065528311E-2</v>
      </c>
      <c r="AB170" s="2"/>
      <c r="AC170" s="14">
        <f t="shared" si="43"/>
        <v>-1734.8299999999981</v>
      </c>
      <c r="AD170" s="15">
        <f>IFERROR(AC170/AC444, "NA")</f>
        <v>-7.1500255324199777E-2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22832.969999999998</v>
      </c>
      <c r="C171" s="15">
        <f>IFERROR(B171/B444, "NA")</f>
        <v>0.28686235764909496</v>
      </c>
      <c r="D171" s="2"/>
      <c r="E171" s="14">
        <f>IFERROR(E127+E129+E130+E131+E132+E133+E134+E135+E136+E137+E138+E139+E140+E143+E144+E145+E146+E147+E151+E153+E154+E155+E156+E157+E160+E161+E162+E163+E164+E165+E167+E168+E169, "NA")</f>
        <v>21393.95</v>
      </c>
      <c r="F171" s="15">
        <f>IFERROR(E171/E444, "NA")</f>
        <v>0.26199992848073483</v>
      </c>
      <c r="G171" s="2"/>
      <c r="H171" s="14">
        <f t="shared" si="40"/>
        <v>-1439.0199999999968</v>
      </c>
      <c r="I171" s="15">
        <f>IFERROR(H171/H444, "NA")</f>
        <v>0.69829577437449786</v>
      </c>
      <c r="J171" s="2"/>
      <c r="K171" s="14">
        <f>IFERROR(K127+K129+K130+K131+K132+K133+K134+K135+K136+K137+K138+K139+K140+K143+K144+K145+K146+K147+K151+K153+K154+K155+K156+K157+K160+K161+K162+K163+K164+K165+K167+K168+K169, "NA")</f>
        <v>19759.019999999997</v>
      </c>
      <c r="L171" s="15">
        <f>IFERROR(K171/K444, "NA")</f>
        <v>0.27464490377777784</v>
      </c>
      <c r="M171" s="2"/>
      <c r="N171" s="14">
        <f t="shared" si="41"/>
        <v>-3073.9500000000007</v>
      </c>
      <c r="O171" s="15">
        <f>IFERROR(N171/N444, "NA")</f>
        <v>-0.40173530518788075</v>
      </c>
      <c r="P171" s="2"/>
      <c r="Q171" s="14">
        <f>IFERROR(Q127+Q129+Q130+Q131+Q132+Q133+Q134+Q135+Q136+Q137+Q138+Q139+Q140+Q143+Q144+Q145+Q146+Q147+Q151+Q153+Q154+Q155+Q156+Q157+Q160+Q161+Q162+Q163+Q164+Q165+Q167+Q168+Q169, "NA")</f>
        <v>168797.45</v>
      </c>
      <c r="R171" s="15">
        <f>IFERROR(Q171/Q444, "NA")</f>
        <v>0.28492103533901303</v>
      </c>
      <c r="S171" s="2"/>
      <c r="T171" s="14">
        <f>IFERROR(T127+T129+T130+T131+T132+T133+T134+T135+T136+T137+T138+T139+T140+T143+T144+T145+T146+T147+T151+T153+T154+T155+T156+T157+T160+T161+T162+T163+T164+T165+T167+T168+T169, "NA")</f>
        <v>171670.41999999998</v>
      </c>
      <c r="U171" s="15">
        <f>IFERROR(T171/T444, "NA")</f>
        <v>0.26958603639771622</v>
      </c>
      <c r="V171" s="2"/>
      <c r="W171" s="14">
        <f t="shared" si="42"/>
        <v>2872.9699999999721</v>
      </c>
      <c r="X171" s="15">
        <f>IFERROR(W171/W444, "NA")</f>
        <v>-6.4769550553691352E-2</v>
      </c>
      <c r="Y171" s="2"/>
      <c r="Z171" s="14">
        <f>IFERROR(Z127+Z129+Z130+Z131+Z132+Z133+Z134+Z135+Z136+Z137+Z138+Z139+Z140+Z143+Z144+Z145+Z146+Z147+Z151+Z153+Z154+Z155+Z156+Z157+Z160+Z161+Z162+Z163+Z164+Z165+Z167+Z168+Z169, "NA")</f>
        <v>163450.89999999994</v>
      </c>
      <c r="AA171" s="15">
        <f>IFERROR(Z171/Z444, "NA")</f>
        <v>0.28767823610229154</v>
      </c>
      <c r="AB171" s="2"/>
      <c r="AC171" s="14">
        <f t="shared" si="43"/>
        <v>-5346.5500000000757</v>
      </c>
      <c r="AD171" s="15">
        <f>IFERROR(AC171/AC444, "NA")</f>
        <v>-0.22035570638253094</v>
      </c>
    </row>
    <row r="172" spans="1:30" ht="16.5" customHeight="1" x14ac:dyDescent="0.45">
      <c r="A172" s="22" t="s">
        <v>160</v>
      </c>
      <c r="B172" s="23">
        <f>IFERROR(B124-B171, "NA")</f>
        <v>56762.589999999982</v>
      </c>
      <c r="C172" s="24">
        <f>IFERROR(B172/B444, "NA")</f>
        <v>0.71313764235090482</v>
      </c>
      <c r="D172" s="25"/>
      <c r="E172" s="23">
        <f>IFERROR(E124-E171, "NA")</f>
        <v>60262.369999999995</v>
      </c>
      <c r="F172" s="24">
        <f>IFERROR(E172/E444, "NA")</f>
        <v>0.73800007151926506</v>
      </c>
      <c r="G172" s="25"/>
      <c r="H172" s="23">
        <f>IFERROR(B172-E172, "NA")</f>
        <v>-3499.7800000000134</v>
      </c>
      <c r="I172" s="24">
        <f>IFERROR(H172/H444, "NA")</f>
        <v>1.6982957743745015</v>
      </c>
      <c r="J172" s="25"/>
      <c r="K172" s="23">
        <f>IFERROR(K124-K171, "NA")</f>
        <v>52184.860000000008</v>
      </c>
      <c r="L172" s="24">
        <f>IFERROR(K172/K444, "NA")</f>
        <v>0.72535509622222216</v>
      </c>
      <c r="M172" s="25"/>
      <c r="N172" s="23">
        <f>IFERROR(B172-K172, "NA")</f>
        <v>4577.7299999999741</v>
      </c>
      <c r="O172" s="24">
        <f>IFERROR(N172/N444, "NA")</f>
        <v>0.59826469481211686</v>
      </c>
      <c r="P172" s="25"/>
      <c r="Q172" s="23">
        <f>IFERROR(Q124-Q171, "NA")</f>
        <v>423638.4499999999</v>
      </c>
      <c r="R172" s="24">
        <f>IFERROR(Q172/Q444, "NA")</f>
        <v>0.71507896466098675</v>
      </c>
      <c r="S172" s="25"/>
      <c r="T172" s="23">
        <f>IFERROR(T124-T171, "NA")</f>
        <v>465122.28000000009</v>
      </c>
      <c r="U172" s="24">
        <f>IFERROR(T172/T444, "NA")</f>
        <v>0.73041396360228394</v>
      </c>
      <c r="V172" s="25"/>
      <c r="W172" s="23">
        <f>IFERROR(Q172-T172, "NA")</f>
        <v>-41483.830000000191</v>
      </c>
      <c r="X172" s="24">
        <f>IFERROR(W172/W444, "NA")</f>
        <v>0.93523044944631395</v>
      </c>
      <c r="Y172" s="25"/>
      <c r="Z172" s="23">
        <f>IFERROR(Z124-Z171, "NA")</f>
        <v>404721.72999999986</v>
      </c>
      <c r="AA172" s="24">
        <f>IFERROR(Z172/Z444, "NA")</f>
        <v>0.71232176389770807</v>
      </c>
      <c r="AB172" s="25"/>
      <c r="AC172" s="23">
        <f>IFERROR(Q172-Z172, "NA")</f>
        <v>18916.72000000003</v>
      </c>
      <c r="AD172" s="24">
        <f>IFERROR(AC172/AC444, "NA")</f>
        <v>0.77964429361747267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5076.92</v>
      </c>
      <c r="C178" s="8">
        <f>IFERROR(B178/B444, "NA")</f>
        <v>6.3783959808813462E-2</v>
      </c>
      <c r="D178" s="9"/>
      <c r="E178" s="7">
        <v>5000</v>
      </c>
      <c r="F178" s="8">
        <f>IFERROR(E178/E444, "NA")</f>
        <v>6.1232247546791227E-2</v>
      </c>
      <c r="G178" s="9"/>
      <c r="H178" s="10">
        <f t="shared" si="44"/>
        <v>-76.920000000000073</v>
      </c>
      <c r="I178" s="8">
        <f>IFERROR(H178/H444, "NA")</f>
        <v>3.7326035055028108E-2</v>
      </c>
      <c r="J178" s="9"/>
      <c r="K178" s="7">
        <v>5307.68</v>
      </c>
      <c r="L178" s="8">
        <f>IFERROR(K178/K444, "NA")</f>
        <v>7.3775281511088919E-2</v>
      </c>
      <c r="M178" s="9"/>
      <c r="N178" s="10">
        <f t="shared" si="45"/>
        <v>230.76000000000022</v>
      </c>
      <c r="O178" s="8">
        <f>IFERROR(N178/N444, "NA")</f>
        <v>3.015808293080741E-2</v>
      </c>
      <c r="P178" s="9"/>
      <c r="Q178" s="7">
        <v>34802.019999999997</v>
      </c>
      <c r="R178" s="8">
        <f>IFERROR(Q178/Q444, "NA")</f>
        <v>5.8743941749647505E-2</v>
      </c>
      <c r="S178" s="9"/>
      <c r="T178" s="7">
        <v>37500</v>
      </c>
      <c r="U178" s="8">
        <f>IFERROR(T178/T444, "NA")</f>
        <v>5.8888866031284598E-2</v>
      </c>
      <c r="V178" s="9"/>
      <c r="W178" s="10">
        <f t="shared" si="46"/>
        <v>2697.9800000000032</v>
      </c>
      <c r="X178" s="8">
        <f>IFERROR(W178/W444, "NA")</f>
        <v>-6.0824495905926652E-2</v>
      </c>
      <c r="Y178" s="9"/>
      <c r="Z178" s="7">
        <v>39807.599999999999</v>
      </c>
      <c r="AA178" s="8">
        <f>IFERROR(Z178/Z444, "NA")</f>
        <v>7.0062508994845452E-2</v>
      </c>
      <c r="AB178" s="9"/>
      <c r="AC178" s="10">
        <f t="shared" si="47"/>
        <v>5005.5800000000017</v>
      </c>
      <c r="AD178" s="8">
        <f>IFERROR(AC178/AC444, "NA")</f>
        <v>0.20630277782013709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16852.97</v>
      </c>
      <c r="C180" s="8">
        <f>IFERROR(B180/B444, "NA")</f>
        <v>0.211732538850157</v>
      </c>
      <c r="D180" s="9"/>
      <c r="E180" s="7">
        <v>14371.51</v>
      </c>
      <c r="F180" s="8">
        <f>IFERROR(E180/E444, "NA")</f>
        <v>0.17599997158823713</v>
      </c>
      <c r="G180" s="9"/>
      <c r="H180" s="10">
        <f t="shared" si="44"/>
        <v>-2481.4600000000009</v>
      </c>
      <c r="I180" s="8">
        <f>IFERROR(H180/H444, "NA")</f>
        <v>1.2041479842388196</v>
      </c>
      <c r="J180" s="9"/>
      <c r="K180" s="7">
        <v>15089.93</v>
      </c>
      <c r="L180" s="8">
        <f>IFERROR(K180/K444, "NA")</f>
        <v>0.20974584634579063</v>
      </c>
      <c r="M180" s="9"/>
      <c r="N180" s="10">
        <f t="shared" si="45"/>
        <v>-1763.0400000000009</v>
      </c>
      <c r="O180" s="8">
        <f>IFERROR(N180/N444, "NA")</f>
        <v>-0.23041214478389091</v>
      </c>
      <c r="P180" s="9"/>
      <c r="Q180" s="7">
        <v>123988.68</v>
      </c>
      <c r="R180" s="8">
        <f>IFERROR(Q180/Q444, "NA")</f>
        <v>0.20928623670510174</v>
      </c>
      <c r="S180" s="9"/>
      <c r="T180" s="7">
        <v>121144.02</v>
      </c>
      <c r="U180" s="8">
        <f>IFERROR(T180/T444, "NA")</f>
        <v>0.19024090571390032</v>
      </c>
      <c r="V180" s="9"/>
      <c r="W180" s="10">
        <f t="shared" si="46"/>
        <v>-2844.6599999999889</v>
      </c>
      <c r="X180" s="8">
        <f>IFERROR(W180/W444, "NA")</f>
        <v>6.4131316957039136E-2</v>
      </c>
      <c r="Y180" s="9"/>
      <c r="Z180" s="7">
        <v>112131.27</v>
      </c>
      <c r="AA180" s="8">
        <f>IFERROR(Z180/Z444, "NA")</f>
        <v>0.19735422665467009</v>
      </c>
      <c r="AB180" s="9"/>
      <c r="AC180" s="10">
        <f t="shared" si="47"/>
        <v>-11857.409999999989</v>
      </c>
      <c r="AD180" s="8">
        <f>IFERROR(AC180/AC444, "NA")</f>
        <v>-0.48869793725247995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0</v>
      </c>
      <c r="O181" s="8">
        <f>IFERROR(N181/N444, "NA")</f>
        <v>0</v>
      </c>
      <c r="P181" s="9"/>
      <c r="Q181" s="7">
        <v>-34.67</v>
      </c>
      <c r="R181" s="8">
        <f>IFERROR(Q181/Q444, "NA")</f>
        <v>-5.852109907586627E-5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34.67</v>
      </c>
      <c r="X181" s="8">
        <f>IFERROR(W181/W444, "NA")</f>
        <v>-7.8161634743714736E-4</v>
      </c>
      <c r="Y181" s="9"/>
      <c r="Z181" s="7">
        <v>352.84</v>
      </c>
      <c r="AA181" s="8">
        <f>IFERROR(Z181/Z444, "NA")</f>
        <v>6.210084424517245E-4</v>
      </c>
      <c r="AB181" s="9"/>
      <c r="AC181" s="10">
        <f t="shared" si="47"/>
        <v>387.51</v>
      </c>
      <c r="AD181" s="8">
        <f>IFERROR(AC181/AC444, "NA")</f>
        <v>1.5971054190140062E-2</v>
      </c>
    </row>
    <row r="182" spans="1:30" ht="16.5" customHeight="1" x14ac:dyDescent="0.45">
      <c r="A182" s="13" t="s">
        <v>167</v>
      </c>
      <c r="B182" s="14">
        <f>IFERROR(B177+B178+B179+B180+B181, "NA")</f>
        <v>21929.89</v>
      </c>
      <c r="C182" s="15">
        <f>IFERROR(B182/B444, "NA")</f>
        <v>0.27551649865897043</v>
      </c>
      <c r="D182" s="2"/>
      <c r="E182" s="14">
        <f>IFERROR(E177+E178+E179+E180+E181, "NA")</f>
        <v>19371.510000000002</v>
      </c>
      <c r="F182" s="15">
        <f>IFERROR(E182/E444, "NA")</f>
        <v>0.23723221913502837</v>
      </c>
      <c r="G182" s="2"/>
      <c r="H182" s="14">
        <f t="shared" si="44"/>
        <v>-2558.3799999999974</v>
      </c>
      <c r="I182" s="15">
        <f>IFERROR(H182/H444, "NA")</f>
        <v>1.2414740192938458</v>
      </c>
      <c r="J182" s="2"/>
      <c r="K182" s="14">
        <f>IFERROR(K177+K178+K179+K180+K181, "NA")</f>
        <v>20397.61</v>
      </c>
      <c r="L182" s="15">
        <f>IFERROR(K182/K444, "NA")</f>
        <v>0.28352112785687955</v>
      </c>
      <c r="M182" s="2"/>
      <c r="N182" s="14">
        <f t="shared" si="45"/>
        <v>-1532.2799999999988</v>
      </c>
      <c r="O182" s="15">
        <f>IFERROR(N182/N444, "NA")</f>
        <v>-0.20025406185308328</v>
      </c>
      <c r="P182" s="2"/>
      <c r="Q182" s="14">
        <f>IFERROR(Q177+Q178+Q179+Q180+Q181, "NA")</f>
        <v>158756.02999999997</v>
      </c>
      <c r="R182" s="15">
        <f>IFERROR(Q182/Q444, "NA")</f>
        <v>0.26797165735567335</v>
      </c>
      <c r="S182" s="2"/>
      <c r="T182" s="14">
        <f>IFERROR(T177+T178+T179+T180+T181, "NA")</f>
        <v>158644.02000000002</v>
      </c>
      <c r="U182" s="15">
        <f>IFERROR(T182/T444, "NA")</f>
        <v>0.24912977174518494</v>
      </c>
      <c r="V182" s="2"/>
      <c r="W182" s="14">
        <f t="shared" si="46"/>
        <v>-112.00999999995111</v>
      </c>
      <c r="X182" s="15">
        <f>IFERROR(W182/W444, "NA")</f>
        <v>2.5252047036745501E-3</v>
      </c>
      <c r="Y182" s="2"/>
      <c r="Z182" s="14">
        <f>IFERROR(Z177+Z178+Z179+Z180+Z181, "NA")</f>
        <v>152291.71</v>
      </c>
      <c r="AA182" s="15">
        <f>IFERROR(Z182/Z444, "NA")</f>
        <v>0.26803774409196723</v>
      </c>
      <c r="AB182" s="2"/>
      <c r="AC182" s="14">
        <f t="shared" si="47"/>
        <v>-6464.3199999999779</v>
      </c>
      <c r="AD182" s="15">
        <f>IFERROR(AC182/AC444, "NA")</f>
        <v>-0.26642410524220245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-600</v>
      </c>
      <c r="C184" s="8">
        <f>IFERROR(B184/B444, "NA")</f>
        <v>-7.5381089095924447E-3</v>
      </c>
      <c r="D184" s="9"/>
      <c r="E184" s="7">
        <v>300</v>
      </c>
      <c r="F184" s="8">
        <f>IFERROR(E184/E444, "NA")</f>
        <v>3.6739348528074737E-3</v>
      </c>
      <c r="G184" s="9"/>
      <c r="H184" s="10">
        <f t="shared" si="44"/>
        <v>900</v>
      </c>
      <c r="I184" s="8">
        <f>IFERROR(H184/H444, "NA")</f>
        <v>-0.43673207942700554</v>
      </c>
      <c r="J184" s="9"/>
      <c r="K184" s="7">
        <v>300</v>
      </c>
      <c r="L184" s="8">
        <f>IFERROR(K184/K444, "NA")</f>
        <v>4.169916885216644E-3</v>
      </c>
      <c r="M184" s="9"/>
      <c r="N184" s="10">
        <f t="shared" si="45"/>
        <v>900</v>
      </c>
      <c r="O184" s="8">
        <f>IFERROR(N184/N444, "NA")</f>
        <v>0.11762122827927995</v>
      </c>
      <c r="P184" s="9"/>
      <c r="Q184" s="7">
        <v>1100</v>
      </c>
      <c r="R184" s="8">
        <f>IFERROR(Q184/Q444, "NA")</f>
        <v>1.8567409571229561E-3</v>
      </c>
      <c r="S184" s="9"/>
      <c r="T184" s="7">
        <v>2100</v>
      </c>
      <c r="U184" s="8">
        <f>IFERROR(T184/T444, "NA")</f>
        <v>3.2977764977519374E-3</v>
      </c>
      <c r="V184" s="9"/>
      <c r="W184" s="10">
        <f t="shared" si="46"/>
        <v>1000</v>
      </c>
      <c r="X184" s="8">
        <f>IFERROR(W184/W444, "NA")</f>
        <v>-2.2544457670526312E-2</v>
      </c>
      <c r="Y184" s="9"/>
      <c r="Z184" s="7">
        <v>1900</v>
      </c>
      <c r="AA184" s="8">
        <f>IFERROR(Z184/Z444, "NA")</f>
        <v>3.3440540773672957E-3</v>
      </c>
      <c r="AB184" s="9"/>
      <c r="AC184" s="10">
        <f t="shared" si="47"/>
        <v>800</v>
      </c>
      <c r="AD184" s="8">
        <f>IFERROR(AC184/AC444, "NA")</f>
        <v>3.2971648091951307E-2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2186.5700000000002</v>
      </c>
      <c r="C186" s="8">
        <f>IFERROR(B186/B444, "NA")</f>
        <v>2.7471004664079257E-2</v>
      </c>
      <c r="D186" s="9"/>
      <c r="E186" s="7">
        <v>1964.81</v>
      </c>
      <c r="F186" s="8">
        <f>IFERROR(E186/E444, "NA")</f>
        <v>2.4061946460482174E-2</v>
      </c>
      <c r="G186" s="9"/>
      <c r="H186" s="10">
        <f t="shared" ref="H186:H197" si="48">IFERROR(-(B186-E186), "NA")</f>
        <v>-221.76000000000022</v>
      </c>
      <c r="I186" s="8">
        <f>IFERROR(H186/H444, "NA")</f>
        <v>0.10761078437081427</v>
      </c>
      <c r="J186" s="9"/>
      <c r="K186" s="7">
        <v>2368.2800000000002</v>
      </c>
      <c r="L186" s="8">
        <f>IFERROR(K186/K444, "NA")</f>
        <v>3.2918435869736244E-2</v>
      </c>
      <c r="M186" s="9"/>
      <c r="N186" s="10">
        <f t="shared" ref="N186:N197" si="49">IFERROR(-(B186-K186), "NA")</f>
        <v>181.71000000000004</v>
      </c>
      <c r="O186" s="8">
        <f>IFERROR(N186/N444, "NA")</f>
        <v>2.3747725989586629E-2</v>
      </c>
      <c r="P186" s="9"/>
      <c r="Q186" s="7">
        <v>19198.95</v>
      </c>
      <c r="R186" s="8">
        <f>IFERROR(Q186/Q444, "NA")</f>
        <v>3.2406797089777985E-2</v>
      </c>
      <c r="S186" s="9"/>
      <c r="T186" s="7">
        <v>17919.54</v>
      </c>
      <c r="U186" s="8">
        <f>IFERROR(T186/T444, "NA")</f>
        <v>2.8140303744059885E-2</v>
      </c>
      <c r="V186" s="9"/>
      <c r="W186" s="10">
        <f t="shared" ref="W186:W197" si="50">IFERROR(-(Q186-T186), "NA")</f>
        <v>-1279.4099999999999</v>
      </c>
      <c r="X186" s="8">
        <f>IFERROR(W186/W444, "NA")</f>
        <v>2.8843604588248067E-2</v>
      </c>
      <c r="Y186" s="9"/>
      <c r="Z186" s="7">
        <v>19259.16</v>
      </c>
      <c r="AA186" s="8">
        <f>IFERROR(Z186/Z444, "NA")</f>
        <v>3.3896669749825858E-2</v>
      </c>
      <c r="AB186" s="9"/>
      <c r="AC186" s="10">
        <f t="shared" ref="AC186:AC197" si="51">IFERROR(-(Q186-Z186), "NA")</f>
        <v>60.209999999999127</v>
      </c>
      <c r="AD186" s="8">
        <f>IFERROR(AC186/AC444, "NA")</f>
        <v>2.4815286645204493E-3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8.8001423088613061E-8</v>
      </c>
      <c r="AB187" s="9"/>
      <c r="AC187" s="10">
        <f t="shared" si="51"/>
        <v>0.05</v>
      </c>
      <c r="AD187" s="8">
        <f>IFERROR(AC187/AC444, "NA")</f>
        <v>2.0607280057469567E-6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2186.5700000000002</v>
      </c>
      <c r="C193" s="15">
        <f>IFERROR(B193/B444, "NA")</f>
        <v>2.7471004664079257E-2</v>
      </c>
      <c r="D193" s="2"/>
      <c r="E193" s="14">
        <f>IFERROR(E186+E187+E188+E189+E190+E191+E192, "NA")</f>
        <v>1964.81</v>
      </c>
      <c r="F193" s="15">
        <f>IFERROR(E193/E444, "NA")</f>
        <v>2.4061946460482174E-2</v>
      </c>
      <c r="G193" s="2"/>
      <c r="H193" s="14">
        <f t="shared" si="48"/>
        <v>-221.76000000000022</v>
      </c>
      <c r="I193" s="15">
        <f>IFERROR(H193/H444, "NA")</f>
        <v>0.10761078437081427</v>
      </c>
      <c r="J193" s="2"/>
      <c r="K193" s="14">
        <f>IFERROR(K186+K187+K188+K189+K190+K191+K192, "NA")</f>
        <v>2368.2800000000002</v>
      </c>
      <c r="L193" s="15">
        <f>IFERROR(K193/K444, "NA")</f>
        <v>3.2918435869736244E-2</v>
      </c>
      <c r="M193" s="2"/>
      <c r="N193" s="14">
        <f t="shared" si="49"/>
        <v>181.71000000000004</v>
      </c>
      <c r="O193" s="15">
        <f>IFERROR(N193/N444, "NA")</f>
        <v>2.3747725989586629E-2</v>
      </c>
      <c r="P193" s="2"/>
      <c r="Q193" s="14">
        <f>IFERROR(Q186+Q187+Q188+Q189+Q190+Q191+Q192, "NA")</f>
        <v>19198.95</v>
      </c>
      <c r="R193" s="15">
        <f>IFERROR(Q193/Q444, "NA")</f>
        <v>3.2406797089777985E-2</v>
      </c>
      <c r="S193" s="2"/>
      <c r="T193" s="14">
        <f>IFERROR(T186+T187+T188+T189+T190+T191+T192, "NA")</f>
        <v>17919.54</v>
      </c>
      <c r="U193" s="15">
        <f>IFERROR(T193/T444, "NA")</f>
        <v>2.8140303744059885E-2</v>
      </c>
      <c r="V193" s="2"/>
      <c r="W193" s="14">
        <f t="shared" si="50"/>
        <v>-1279.4099999999999</v>
      </c>
      <c r="X193" s="15">
        <f>IFERROR(W193/W444, "NA")</f>
        <v>2.8843604588248067E-2</v>
      </c>
      <c r="Y193" s="2"/>
      <c r="Z193" s="14">
        <f>IFERROR(Z186+Z187+Z188+Z189+Z190+Z191+Z192, "NA")</f>
        <v>19259.21</v>
      </c>
      <c r="AA193" s="15">
        <f>IFERROR(Z193/Z444, "NA")</f>
        <v>3.3896757751248945E-2</v>
      </c>
      <c r="AB193" s="2"/>
      <c r="AC193" s="14">
        <f t="shared" si="51"/>
        <v>60.259999999998399</v>
      </c>
      <c r="AD193" s="15">
        <f>IFERROR(AC193/AC444, "NA")</f>
        <v>2.4835893925261661E-3</v>
      </c>
    </row>
    <row r="194" spans="1:30" ht="16.5" customHeight="1" x14ac:dyDescent="0.45">
      <c r="A194" s="6" t="s">
        <v>178</v>
      </c>
      <c r="B194" s="7">
        <v>237.44</v>
      </c>
      <c r="C194" s="8">
        <f>IFERROR(B194/B444, "NA")</f>
        <v>2.9830809658227169E-3</v>
      </c>
      <c r="D194" s="9"/>
      <c r="E194" s="7">
        <v>157.37</v>
      </c>
      <c r="F194" s="8">
        <f>IFERROR(E194/E444, "NA")</f>
        <v>1.9272237592877072E-3</v>
      </c>
      <c r="G194" s="9"/>
      <c r="H194" s="10">
        <f t="shared" si="48"/>
        <v>-80.069999999999993</v>
      </c>
      <c r="I194" s="8">
        <f>IFERROR(H194/H444, "NA")</f>
        <v>3.8854597333022586E-2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-237.44</v>
      </c>
      <c r="O194" s="8">
        <f>IFERROR(N194/N444, "NA")</f>
        <v>-3.1031093825146922E-2</v>
      </c>
      <c r="P194" s="9"/>
      <c r="Q194" s="7">
        <v>1650.42</v>
      </c>
      <c r="R194" s="8">
        <f>IFERROR(Q194/Q444, "NA")</f>
        <v>2.7858203731407905E-3</v>
      </c>
      <c r="S194" s="9"/>
      <c r="T194" s="7">
        <v>1285.96</v>
      </c>
      <c r="U194" s="8">
        <f>IFERROR(T194/T444, "NA")</f>
        <v>2.0194326976424198E-3</v>
      </c>
      <c r="V194" s="9"/>
      <c r="W194" s="10">
        <f t="shared" si="50"/>
        <v>-364.46000000000004</v>
      </c>
      <c r="X194" s="8">
        <f>IFERROR(W194/W444, "NA")</f>
        <v>8.2165530426000204E-3</v>
      </c>
      <c r="Y194" s="9"/>
      <c r="Z194" s="7">
        <v>1396.02</v>
      </c>
      <c r="AA194" s="8">
        <f>IFERROR(Z194/Z444, "NA")</f>
        <v>2.4570349332033118E-3</v>
      </c>
      <c r="AB194" s="9"/>
      <c r="AC194" s="10">
        <f t="shared" si="51"/>
        <v>-254.40000000000009</v>
      </c>
      <c r="AD194" s="8">
        <f>IFERROR(AC194/AC444, "NA")</f>
        <v>-1.0484984093240519E-2</v>
      </c>
    </row>
    <row r="195" spans="1:30" ht="16.5" customHeight="1" x14ac:dyDescent="0.45">
      <c r="A195" s="6" t="s">
        <v>179</v>
      </c>
      <c r="B195" s="7">
        <v>1145.52</v>
      </c>
      <c r="C195" s="8">
        <f>IFERROR(B195/B444, "NA")</f>
        <v>1.4391757530193896E-2</v>
      </c>
      <c r="D195" s="9"/>
      <c r="E195" s="7">
        <v>137.69999999999999</v>
      </c>
      <c r="F195" s="8">
        <f>IFERROR(E195/E444, "NA")</f>
        <v>1.6863360974386304E-3</v>
      </c>
      <c r="G195" s="9"/>
      <c r="H195" s="10">
        <f t="shared" si="48"/>
        <v>-1007.8199999999999</v>
      </c>
      <c r="I195" s="8">
        <f>IFERROR(H195/H444, "NA")</f>
        <v>0.48905258254236078</v>
      </c>
      <c r="J195" s="9"/>
      <c r="K195" s="7">
        <v>202.75</v>
      </c>
      <c r="L195" s="8">
        <f>IFERROR(K195/K444, "NA")</f>
        <v>2.8181688282589148E-3</v>
      </c>
      <c r="M195" s="9"/>
      <c r="N195" s="10">
        <f t="shared" si="49"/>
        <v>-942.77</v>
      </c>
      <c r="O195" s="8">
        <f>IFERROR(N195/N444, "NA")</f>
        <v>-0.12321085042761862</v>
      </c>
      <c r="P195" s="9"/>
      <c r="Q195" s="7">
        <v>0</v>
      </c>
      <c r="R195" s="8">
        <f>IFERROR(Q195/Q444, "NA")</f>
        <v>0</v>
      </c>
      <c r="S195" s="9"/>
      <c r="T195" s="7">
        <v>1125.2</v>
      </c>
      <c r="U195" s="8">
        <f>IFERROR(T195/T444, "NA")</f>
        <v>1.7669800548907049E-3</v>
      </c>
      <c r="V195" s="9"/>
      <c r="W195" s="10">
        <f t="shared" si="50"/>
        <v>1125.2</v>
      </c>
      <c r="X195" s="8">
        <f>IFERROR(W195/W444, "NA")</f>
        <v>-2.5367023770876209E-2</v>
      </c>
      <c r="Y195" s="9"/>
      <c r="Z195" s="7">
        <v>1313.13</v>
      </c>
      <c r="AA195" s="8">
        <f>IFERROR(Z195/Z444, "NA")</f>
        <v>2.3111461740070094E-3</v>
      </c>
      <c r="AB195" s="9"/>
      <c r="AC195" s="10">
        <f t="shared" si="51"/>
        <v>1313.13</v>
      </c>
      <c r="AD195" s="8">
        <f>IFERROR(AC195/AC444, "NA")</f>
        <v>5.4120075323730026E-2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24899.42</v>
      </c>
      <c r="C196" s="15">
        <f>IFERROR(B196/B444, "NA")</f>
        <v>0.31282423290947381</v>
      </c>
      <c r="D196" s="2"/>
      <c r="E196" s="14">
        <f>IFERROR(E175+E177+E178+E179+E180+E181+E183+E184+E186+E187+E188+E189+E190+E191+E192+E194+E195, "NA")</f>
        <v>21931.390000000003</v>
      </c>
      <c r="F196" s="15">
        <f>IFERROR(E196/E444, "NA")</f>
        <v>0.26858166030504438</v>
      </c>
      <c r="G196" s="2"/>
      <c r="H196" s="14">
        <f t="shared" si="48"/>
        <v>-2968.0299999999952</v>
      </c>
      <c r="I196" s="15">
        <f>IFERROR(H196/H444, "NA")</f>
        <v>1.4402599041130368</v>
      </c>
      <c r="J196" s="2"/>
      <c r="K196" s="14">
        <f>IFERROR(K175+K177+K178+K179+K180+K181+K183+K184+K186+K187+K188+K189+K190+K191+K192+K194+K195, "NA")</f>
        <v>23268.639999999999</v>
      </c>
      <c r="L196" s="15">
        <f>IFERROR(K196/K444, "NA")</f>
        <v>0.32342764944009134</v>
      </c>
      <c r="M196" s="2"/>
      <c r="N196" s="14">
        <f t="shared" si="49"/>
        <v>-1630.7799999999988</v>
      </c>
      <c r="O196" s="15">
        <f>IFERROR(N196/N444, "NA")</f>
        <v>-0.21312705183698225</v>
      </c>
      <c r="P196" s="2"/>
      <c r="Q196" s="14">
        <f>IFERROR(Q175+Q177+Q178+Q179+Q180+Q181+Q183+Q184+Q186+Q187+Q188+Q189+Q190+Q191+Q192+Q194+Q195, "NA")</f>
        <v>180705.4</v>
      </c>
      <c r="R196" s="15">
        <f>IFERROR(Q196/Q444, "NA")</f>
        <v>0.30502101577571511</v>
      </c>
      <c r="S196" s="2"/>
      <c r="T196" s="14">
        <f>IFERROR(T175+T177+T178+T179+T180+T181+T183+T184+T186+T187+T188+T189+T190+T191+T192+T194+T195, "NA")</f>
        <v>181074.72000000003</v>
      </c>
      <c r="U196" s="15">
        <f>IFERROR(T196/T444, "NA")</f>
        <v>0.28435426473952991</v>
      </c>
      <c r="V196" s="2"/>
      <c r="W196" s="14">
        <f t="shared" si="50"/>
        <v>369.32000000003609</v>
      </c>
      <c r="X196" s="15">
        <f>IFERROR(W196/W444, "NA")</f>
        <v>-8.3261191068795919E-3</v>
      </c>
      <c r="Y196" s="2"/>
      <c r="Z196" s="14">
        <f>IFERROR(Z175+Z177+Z178+Z179+Z180+Z181+Z183+Z184+Z186+Z187+Z188+Z189+Z190+Z191+Z192+Z194+Z195, "NA")</f>
        <v>176160.06999999998</v>
      </c>
      <c r="AA196" s="15">
        <f>IFERROR(Z196/Z444, "NA")</f>
        <v>0.31004673702779378</v>
      </c>
      <c r="AB196" s="2"/>
      <c r="AC196" s="14">
        <f t="shared" si="51"/>
        <v>-4545.3300000000163</v>
      </c>
      <c r="AD196" s="15">
        <f>IFERROR(AC196/AC444, "NA")</f>
        <v>-0.18733377652723696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24899.42</v>
      </c>
      <c r="C197" s="15">
        <f>IFERROR(B197/B444, "NA")</f>
        <v>0.31282423290947381</v>
      </c>
      <c r="D197" s="2"/>
      <c r="E197" s="14">
        <f>IFERROR(E175+E177+E178+E179+E180+E181+E183+E184+E186+E187+E188+E189+E190+E191+E192+E194+E195, "NA")</f>
        <v>21931.390000000003</v>
      </c>
      <c r="F197" s="15">
        <f>IFERROR(E197/E444, "NA")</f>
        <v>0.26858166030504438</v>
      </c>
      <c r="G197" s="2"/>
      <c r="H197" s="14">
        <f t="shared" si="48"/>
        <v>-2968.0299999999952</v>
      </c>
      <c r="I197" s="15">
        <f>IFERROR(H197/H444, "NA")</f>
        <v>1.4402599041130368</v>
      </c>
      <c r="J197" s="2"/>
      <c r="K197" s="14">
        <f>IFERROR(K175+K177+K178+K179+K180+K181+K183+K184+K186+K187+K188+K189+K190+K191+K192+K194+K195, "NA")</f>
        <v>23268.639999999999</v>
      </c>
      <c r="L197" s="15">
        <f>IFERROR(K197/K444, "NA")</f>
        <v>0.32342764944009134</v>
      </c>
      <c r="M197" s="2"/>
      <c r="N197" s="14">
        <f t="shared" si="49"/>
        <v>-1630.7799999999988</v>
      </c>
      <c r="O197" s="15">
        <f>IFERROR(N197/N444, "NA")</f>
        <v>-0.21312705183698225</v>
      </c>
      <c r="P197" s="2"/>
      <c r="Q197" s="14">
        <f>IFERROR(Q175+Q177+Q178+Q179+Q180+Q181+Q183+Q184+Q186+Q187+Q188+Q189+Q190+Q191+Q192+Q194+Q195, "NA")</f>
        <v>180705.4</v>
      </c>
      <c r="R197" s="15">
        <f>IFERROR(Q197/Q444, "NA")</f>
        <v>0.30502101577571511</v>
      </c>
      <c r="S197" s="2"/>
      <c r="T197" s="14">
        <f>IFERROR(T175+T177+T178+T179+T180+T181+T183+T184+T186+T187+T188+T189+T190+T191+T192+T194+T195, "NA")</f>
        <v>181074.72000000003</v>
      </c>
      <c r="U197" s="15">
        <f>IFERROR(T197/T444, "NA")</f>
        <v>0.28435426473952991</v>
      </c>
      <c r="V197" s="2"/>
      <c r="W197" s="14">
        <f t="shared" si="50"/>
        <v>369.32000000003609</v>
      </c>
      <c r="X197" s="15">
        <f>IFERROR(W197/W444, "NA")</f>
        <v>-8.3261191068795919E-3</v>
      </c>
      <c r="Y197" s="2"/>
      <c r="Z197" s="14">
        <f>IFERROR(Z175+Z177+Z178+Z179+Z180+Z181+Z183+Z184+Z186+Z187+Z188+Z189+Z190+Z191+Z192+Z194+Z195, "NA")</f>
        <v>176160.06999999998</v>
      </c>
      <c r="AA197" s="15">
        <f>IFERROR(Z197/Z444, "NA")</f>
        <v>0.31004673702779378</v>
      </c>
      <c r="AB197" s="2"/>
      <c r="AC197" s="14">
        <f t="shared" si="51"/>
        <v>-4545.3300000000163</v>
      </c>
      <c r="AD197" s="15">
        <f>IFERROR(AC197/AC444, "NA")</f>
        <v>-0.18733377652723696</v>
      </c>
    </row>
    <row r="198" spans="1:30" ht="16.5" customHeight="1" x14ac:dyDescent="0.45">
      <c r="A198" s="22" t="s">
        <v>181</v>
      </c>
      <c r="B198" s="23">
        <f>IFERROR(B172-B197, "NA")</f>
        <v>31863.169999999984</v>
      </c>
      <c r="C198" s="24">
        <f>IFERROR(B198/B444, "NA")</f>
        <v>0.40031340944143096</v>
      </c>
      <c r="D198" s="25"/>
      <c r="E198" s="23">
        <f>IFERROR(E172-E197, "NA")</f>
        <v>38330.979999999996</v>
      </c>
      <c r="F198" s="24">
        <f>IFERROR(E198/E444, "NA")</f>
        <v>0.46941841121422068</v>
      </c>
      <c r="G198" s="25"/>
      <c r="H198" s="23">
        <f>IFERROR(B198-E198, "NA")</f>
        <v>-6467.8100000000122</v>
      </c>
      <c r="I198" s="24">
        <f>IFERROR(H198/H444, "NA")</f>
        <v>3.1385556784875401</v>
      </c>
      <c r="J198" s="25"/>
      <c r="K198" s="23">
        <f>IFERROR(K172-K197, "NA")</f>
        <v>28916.220000000008</v>
      </c>
      <c r="L198" s="24">
        <f>IFERROR(K198/K444, "NA")</f>
        <v>0.40192744678213083</v>
      </c>
      <c r="M198" s="25"/>
      <c r="N198" s="23">
        <f>IFERROR(B198-K198, "NA")</f>
        <v>2946.9499999999753</v>
      </c>
      <c r="O198" s="24">
        <f>IFERROR(N198/N444, "NA")</f>
        <v>0.38513764297513459</v>
      </c>
      <c r="P198" s="25"/>
      <c r="Q198" s="23">
        <f>IFERROR(Q172-Q197, "NA")</f>
        <v>242933.0499999999</v>
      </c>
      <c r="R198" s="24">
        <f>IFERROR(Q198/Q444, "NA")</f>
        <v>0.41005794888527164</v>
      </c>
      <c r="S198" s="25"/>
      <c r="T198" s="23">
        <f>IFERROR(T172-T197, "NA")</f>
        <v>284047.56000000006</v>
      </c>
      <c r="U198" s="24">
        <f>IFERROR(T198/T444, "NA")</f>
        <v>0.44605969886275404</v>
      </c>
      <c r="V198" s="25"/>
      <c r="W198" s="23">
        <f>IFERROR(Q198-T198, "NA")</f>
        <v>-41114.510000000155</v>
      </c>
      <c r="X198" s="24">
        <f>IFERROR(W198/W444, "NA")</f>
        <v>0.92690433033943431</v>
      </c>
      <c r="Y198" s="25"/>
      <c r="Z198" s="23">
        <f>IFERROR(Z172-Z197, "NA")</f>
        <v>228561.65999999989</v>
      </c>
      <c r="AA198" s="24">
        <f>IFERROR(Z198/Z444, "NA")</f>
        <v>0.40227502686991434</v>
      </c>
      <c r="AB198" s="25"/>
      <c r="AC198" s="23">
        <f>IFERROR(Q198-Z198, "NA")</f>
        <v>14371.390000000014</v>
      </c>
      <c r="AD198" s="24">
        <f>IFERROR(AC198/AC444, "NA")</f>
        <v>0.59231051709023574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1796.44</v>
      </c>
      <c r="F201" s="8">
        <f>IFERROR(E201/E444, "NA")</f>
        <v>2.2000011756591529E-2</v>
      </c>
      <c r="G201" s="9"/>
      <c r="H201" s="10">
        <f t="shared" ref="H201:H209" si="52">IFERROR(-(B201-E201), "NA")</f>
        <v>1796.44</v>
      </c>
      <c r="I201" s="8">
        <f>IFERROR(H201/H444, "NA")</f>
        <v>-0.87173664085094427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14236.37</v>
      </c>
      <c r="U201" s="8">
        <f>IFERROR(T201/T444, "NA")</f>
        <v>2.2356364952047979E-2</v>
      </c>
      <c r="V201" s="9"/>
      <c r="W201" s="10">
        <f t="shared" ref="W201:W209" si="54">IFERROR(-(Q201-T201), "NA")</f>
        <v>14236.37</v>
      </c>
      <c r="X201" s="8">
        <f>IFERROR(W201/W444, "NA")</f>
        <v>-0.3209512408469507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538.88</v>
      </c>
      <c r="C202" s="8">
        <f>IFERROR(B202/B444, "NA")</f>
        <v>6.7702268820019609E-3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-538.88</v>
      </c>
      <c r="I202" s="8">
        <f>IFERROR(H202/H444, "NA")</f>
        <v>0.2614957588462497</v>
      </c>
      <c r="J202" s="9"/>
      <c r="K202" s="7">
        <v>1502.54</v>
      </c>
      <c r="L202" s="8">
        <f>IFERROR(K202/K444, "NA")</f>
        <v>2.088488972237805E-2</v>
      </c>
      <c r="M202" s="9"/>
      <c r="N202" s="10">
        <f t="shared" si="53"/>
        <v>963.66</v>
      </c>
      <c r="O202" s="8">
        <f>IFERROR(N202/N444, "NA")</f>
        <v>0.12594096982623434</v>
      </c>
      <c r="P202" s="9"/>
      <c r="Q202" s="7">
        <v>5034.8599999999997</v>
      </c>
      <c r="R202" s="8">
        <f>IFERROR(Q202/Q444, "NA")</f>
        <v>8.4985734321637151E-3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-5034.8599999999997</v>
      </c>
      <c r="X202" s="8">
        <f>IFERROR(W202/W444, "NA")</f>
        <v>0.11350818814702611</v>
      </c>
      <c r="Y202" s="9"/>
      <c r="Z202" s="7">
        <v>6270.43</v>
      </c>
      <c r="AA202" s="8">
        <f>IFERROR(Z202/Z444, "NA")</f>
        <v>1.1036135267550639E-2</v>
      </c>
      <c r="AB202" s="9"/>
      <c r="AC202" s="10">
        <f t="shared" si="55"/>
        <v>1235.5700000000006</v>
      </c>
      <c r="AD202" s="8">
        <f>IFERROR(AC202/AC444, "NA")</f>
        <v>5.0923474041215368E-2</v>
      </c>
    </row>
    <row r="203" spans="1:30" ht="16.5" customHeight="1" x14ac:dyDescent="0.45">
      <c r="A203" s="6" t="s">
        <v>185</v>
      </c>
      <c r="B203" s="7">
        <v>509.55</v>
      </c>
      <c r="C203" s="8">
        <f>IFERROR(B203/B444, "NA")</f>
        <v>6.4017389914713839E-3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-509.55</v>
      </c>
      <c r="I203" s="8">
        <f>IFERROR(H203/H444, "NA")</f>
        <v>0.24726314563558965</v>
      </c>
      <c r="J203" s="9"/>
      <c r="K203" s="7">
        <v>2390.9</v>
      </c>
      <c r="L203" s="8">
        <f>IFERROR(K203/K444, "NA")</f>
        <v>3.3232847602881581E-2</v>
      </c>
      <c r="M203" s="9"/>
      <c r="N203" s="10">
        <f t="shared" si="53"/>
        <v>1881.3500000000001</v>
      </c>
      <c r="O203" s="8">
        <f>IFERROR(N203/N444, "NA")</f>
        <v>0.24587410869247039</v>
      </c>
      <c r="P203" s="9"/>
      <c r="Q203" s="7">
        <v>6106.55</v>
      </c>
      <c r="R203" s="8">
        <f>IFERROR(Q203/Q444, "NA")</f>
        <v>1.0307528628835626E-2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-6106.55</v>
      </c>
      <c r="X203" s="8">
        <f>IFERROR(W203/W444, "NA")</f>
        <v>0.13766885798795248</v>
      </c>
      <c r="Y203" s="9"/>
      <c r="Z203" s="7">
        <v>5838.99</v>
      </c>
      <c r="AA203" s="8">
        <f>IFERROR(Z203/Z444, "NA")</f>
        <v>1.0276788588003613E-2</v>
      </c>
      <c r="AB203" s="9"/>
      <c r="AC203" s="10">
        <f t="shared" si="55"/>
        <v>-267.5600000000004</v>
      </c>
      <c r="AD203" s="8">
        <f>IFERROR(AC203/AC444, "NA")</f>
        <v>-1.1027367704353131E-2</v>
      </c>
    </row>
    <row r="204" spans="1:30" ht="16.5" customHeight="1" x14ac:dyDescent="0.45">
      <c r="A204" s="6" t="s">
        <v>186</v>
      </c>
      <c r="B204" s="7">
        <v>343.29</v>
      </c>
      <c r="C204" s="8">
        <f>IFERROR(B204/B444, "NA")</f>
        <v>4.3129290126233174E-3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-343.29</v>
      </c>
      <c r="I204" s="8">
        <f>IFERROR(H204/H444, "NA")</f>
        <v>0.16658417282944082</v>
      </c>
      <c r="J204" s="9"/>
      <c r="K204" s="7">
        <v>66.16</v>
      </c>
      <c r="L204" s="8">
        <f>IFERROR(K204/K444, "NA")</f>
        <v>9.1960567041977708E-4</v>
      </c>
      <c r="M204" s="9"/>
      <c r="N204" s="10">
        <f t="shared" si="53"/>
        <v>-277.13</v>
      </c>
      <c r="O204" s="8">
        <f>IFERROR(N204/N444, "NA")</f>
        <v>-3.6218189992263172E-2</v>
      </c>
      <c r="P204" s="9"/>
      <c r="Q204" s="7">
        <v>1591.61</v>
      </c>
      <c r="R204" s="8">
        <f>IFERROR(Q204/Q444, "NA")</f>
        <v>2.6865522497876984E-3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-1591.61</v>
      </c>
      <c r="X204" s="8">
        <f>IFERROR(W204/W444, "NA")</f>
        <v>3.5881984272986382E-2</v>
      </c>
      <c r="Y204" s="9"/>
      <c r="Z204" s="7">
        <v>1578.78</v>
      </c>
      <c r="AA204" s="8">
        <f>IFERROR(Z204/Z444, "NA")</f>
        <v>2.7786977348768101E-3</v>
      </c>
      <c r="AB204" s="9"/>
      <c r="AC204" s="10">
        <f t="shared" si="55"/>
        <v>-12.829999999999927</v>
      </c>
      <c r="AD204" s="8">
        <f>IFERROR(AC204/AC444, "NA")</f>
        <v>-5.2878280627466606E-4</v>
      </c>
    </row>
    <row r="205" spans="1:30" ht="16.5" customHeight="1" x14ac:dyDescent="0.45">
      <c r="A205" s="6" t="s">
        <v>187</v>
      </c>
      <c r="B205" s="7">
        <v>338.76</v>
      </c>
      <c r="C205" s="8">
        <f>IFERROR(B205/B444, "NA")</f>
        <v>4.2560162903558943E-3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-338.76</v>
      </c>
      <c r="I205" s="8">
        <f>IFERROR(H205/H444, "NA")</f>
        <v>0.16438595469632489</v>
      </c>
      <c r="J205" s="9"/>
      <c r="K205" s="7">
        <v>384.71</v>
      </c>
      <c r="L205" s="8">
        <f>IFERROR(K205/K444, "NA")</f>
        <v>5.3473624163723164E-3</v>
      </c>
      <c r="M205" s="9"/>
      <c r="N205" s="10">
        <f t="shared" si="53"/>
        <v>45.949999999999989</v>
      </c>
      <c r="O205" s="8">
        <f>IFERROR(N205/N444, "NA")</f>
        <v>6.0052171549254581E-3</v>
      </c>
      <c r="P205" s="9"/>
      <c r="Q205" s="7">
        <v>2578.4299999999998</v>
      </c>
      <c r="R205" s="8">
        <f>IFERROR(Q205/Q444, "NA")</f>
        <v>4.3522514418859485E-3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-2578.4299999999998</v>
      </c>
      <c r="X205" s="8">
        <f>IFERROR(W205/W444, "NA")</f>
        <v>5.8129305991415157E-2</v>
      </c>
      <c r="Y205" s="9"/>
      <c r="Z205" s="7">
        <v>3165.52</v>
      </c>
      <c r="AA205" s="8">
        <f>IFERROR(Z205/Z444, "NA")</f>
        <v>5.5714052963093275E-3</v>
      </c>
      <c r="AB205" s="9"/>
      <c r="AC205" s="10">
        <f t="shared" si="55"/>
        <v>587.09000000000015</v>
      </c>
      <c r="AD205" s="8">
        <f>IFERROR(AC205/AC444, "NA")</f>
        <v>2.4196656097879621E-2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9.84</v>
      </c>
      <c r="L206" s="8">
        <f>IFERROR(K206/K444, "NA")</f>
        <v>1.367732738351059E-4</v>
      </c>
      <c r="M206" s="9"/>
      <c r="N206" s="10">
        <f t="shared" si="53"/>
        <v>9.84</v>
      </c>
      <c r="O206" s="8">
        <f>IFERROR(N206/N444, "NA")</f>
        <v>1.2859920958534607E-3</v>
      </c>
      <c r="P206" s="9"/>
      <c r="Q206" s="7">
        <v>490.44</v>
      </c>
      <c r="R206" s="8">
        <f>IFERROR(Q206/Q444, "NA")</f>
        <v>8.2783639546489334E-4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-490.44</v>
      </c>
      <c r="X206" s="8">
        <f>IFERROR(W206/W444, "NA")</f>
        <v>1.1056703819932925E-2</v>
      </c>
      <c r="Y206" s="9"/>
      <c r="Z206" s="7">
        <v>382.66</v>
      </c>
      <c r="AA206" s="8">
        <f>IFERROR(Z206/Z444, "NA")</f>
        <v>6.7349249118177346E-4</v>
      </c>
      <c r="AB206" s="9"/>
      <c r="AC206" s="10">
        <f t="shared" si="55"/>
        <v>-107.77999999999997</v>
      </c>
      <c r="AD206" s="8">
        <f>IFERROR(AC206/AC444, "NA")</f>
        <v>-4.4421052891881387E-3</v>
      </c>
    </row>
    <row r="207" spans="1:30" ht="16.5" customHeight="1" x14ac:dyDescent="0.45">
      <c r="A207" s="6" t="s">
        <v>189</v>
      </c>
      <c r="B207" s="7">
        <v>174.72</v>
      </c>
      <c r="C207" s="8">
        <f>IFERROR(B207/B444, "NA")</f>
        <v>2.1950973144733198E-3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-174.72</v>
      </c>
      <c r="I207" s="8">
        <f>IFERROR(H207/H444, "NA")</f>
        <v>8.478425435276267E-2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-174.72</v>
      </c>
      <c r="O207" s="8">
        <f>IFERROR(N207/N444, "NA")</f>
        <v>-2.2834201116617547E-2</v>
      </c>
      <c r="P207" s="9"/>
      <c r="Q207" s="7">
        <v>762.97</v>
      </c>
      <c r="R207" s="8">
        <f>IFERROR(Q207/Q444, "NA")</f>
        <v>1.2878524073237289E-3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-762.97</v>
      </c>
      <c r="X207" s="8">
        <f>IFERROR(W207/W444, "NA")</f>
        <v>1.720074486888146E-2</v>
      </c>
      <c r="Y207" s="9"/>
      <c r="Z207" s="7">
        <v>308.3</v>
      </c>
      <c r="AA207" s="8">
        <f>IFERROR(Z207/Z444, "NA")</f>
        <v>5.4261677476438806E-4</v>
      </c>
      <c r="AB207" s="9"/>
      <c r="AC207" s="10">
        <f t="shared" si="55"/>
        <v>-454.67</v>
      </c>
      <c r="AD207" s="8">
        <f>IFERROR(AC207/AC444, "NA")</f>
        <v>-1.8739024047459377E-2</v>
      </c>
    </row>
    <row r="208" spans="1:30" ht="16.5" customHeight="1" x14ac:dyDescent="0.45">
      <c r="A208" s="6" t="s">
        <v>190</v>
      </c>
      <c r="B208" s="7">
        <v>269.47000000000003</v>
      </c>
      <c r="C208" s="8">
        <f>IFERROR(B208/B444, "NA")</f>
        <v>3.3854903464464606E-3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-269.47000000000003</v>
      </c>
      <c r="I208" s="8">
        <f>IFERROR(H208/H444, "NA")</f>
        <v>0.13076243715910577</v>
      </c>
      <c r="J208" s="9"/>
      <c r="K208" s="7">
        <v>212.45</v>
      </c>
      <c r="L208" s="8">
        <f>IFERROR(K208/K444, "NA")</f>
        <v>2.9529961408809196E-3</v>
      </c>
      <c r="M208" s="9"/>
      <c r="N208" s="10">
        <f t="shared" si="53"/>
        <v>-57.020000000000039</v>
      </c>
      <c r="O208" s="8">
        <f>IFERROR(N208/N444, "NA")</f>
        <v>-7.4519582627606083E-3</v>
      </c>
      <c r="P208" s="9"/>
      <c r="Q208" s="7">
        <v>1311.29</v>
      </c>
      <c r="R208" s="8">
        <f>IFERROR(Q208/Q444, "NA")</f>
        <v>2.2133871360597831E-3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-1311.29</v>
      </c>
      <c r="X208" s="8">
        <f>IFERROR(W208/W444, "NA")</f>
        <v>2.9562321898784449E-2</v>
      </c>
      <c r="Y208" s="9"/>
      <c r="Z208" s="7">
        <v>618.64</v>
      </c>
      <c r="AA208" s="8">
        <f>IFERROR(Z208/Z444, "NA")</f>
        <v>1.0888240075907914E-3</v>
      </c>
      <c r="AB208" s="9"/>
      <c r="AC208" s="10">
        <f t="shared" si="55"/>
        <v>-692.65</v>
      </c>
      <c r="AD208" s="8">
        <f>IFERROR(AC208/AC444, "NA")</f>
        <v>-2.854726506361259E-2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2174.67</v>
      </c>
      <c r="C209" s="15">
        <f>IFERROR(B209/B444, "NA")</f>
        <v>2.7321498837372338E-2</v>
      </c>
      <c r="D209" s="2"/>
      <c r="E209" s="14">
        <f>IFERROR(E201+E202+E203+E204+E205+E206+E207+E208, "NA")</f>
        <v>1796.44</v>
      </c>
      <c r="F209" s="15">
        <f>IFERROR(E209/E444, "NA")</f>
        <v>2.2000011756591529E-2</v>
      </c>
      <c r="G209" s="2"/>
      <c r="H209" s="14">
        <f t="shared" si="52"/>
        <v>-378.23</v>
      </c>
      <c r="I209" s="15">
        <f>IFERROR(H209/H444, "NA")</f>
        <v>0.18353908266852922</v>
      </c>
      <c r="J209" s="2"/>
      <c r="K209" s="14">
        <f>IFERROR(K201+K202+K203+K204+K205+K206+K207+K208, "NA")</f>
        <v>4566.5999999999995</v>
      </c>
      <c r="L209" s="15">
        <f>IFERROR(K209/K444, "NA")</f>
        <v>6.3474474826767741E-2</v>
      </c>
      <c r="M209" s="2"/>
      <c r="N209" s="14">
        <f t="shared" si="53"/>
        <v>2391.9299999999994</v>
      </c>
      <c r="O209" s="15">
        <f>IFERROR(N209/N444, "NA")</f>
        <v>0.31260193839784223</v>
      </c>
      <c r="P209" s="2"/>
      <c r="Q209" s="14">
        <f>IFERROR(Q201+Q202+Q203+Q204+Q205+Q206+Q207+Q208, "NA")</f>
        <v>17876.150000000001</v>
      </c>
      <c r="R209" s="15">
        <f>IFERROR(Q209/Q444, "NA")</f>
        <v>3.0173981691521395E-2</v>
      </c>
      <c r="S209" s="2"/>
      <c r="T209" s="14">
        <f>IFERROR(T201+T202+T203+T204+T205+T206+T207+T208, "NA")</f>
        <v>14236.37</v>
      </c>
      <c r="U209" s="15">
        <f>IFERROR(T209/T444, "NA")</f>
        <v>2.2356364952047979E-2</v>
      </c>
      <c r="V209" s="2"/>
      <c r="W209" s="14">
        <f t="shared" si="54"/>
        <v>-3639.7800000000007</v>
      </c>
      <c r="X209" s="15">
        <f>IFERROR(W209/W444, "NA")</f>
        <v>8.2056866140028273E-2</v>
      </c>
      <c r="Y209" s="2"/>
      <c r="Z209" s="14">
        <f>IFERROR(Z201+Z202+Z203+Z204+Z205+Z206+Z207+Z208, "NA")</f>
        <v>18163.32</v>
      </c>
      <c r="AA209" s="15">
        <f>IFERROR(Z209/Z444, "NA")</f>
        <v>3.1967960160277344E-2</v>
      </c>
      <c r="AB209" s="2"/>
      <c r="AC209" s="14">
        <f t="shared" si="55"/>
        <v>287.16999999999825</v>
      </c>
      <c r="AD209" s="15">
        <f>IFERROR(AC209/AC444, "NA")</f>
        <v>1.1835585228206999E-2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2706.36</v>
      </c>
      <c r="F213" s="8">
        <f>IFERROR(E213/E444, "NA")</f>
        <v>3.3143301094146781E-2</v>
      </c>
      <c r="G213" s="9"/>
      <c r="H213" s="10">
        <f t="shared" ref="H213:H227" si="56">IFERROR(-(B213-E213), "NA")</f>
        <v>2706.36</v>
      </c>
      <c r="I213" s="8">
        <f>IFERROR(H213/H444, "NA")</f>
        <v>-1.3132824783089676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21373.29</v>
      </c>
      <c r="U213" s="8">
        <f>IFERROR(T213/T444, "NA")</f>
        <v>3.3563968305541196E-2</v>
      </c>
      <c r="V213" s="9"/>
      <c r="W213" s="10">
        <f t="shared" ref="W213:W227" si="58">IFERROR(-(Q213-T213), "NA")</f>
        <v>21373.29</v>
      </c>
      <c r="X213" s="8">
        <f>IFERROR(W213/W444, "NA")</f>
        <v>-0.48184923168488336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803.44</v>
      </c>
      <c r="C214" s="8">
        <f>IFERROR(B214/B444, "NA")</f>
        <v>1.0094030370538257E-2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-803.44</v>
      </c>
      <c r="I214" s="8">
        <f>IFERROR(H214/H444, "NA")</f>
        <v>0.38987557988314819</v>
      </c>
      <c r="J214" s="9"/>
      <c r="K214" s="7">
        <v>275</v>
      </c>
      <c r="L214" s="8">
        <f>IFERROR(K214/K444, "NA")</f>
        <v>3.8224238114485899E-3</v>
      </c>
      <c r="M214" s="9"/>
      <c r="N214" s="10">
        <f t="shared" si="57"/>
        <v>-528.44000000000005</v>
      </c>
      <c r="O214" s="8">
        <f>IFERROR(N214/N444, "NA")</f>
        <v>-6.9061957635447452E-2</v>
      </c>
      <c r="P214" s="9"/>
      <c r="Q214" s="7">
        <v>8427.0499999999993</v>
      </c>
      <c r="R214" s="8">
        <f>IFERROR(Q214/Q444, "NA")</f>
        <v>1.4224408075202734E-2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-8427.0499999999993</v>
      </c>
      <c r="X214" s="8">
        <f>IFERROR(W214/W444, "NA")</f>
        <v>0.18998327201240875</v>
      </c>
      <c r="Y214" s="9"/>
      <c r="Z214" s="7">
        <v>2266</v>
      </c>
      <c r="AA214" s="8">
        <f>IFERROR(Z214/Z444, "NA")</f>
        <v>3.9882244943759432E-3</v>
      </c>
      <c r="AB214" s="9"/>
      <c r="AC214" s="10">
        <f t="shared" si="59"/>
        <v>-6161.0499999999993</v>
      </c>
      <c r="AD214" s="8">
        <f>IFERROR(AC214/AC444, "NA")</f>
        <v>-0.25392496559614575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61.09</v>
      </c>
      <c r="R216" s="8">
        <f>IFERROR(Q216/Q444, "NA")</f>
        <v>1.0311664097331036E-4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1.3772409190924526E-3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-61.09</v>
      </c>
      <c r="AD216" s="8">
        <f>IFERROR(AC216/AC444, "NA")</f>
        <v>-2.5177974774216317E-3</v>
      </c>
    </row>
    <row r="217" spans="1:30" ht="16.5" customHeight="1" x14ac:dyDescent="0.45">
      <c r="A217" s="12" t="s">
        <v>197</v>
      </c>
      <c r="B217" s="7">
        <v>1284.25</v>
      </c>
      <c r="C217" s="8">
        <f>IFERROR(B217/B444, "NA")</f>
        <v>1.6134693945240162E-2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-1284.25</v>
      </c>
      <c r="I217" s="8">
        <f>IFERROR(H217/H444, "NA")</f>
        <v>0.62319241444903539</v>
      </c>
      <c r="J217" s="9"/>
      <c r="K217" s="7">
        <v>227.5</v>
      </c>
      <c r="L217" s="8">
        <f>IFERROR(K217/K444, "NA")</f>
        <v>3.1621869712892881E-3</v>
      </c>
      <c r="M217" s="9"/>
      <c r="N217" s="10">
        <f t="shared" si="57"/>
        <v>-1056.75</v>
      </c>
      <c r="O217" s="8">
        <f>IFERROR(N217/N444, "NA")</f>
        <v>-0.1381069255379212</v>
      </c>
      <c r="P217" s="9"/>
      <c r="Q217" s="7">
        <v>13654.22</v>
      </c>
      <c r="R217" s="8">
        <f>IFERROR(Q217/Q444, "NA")</f>
        <v>2.3047590465061281E-2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-13654.22</v>
      </c>
      <c r="X217" s="8">
        <f>IFERROR(W217/W444, "NA")</f>
        <v>0.30782698481405379</v>
      </c>
      <c r="Y217" s="9"/>
      <c r="Z217" s="7">
        <v>1737.44</v>
      </c>
      <c r="AA217" s="8">
        <f>IFERROR(Z217/Z444, "NA")</f>
        <v>3.0579438506215971E-3</v>
      </c>
      <c r="AB217" s="9"/>
      <c r="AC217" s="10">
        <f t="shared" si="59"/>
        <v>-11916.779999999999</v>
      </c>
      <c r="AD217" s="8">
        <f>IFERROR(AC217/AC444, "NA")</f>
        <v>-0.49114484568650429</v>
      </c>
    </row>
    <row r="218" spans="1:30" ht="16.5" customHeight="1" x14ac:dyDescent="0.45">
      <c r="A218" s="13" t="s">
        <v>198</v>
      </c>
      <c r="B218" s="14">
        <f>IFERROR(B213+B214+B215+B216+B217, "NA")</f>
        <v>2087.69</v>
      </c>
      <c r="C218" s="15">
        <f>IFERROR(B218/B444, "NA")</f>
        <v>2.6228724315778419E-2</v>
      </c>
      <c r="D218" s="2"/>
      <c r="E218" s="14">
        <f>IFERROR(E213+E214+E215+E216+E217, "NA")</f>
        <v>2706.36</v>
      </c>
      <c r="F218" s="15">
        <f>IFERROR(E218/E444, "NA")</f>
        <v>3.3143301094146781E-2</v>
      </c>
      <c r="G218" s="2"/>
      <c r="H218" s="14">
        <f t="shared" si="56"/>
        <v>618.67000000000007</v>
      </c>
      <c r="I218" s="15">
        <f>IFERROR(H218/H444, "NA")</f>
        <v>-0.30021448397678396</v>
      </c>
      <c r="J218" s="2"/>
      <c r="K218" s="14">
        <f>IFERROR(K213+K214+K215+K216+K217, "NA")</f>
        <v>502.5</v>
      </c>
      <c r="L218" s="15">
        <f>IFERROR(K218/K444, "NA")</f>
        <v>6.9846107827378776E-3</v>
      </c>
      <c r="M218" s="2"/>
      <c r="N218" s="14">
        <f t="shared" si="57"/>
        <v>-1585.19</v>
      </c>
      <c r="O218" s="15">
        <f>IFERROR(N218/N444, "NA")</f>
        <v>-0.20716888317336865</v>
      </c>
      <c r="P218" s="2"/>
      <c r="Q218" s="14">
        <f>IFERROR(Q213+Q214+Q215+Q216+Q217, "NA")</f>
        <v>22142.36</v>
      </c>
      <c r="R218" s="15">
        <f>IFERROR(Q218/Q444, "NA")</f>
        <v>3.7375115181237331E-2</v>
      </c>
      <c r="S218" s="2"/>
      <c r="T218" s="14">
        <f>IFERROR(T213+T214+T215+T216+T217, "NA")</f>
        <v>21373.29</v>
      </c>
      <c r="U218" s="15">
        <f>IFERROR(T218/T444, "NA")</f>
        <v>3.3563968305541196E-2</v>
      </c>
      <c r="V218" s="2"/>
      <c r="W218" s="14">
        <f t="shared" si="58"/>
        <v>-769.06999999999971</v>
      </c>
      <c r="X218" s="15">
        <f>IFERROR(W218/W444, "NA")</f>
        <v>1.7338266060671664E-2</v>
      </c>
      <c r="Y218" s="2"/>
      <c r="Z218" s="14">
        <f>IFERROR(Z213+Z214+Z215+Z216+Z217, "NA")</f>
        <v>4003.44</v>
      </c>
      <c r="AA218" s="15">
        <f>IFERROR(Z218/Z444, "NA")</f>
        <v>7.0461683449975403E-3</v>
      </c>
      <c r="AB218" s="2"/>
      <c r="AC218" s="14">
        <f t="shared" si="59"/>
        <v>-18138.920000000002</v>
      </c>
      <c r="AD218" s="15">
        <f>IFERROR(AC218/AC444, "NA")</f>
        <v>-0.7475876087600718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280.10000000000002</v>
      </c>
      <c r="C222" s="8">
        <f>IFERROR(B222/B444, "NA")</f>
        <v>3.5190405092947398E-3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-280.10000000000002</v>
      </c>
      <c r="I222" s="8">
        <f>IFERROR(H222/H444, "NA")</f>
        <v>0.13592072827500473</v>
      </c>
      <c r="J222" s="9"/>
      <c r="K222" s="7">
        <v>62.5</v>
      </c>
      <c r="L222" s="8">
        <f>IFERROR(K222/K444, "NA")</f>
        <v>8.6873268442013405E-4</v>
      </c>
      <c r="M222" s="9"/>
      <c r="N222" s="10">
        <f t="shared" si="57"/>
        <v>-217.60000000000002</v>
      </c>
      <c r="O222" s="8">
        <f>IFERROR(N222/N444, "NA")</f>
        <v>-2.8438199192857023E-2</v>
      </c>
      <c r="P222" s="9"/>
      <c r="Q222" s="7">
        <v>1226.6199999999999</v>
      </c>
      <c r="R222" s="8">
        <f>IFERROR(Q222/Q444, "NA")</f>
        <v>2.070468720751055E-3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-1226.6199999999999</v>
      </c>
      <c r="X222" s="8">
        <f>IFERROR(W222/W444, "NA")</f>
        <v>2.7653482667820983E-2</v>
      </c>
      <c r="Y222" s="9"/>
      <c r="Z222" s="7">
        <v>437.5</v>
      </c>
      <c r="AA222" s="8">
        <f>IFERROR(Z222/Z444, "NA")</f>
        <v>7.7001245202536423E-4</v>
      </c>
      <c r="AB222" s="9"/>
      <c r="AC222" s="10">
        <f t="shared" si="59"/>
        <v>-789.11999999999989</v>
      </c>
      <c r="AD222" s="8">
        <f>IFERROR(AC222/AC444, "NA")</f>
        <v>-3.2523233677900762E-2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81.66</v>
      </c>
      <c r="F226" s="8">
        <f>IFERROR(E226/E444, "NA")</f>
        <v>1.0000450669341943E-3</v>
      </c>
      <c r="G226" s="9"/>
      <c r="H226" s="10">
        <f t="shared" si="56"/>
        <v>81.66</v>
      </c>
      <c r="I226" s="8">
        <f>IFERROR(H226/H444, "NA")</f>
        <v>-3.96261573400103E-2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636.79</v>
      </c>
      <c r="U226" s="8">
        <f>IFERROR(T226/T444, "NA")</f>
        <v>9.9999576000164587E-4</v>
      </c>
      <c r="V226" s="9"/>
      <c r="W226" s="10">
        <f t="shared" si="58"/>
        <v>636.79</v>
      </c>
      <c r="X226" s="8">
        <f>IFERROR(W226/W444, "NA")</f>
        <v>-1.4356085200014451E-2</v>
      </c>
      <c r="Y226" s="9"/>
      <c r="Z226" s="7">
        <v>1554.17</v>
      </c>
      <c r="AA226" s="8">
        <f>IFERROR(Z226/Z444, "NA")</f>
        <v>2.735383434432595E-3</v>
      </c>
      <c r="AB226" s="9"/>
      <c r="AC226" s="10">
        <f t="shared" si="59"/>
        <v>1554.17</v>
      </c>
      <c r="AD226" s="8">
        <f>IFERROR(AC226/AC444, "NA")</f>
        <v>6.4054432893834959E-2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2367.79</v>
      </c>
      <c r="C227" s="15">
        <f>IFERROR(B227/B444, "NA")</f>
        <v>2.9747764825073159E-2</v>
      </c>
      <c r="D227" s="2"/>
      <c r="E227" s="14">
        <f>IFERROR(E211+E213+E214+E215+E216+E217+E219+E220+E221+E222+E223+E224+E225+E226, "NA")</f>
        <v>2788.02</v>
      </c>
      <c r="F227" s="15">
        <f>IFERROR(E227/E444, "NA")</f>
        <v>3.4143346161080973E-2</v>
      </c>
      <c r="G227" s="2"/>
      <c r="H227" s="14">
        <f t="shared" si="56"/>
        <v>420.23</v>
      </c>
      <c r="I227" s="15">
        <f>IFERROR(H227/H444, "NA")</f>
        <v>-0.2039199130417895</v>
      </c>
      <c r="J227" s="2"/>
      <c r="K227" s="14">
        <f>IFERROR(K211+K213+K214+K215+K216+K217+K219+K220+K221+K222+K223+K224+K225+K226, "NA")</f>
        <v>565</v>
      </c>
      <c r="L227" s="15">
        <f>IFERROR(K227/K444, "NA")</f>
        <v>7.8533434671580124E-3</v>
      </c>
      <c r="M227" s="2"/>
      <c r="N227" s="14">
        <f t="shared" si="57"/>
        <v>-1802.79</v>
      </c>
      <c r="O227" s="15">
        <f>IFERROR(N227/N444, "NA")</f>
        <v>-0.23560708236622566</v>
      </c>
      <c r="P227" s="2"/>
      <c r="Q227" s="14">
        <f>IFERROR(Q211+Q213+Q214+Q215+Q216+Q217+Q219+Q220+Q221+Q222+Q223+Q224+Q225+Q226, "NA")</f>
        <v>23368.98</v>
      </c>
      <c r="R227" s="15">
        <f>IFERROR(Q227/Q444, "NA")</f>
        <v>3.9445583901988379E-2</v>
      </c>
      <c r="S227" s="2"/>
      <c r="T227" s="14">
        <f>IFERROR(T211+T213+T214+T215+T216+T217+T219+T220+T221+T222+T223+T224+T225+T226, "NA")</f>
        <v>22010.080000000002</v>
      </c>
      <c r="U227" s="15">
        <f>IFERROR(T227/T444, "NA")</f>
        <v>3.4563964065542845E-2</v>
      </c>
      <c r="V227" s="2"/>
      <c r="W227" s="14">
        <f t="shared" si="58"/>
        <v>-1358.8999999999978</v>
      </c>
      <c r="X227" s="15">
        <f>IFERROR(W227/W444, "NA")</f>
        <v>3.0635663528478158E-2</v>
      </c>
      <c r="Y227" s="2"/>
      <c r="Z227" s="14">
        <f>IFERROR(Z211+Z213+Z214+Z215+Z216+Z217+Z219+Z220+Z221+Z222+Z223+Z224+Z225+Z226, "NA")</f>
        <v>5995.1100000000006</v>
      </c>
      <c r="AA227" s="15">
        <f>IFERROR(Z227/Z444, "NA")</f>
        <v>1.05515642314555E-2</v>
      </c>
      <c r="AB227" s="2"/>
      <c r="AC227" s="14">
        <f t="shared" si="59"/>
        <v>-17373.87</v>
      </c>
      <c r="AD227" s="15">
        <f>IFERROR(AC227/AC444, "NA")</f>
        <v>-0.71605640954413752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668.77</v>
      </c>
      <c r="F229" s="8">
        <f>IFERROR(E229/E444, "NA")</f>
        <v>8.1900580383735145E-3</v>
      </c>
      <c r="G229" s="9"/>
      <c r="H229" s="10">
        <f t="shared" ref="H229:H236" si="60">IFERROR(-(B229-E229), "NA")</f>
        <v>668.77</v>
      </c>
      <c r="I229" s="8">
        <f>IFERROR(H229/H444, "NA")</f>
        <v>-0.32452590306488721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5215.34</v>
      </c>
      <c r="U229" s="8">
        <f>IFERROR(T229/T444, "NA")</f>
        <v>8.1900122284693285E-3</v>
      </c>
      <c r="V229" s="9"/>
      <c r="W229" s="10">
        <f t="shared" ref="W229:W236" si="62">IFERROR(-(Q229-T229), "NA")</f>
        <v>5215.34</v>
      </c>
      <c r="X229" s="8">
        <f>IFERROR(W229/W444, "NA")</f>
        <v>-0.1175770118674027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1.4170309395497471E-4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1.8926072214406841E-3</v>
      </c>
      <c r="Y230" s="9"/>
      <c r="Z230" s="7">
        <v>730</v>
      </c>
      <c r="AA230" s="8">
        <f>IFERROR(Z230/Z444, "NA")</f>
        <v>1.2848207770937506E-3</v>
      </c>
      <c r="AB230" s="9"/>
      <c r="AC230" s="10">
        <f t="shared" si="63"/>
        <v>646.04999999999995</v>
      </c>
      <c r="AD230" s="8">
        <f>IFERROR(AC230/AC444, "NA")</f>
        <v>2.6626666562256426E-2</v>
      </c>
    </row>
    <row r="231" spans="1:30" ht="16.5" customHeight="1" x14ac:dyDescent="0.45">
      <c r="A231" s="6" t="s">
        <v>210</v>
      </c>
      <c r="B231" s="7">
        <v>63</v>
      </c>
      <c r="C231" s="8">
        <f>IFERROR(B231/B444, "NA")</f>
        <v>7.915014355072067E-4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-63</v>
      </c>
      <c r="I231" s="8">
        <f>IFERROR(H231/H444, "NA")</f>
        <v>3.0571245559890388E-2</v>
      </c>
      <c r="J231" s="9"/>
      <c r="K231" s="7">
        <v>145.01</v>
      </c>
      <c r="L231" s="8">
        <f>IFERROR(K231/K444, "NA")</f>
        <v>2.0155988250842184E-3</v>
      </c>
      <c r="M231" s="9"/>
      <c r="N231" s="10">
        <f t="shared" si="61"/>
        <v>82.009999999999991</v>
      </c>
      <c r="O231" s="8">
        <f>IFERROR(N231/N444, "NA")</f>
        <v>1.0717907701315275E-2</v>
      </c>
      <c r="P231" s="9"/>
      <c r="Q231" s="7">
        <v>797.05</v>
      </c>
      <c r="R231" s="8">
        <f>IFERROR(Q231/Q444, "NA")</f>
        <v>1.3453776180680473E-3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-797.05</v>
      </c>
      <c r="X231" s="8">
        <f>IFERROR(W231/W444, "NA")</f>
        <v>1.7969059986292998E-2</v>
      </c>
      <c r="Y231" s="9"/>
      <c r="Z231" s="7">
        <v>1543.03</v>
      </c>
      <c r="AA231" s="8">
        <f>IFERROR(Z231/Z444, "NA")</f>
        <v>2.715776717368452E-3</v>
      </c>
      <c r="AB231" s="9"/>
      <c r="AC231" s="10">
        <f t="shared" si="63"/>
        <v>745.98</v>
      </c>
      <c r="AD231" s="8">
        <f>IFERROR(AC231/AC444, "NA")</f>
        <v>3.0745237554542296E-2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2.9920483850128435E-5</v>
      </c>
      <c r="AB233" s="9"/>
      <c r="AC233" s="10">
        <f t="shared" si="63"/>
        <v>17</v>
      </c>
      <c r="AD233" s="8">
        <f>IFERROR(AC233/AC444, "NA")</f>
        <v>7.0064752195396528E-4</v>
      </c>
    </row>
    <row r="234" spans="1:30" ht="16.5" customHeight="1" x14ac:dyDescent="0.45">
      <c r="A234" s="6" t="s">
        <v>213</v>
      </c>
      <c r="B234" s="7">
        <v>374.27</v>
      </c>
      <c r="C234" s="8">
        <f>IFERROR(B234/B444, "NA")</f>
        <v>4.7021467026552733E-3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-374.27</v>
      </c>
      <c r="I234" s="8">
        <f>IFERROR(H234/H444, "NA")</f>
        <v>0.18161746151905039</v>
      </c>
      <c r="J234" s="9"/>
      <c r="K234" s="7">
        <v>438.45</v>
      </c>
      <c r="L234" s="8">
        <f>IFERROR(K234/K444, "NA")</f>
        <v>6.0943335277441248E-3</v>
      </c>
      <c r="M234" s="9"/>
      <c r="N234" s="10">
        <f t="shared" si="61"/>
        <v>64.180000000000007</v>
      </c>
      <c r="O234" s="8">
        <f>IFERROR(N234/N444, "NA")</f>
        <v>8.3877004788490972E-3</v>
      </c>
      <c r="P234" s="9"/>
      <c r="Q234" s="7">
        <v>4240.7700000000004</v>
      </c>
      <c r="R234" s="8">
        <f>IFERROR(Q234/Q444, "NA")</f>
        <v>7.1581921352166546E-3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-4240.7700000000004</v>
      </c>
      <c r="X234" s="8">
        <f>IFERROR(W234/W444, "NA")</f>
        <v>9.560585975543788E-2</v>
      </c>
      <c r="Y234" s="9"/>
      <c r="Z234" s="7">
        <v>4781.53</v>
      </c>
      <c r="AA234" s="8">
        <f>IFERROR(Z234/Z444, "NA")</f>
        <v>8.4156288908179191E-3</v>
      </c>
      <c r="AB234" s="9"/>
      <c r="AC234" s="10">
        <f t="shared" si="63"/>
        <v>540.75999999999931</v>
      </c>
      <c r="AD234" s="8">
        <f>IFERROR(AC234/AC444, "NA")</f>
        <v>2.2287185527754456E-2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437.27</v>
      </c>
      <c r="C236" s="15">
        <f>IFERROR(B236/B444, "NA")</f>
        <v>5.49364813816248E-3</v>
      </c>
      <c r="D236" s="2"/>
      <c r="E236" s="14">
        <f>IFERROR(E229+E230+E231+E232+E233+E234+E235, "NA")</f>
        <v>668.77</v>
      </c>
      <c r="F236" s="15">
        <f>IFERROR(E236/E444, "NA")</f>
        <v>8.1900580383735145E-3</v>
      </c>
      <c r="G236" s="2"/>
      <c r="H236" s="14">
        <f t="shared" si="60"/>
        <v>231.5</v>
      </c>
      <c r="I236" s="15">
        <f>IFERROR(H236/H444, "NA")</f>
        <v>-0.11233719598594642</v>
      </c>
      <c r="J236" s="2"/>
      <c r="K236" s="14">
        <f>IFERROR(K229+K230+K231+K232+K233+K234+K235, "NA")</f>
        <v>583.46</v>
      </c>
      <c r="L236" s="15">
        <f>IFERROR(K236/K444, "NA")</f>
        <v>8.1099323528283432E-3</v>
      </c>
      <c r="M236" s="2"/>
      <c r="N236" s="14">
        <f t="shared" si="61"/>
        <v>146.19000000000005</v>
      </c>
      <c r="O236" s="15">
        <f>IFERROR(N236/N444, "NA")</f>
        <v>1.910560818016438E-2</v>
      </c>
      <c r="P236" s="2"/>
      <c r="Q236" s="14">
        <f>IFERROR(Q229+Q230+Q231+Q232+Q233+Q234+Q235, "NA")</f>
        <v>5121.7700000000004</v>
      </c>
      <c r="R236" s="15">
        <f>IFERROR(Q236/Q444, "NA")</f>
        <v>8.6452728472396767E-3</v>
      </c>
      <c r="S236" s="2"/>
      <c r="T236" s="14">
        <f>IFERROR(T229+T230+T231+T232+T233+T234+T235, "NA")</f>
        <v>5215.34</v>
      </c>
      <c r="U236" s="15">
        <f>IFERROR(T236/T444, "NA")</f>
        <v>8.1900122284693285E-3</v>
      </c>
      <c r="V236" s="2"/>
      <c r="W236" s="14">
        <f t="shared" si="62"/>
        <v>93.569999999999709</v>
      </c>
      <c r="X236" s="15">
        <f>IFERROR(W236/W444, "NA")</f>
        <v>-2.1094849042311405E-3</v>
      </c>
      <c r="Y236" s="2"/>
      <c r="Z236" s="14">
        <f>IFERROR(Z229+Z230+Z231+Z232+Z233+Z234+Z235, "NA")</f>
        <v>7071.5599999999995</v>
      </c>
      <c r="AA236" s="15">
        <f>IFERROR(Z236/Z444, "NA")</f>
        <v>1.2446146869130249E-2</v>
      </c>
      <c r="AB236" s="2"/>
      <c r="AC236" s="14">
        <f t="shared" si="63"/>
        <v>1949.7899999999991</v>
      </c>
      <c r="AD236" s="15">
        <f>IFERROR(AC236/AC444, "NA")</f>
        <v>8.0359737166507128E-2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4087.39</v>
      </c>
      <c r="F240" s="8">
        <f>IFERROR(E240/E444, "NA")</f>
        <v>5.0056015260055799E-2</v>
      </c>
      <c r="G240" s="9"/>
      <c r="H240" s="10">
        <f t="shared" ref="H240:H263" si="64">IFERROR(-(B240-E240), "NA")</f>
        <v>4087.39</v>
      </c>
      <c r="I240" s="8">
        <f>IFERROR(H240/H444, "NA")</f>
        <v>-1.9834381490323867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32013.39</v>
      </c>
      <c r="U240" s="8">
        <f>IFERROR(T240/T444, "NA")</f>
        <v>5.0272859597793762E-2</v>
      </c>
      <c r="V240" s="9"/>
      <c r="W240" s="10">
        <f t="shared" ref="W240:W263" si="66">IFERROR(-(Q240-T240), "NA")</f>
        <v>32013.39</v>
      </c>
      <c r="X240" s="8">
        <f>IFERROR(W240/W444, "NA")</f>
        <v>-0.72172451574505037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67.290000000000006</v>
      </c>
      <c r="C241" s="8">
        <f>IFERROR(B241/B444, "NA")</f>
        <v>8.4539891421079282E-4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-67.290000000000006</v>
      </c>
      <c r="I241" s="8">
        <f>IFERROR(H241/H444, "NA")</f>
        <v>3.2653001805159114E-2</v>
      </c>
      <c r="J241" s="9"/>
      <c r="K241" s="7">
        <v>236.22</v>
      </c>
      <c r="L241" s="8">
        <f>IFERROR(K241/K444, "NA")</f>
        <v>3.2833925554195853E-3</v>
      </c>
      <c r="M241" s="9"/>
      <c r="N241" s="10">
        <f t="shared" si="65"/>
        <v>168.93</v>
      </c>
      <c r="O241" s="8">
        <f>IFERROR(N241/N444, "NA")</f>
        <v>2.2077504548020849E-2</v>
      </c>
      <c r="P241" s="9"/>
      <c r="Q241" s="7">
        <v>946.3</v>
      </c>
      <c r="R241" s="8">
        <f>IFERROR(Q241/Q444, "NA")</f>
        <v>1.5973036070231394E-3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-946.3</v>
      </c>
      <c r="X241" s="8">
        <f>IFERROR(W241/W444, "NA")</f>
        <v>2.1333820293619049E-2</v>
      </c>
      <c r="Y241" s="9"/>
      <c r="Z241" s="7">
        <v>707.11</v>
      </c>
      <c r="AA241" s="8">
        <f>IFERROR(Z241/Z444, "NA")</f>
        <v>1.2445337256037836E-3</v>
      </c>
      <c r="AB241" s="9"/>
      <c r="AC241" s="10">
        <f t="shared" si="67"/>
        <v>-239.18999999999994</v>
      </c>
      <c r="AD241" s="8">
        <f>IFERROR(AC241/AC444, "NA")</f>
        <v>-9.8581106338922891E-3</v>
      </c>
    </row>
    <row r="242" spans="1:30" ht="16.5" customHeight="1" x14ac:dyDescent="0.45">
      <c r="A242" s="12" t="s">
        <v>219</v>
      </c>
      <c r="B242" s="7">
        <v>556.16</v>
      </c>
      <c r="C242" s="8">
        <f>IFERROR(B242/B444, "NA")</f>
        <v>6.9873244185982234E-3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-556.16</v>
      </c>
      <c r="I242" s="8">
        <f>IFERROR(H242/H444, "NA")</f>
        <v>0.26988101477124821</v>
      </c>
      <c r="J242" s="9"/>
      <c r="K242" s="7">
        <v>420.2</v>
      </c>
      <c r="L242" s="8">
        <f>IFERROR(K242/K444, "NA")</f>
        <v>5.8406635838934452E-3</v>
      </c>
      <c r="M242" s="9"/>
      <c r="N242" s="10">
        <f t="shared" si="65"/>
        <v>-135.95999999999998</v>
      </c>
      <c r="O242" s="8">
        <f>IFERROR(N242/N444, "NA")</f>
        <v>-1.7768646885389889E-2</v>
      </c>
      <c r="P242" s="9"/>
      <c r="Q242" s="7">
        <v>4219.96</v>
      </c>
      <c r="R242" s="8">
        <f>IFERROR(Q242/Q444, "NA")</f>
        <v>7.1230659722005367E-3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-4219.96</v>
      </c>
      <c r="X242" s="8">
        <f>IFERROR(W242/W444, "NA")</f>
        <v>9.513670959131422E-2</v>
      </c>
      <c r="Y242" s="9"/>
      <c r="Z242" s="7">
        <v>3613.58</v>
      </c>
      <c r="AA242" s="8">
        <f>IFERROR(Z242/Z444, "NA")</f>
        <v>6.3600036488910064E-3</v>
      </c>
      <c r="AB242" s="9"/>
      <c r="AC242" s="10">
        <f t="shared" si="67"/>
        <v>-606.38000000000011</v>
      </c>
      <c r="AD242" s="8">
        <f>IFERROR(AC242/AC444, "NA")</f>
        <v>-2.4991684962496798E-2</v>
      </c>
    </row>
    <row r="243" spans="1:30" ht="16.5" customHeight="1" x14ac:dyDescent="0.45">
      <c r="A243" s="12" t="s">
        <v>220</v>
      </c>
      <c r="B243" s="7">
        <v>274.13</v>
      </c>
      <c r="C243" s="8">
        <f>IFERROR(B243/B444, "NA")</f>
        <v>3.4440363256442947E-3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-274.13</v>
      </c>
      <c r="I243" s="8">
        <f>IFERROR(H243/H444, "NA")</f>
        <v>0.13302373881480559</v>
      </c>
      <c r="J243" s="9"/>
      <c r="K243" s="7">
        <v>619.14</v>
      </c>
      <c r="L243" s="8">
        <f>IFERROR(K243/K444, "NA")</f>
        <v>8.6058744677101097E-3</v>
      </c>
      <c r="M243" s="9"/>
      <c r="N243" s="10">
        <f t="shared" si="65"/>
        <v>345.01</v>
      </c>
      <c r="O243" s="8">
        <f>IFERROR(N243/N444, "NA")</f>
        <v>4.5089444409593747E-2</v>
      </c>
      <c r="P243" s="9"/>
      <c r="Q243" s="7">
        <v>6004.95</v>
      </c>
      <c r="R243" s="8">
        <f>IFERROR(Q243/Q444, "NA")</f>
        <v>1.013603328225045E-2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-6004.95</v>
      </c>
      <c r="X243" s="8">
        <f>IFERROR(W243/W444, "NA")</f>
        <v>0.13537834108862698</v>
      </c>
      <c r="Y243" s="9"/>
      <c r="Z243" s="7">
        <v>5887.59</v>
      </c>
      <c r="AA243" s="8">
        <f>IFERROR(Z243/Z444, "NA")</f>
        <v>1.0362325971245746E-2</v>
      </c>
      <c r="AB243" s="9"/>
      <c r="AC243" s="10">
        <f t="shared" si="67"/>
        <v>-117.35999999999967</v>
      </c>
      <c r="AD243" s="8">
        <f>IFERROR(AC243/AC444, "NA")</f>
        <v>-4.8369407750892433E-3</v>
      </c>
    </row>
    <row r="244" spans="1:30" ht="16.5" customHeight="1" x14ac:dyDescent="0.45">
      <c r="A244" s="12" t="s">
        <v>221</v>
      </c>
      <c r="B244" s="7">
        <v>1467.61</v>
      </c>
      <c r="C244" s="8">
        <f>IFERROR(B244/B444, "NA")</f>
        <v>1.8438340028011611E-2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-1467.61</v>
      </c>
      <c r="I244" s="8">
        <f>IFERROR(H244/H444, "NA")</f>
        <v>0.7121692967642973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-1467.61</v>
      </c>
      <c r="O244" s="8">
        <f>IFERROR(N244/N444, "NA")</f>
        <v>-0.19180232314994894</v>
      </c>
      <c r="P244" s="9"/>
      <c r="Q244" s="7">
        <v>4711.1899999999996</v>
      </c>
      <c r="R244" s="8">
        <f>IFERROR(Q244/Q444, "NA")</f>
        <v>7.9522358452619075E-3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-4711.1899999999996</v>
      </c>
      <c r="X244" s="8">
        <f>IFERROR(W244/W444, "NA")</f>
        <v>0.10621122353280685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-4711.1899999999996</v>
      </c>
      <c r="AD244" s="8">
        <f>IFERROR(AC244/AC444, "NA")</f>
        <v>-0.19416962346790009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185.58</v>
      </c>
      <c r="C246" s="8">
        <f>IFERROR(B246/B444, "NA")</f>
        <v>2.3315370857369434E-3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-185.58</v>
      </c>
      <c r="I246" s="8">
        <f>IFERROR(H246/H444, "NA")</f>
        <v>9.0054154777848547E-2</v>
      </c>
      <c r="J246" s="9"/>
      <c r="K246" s="7">
        <v>48.38</v>
      </c>
      <c r="L246" s="8">
        <f>IFERROR(K246/K444, "NA")</f>
        <v>6.7246859635593746E-4</v>
      </c>
      <c r="M246" s="9"/>
      <c r="N246" s="10">
        <f t="shared" si="65"/>
        <v>-137.20000000000002</v>
      </c>
      <c r="O246" s="8">
        <f>IFERROR(N246/N444, "NA")</f>
        <v>-1.7930702799908011E-2</v>
      </c>
      <c r="P246" s="9"/>
      <c r="Q246" s="7">
        <v>1120.21</v>
      </c>
      <c r="R246" s="8">
        <f>IFERROR(Q246/Q444, "NA")</f>
        <v>1.8908543523442789E-3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-1120.21</v>
      </c>
      <c r="X246" s="8">
        <f>IFERROR(W246/W444, "NA")</f>
        <v>2.5254526927100281E-2</v>
      </c>
      <c r="Y246" s="9"/>
      <c r="Z246" s="7">
        <v>48.38</v>
      </c>
      <c r="AA246" s="8">
        <f>IFERROR(Z246/Z444, "NA")</f>
        <v>8.5150176980541993E-5</v>
      </c>
      <c r="AB246" s="9"/>
      <c r="AC246" s="10">
        <f t="shared" si="67"/>
        <v>-1071.83</v>
      </c>
      <c r="AD246" s="8">
        <f>IFERROR(AC246/AC444, "NA")</f>
        <v>-4.417500196799521E-2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25.08</v>
      </c>
      <c r="L247" s="8">
        <f>IFERROR(K247/K444, "NA")</f>
        <v>3.4860505160411138E-4</v>
      </c>
      <c r="M247" s="9"/>
      <c r="N247" s="10">
        <f t="shared" si="65"/>
        <v>25.08</v>
      </c>
      <c r="O247" s="8">
        <f>IFERROR(N247/N444, "NA")</f>
        <v>3.277711561382601E-3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264.64999999999998</v>
      </c>
      <c r="AA247" s="8">
        <f>IFERROR(Z247/Z444, "NA")</f>
        <v>4.6579153240802881E-4</v>
      </c>
      <c r="AB247" s="9"/>
      <c r="AC247" s="10">
        <f t="shared" si="67"/>
        <v>264.64999999999998</v>
      </c>
      <c r="AD247" s="8">
        <f>IFERROR(AC247/AC444, "NA")</f>
        <v>1.0907433334418641E-2</v>
      </c>
    </row>
    <row r="248" spans="1:30" ht="16.5" customHeight="1" x14ac:dyDescent="0.45">
      <c r="A248" s="12" t="s">
        <v>225</v>
      </c>
      <c r="B248" s="7">
        <v>201.55</v>
      </c>
      <c r="C248" s="8">
        <f>IFERROR(B248/B444, "NA")</f>
        <v>2.5321764178805957E-3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-201.55</v>
      </c>
      <c r="I248" s="8">
        <f>IFERROR(H248/H444, "NA")</f>
        <v>9.7803722898347739E-2</v>
      </c>
      <c r="J248" s="9"/>
      <c r="K248" s="7">
        <v>205.72</v>
      </c>
      <c r="L248" s="8">
        <f>IFERROR(K248/K444, "NA")</f>
        <v>2.8594510054225598E-3</v>
      </c>
      <c r="M248" s="9"/>
      <c r="N248" s="10">
        <f t="shared" si="65"/>
        <v>4.1699999999999875</v>
      </c>
      <c r="O248" s="8">
        <f>IFERROR(N248/N444, "NA")</f>
        <v>5.4497835769399552E-4</v>
      </c>
      <c r="P248" s="9"/>
      <c r="Q248" s="7">
        <v>1417.03</v>
      </c>
      <c r="R248" s="8">
        <f>IFERROR(Q248/Q444, "NA")</f>
        <v>2.3918705804290385E-3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-1417.03</v>
      </c>
      <c r="X248" s="8">
        <f>IFERROR(W248/W444, "NA")</f>
        <v>3.1946172852865898E-2</v>
      </c>
      <c r="Y248" s="9"/>
      <c r="Z248" s="7">
        <v>1434.39</v>
      </c>
      <c r="AA248" s="8">
        <f>IFERROR(Z248/Z444, "NA")</f>
        <v>2.5245672252815136E-3</v>
      </c>
      <c r="AB248" s="9"/>
      <c r="AC248" s="10">
        <f t="shared" si="67"/>
        <v>17.360000000000127</v>
      </c>
      <c r="AD248" s="8">
        <f>IFERROR(AC248/AC444, "NA")</f>
        <v>7.1548476359534858E-4</v>
      </c>
    </row>
    <row r="249" spans="1:30" ht="16.5" customHeight="1" x14ac:dyDescent="0.45">
      <c r="A249" s="12" t="s">
        <v>226</v>
      </c>
      <c r="B249" s="7">
        <v>1040.3</v>
      </c>
      <c r="C249" s="8">
        <f>IFERROR(B249/B444, "NA")</f>
        <v>1.3069824497748366E-2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-1040.3</v>
      </c>
      <c r="I249" s="8">
        <f>IFERROR(H249/H444, "NA")</f>
        <v>0.50481375803101536</v>
      </c>
      <c r="J249" s="9"/>
      <c r="K249" s="7">
        <v>1609.9</v>
      </c>
      <c r="L249" s="8">
        <f>IFERROR(K249/K444, "NA")</f>
        <v>2.2377163978367583E-2</v>
      </c>
      <c r="M249" s="9"/>
      <c r="N249" s="10">
        <f t="shared" si="65"/>
        <v>569.60000000000014</v>
      </c>
      <c r="O249" s="8">
        <f>IFERROR(N249/N444, "NA")</f>
        <v>7.4441168475419858E-2</v>
      </c>
      <c r="P249" s="9"/>
      <c r="Q249" s="7">
        <v>10030.41</v>
      </c>
      <c r="R249" s="8">
        <f>IFERROR(Q249/Q444, "NA")</f>
        <v>1.6930793694305155E-2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-10030.41</v>
      </c>
      <c r="X249" s="8">
        <f>IFERROR(W249/W444, "NA")</f>
        <v>0.22613015366302383</v>
      </c>
      <c r="Y249" s="9"/>
      <c r="Z249" s="7">
        <v>10681.85</v>
      </c>
      <c r="AA249" s="8">
        <f>IFERROR(Z249/Z444, "NA")</f>
        <v>1.8800360024382026E-2</v>
      </c>
      <c r="AB249" s="9"/>
      <c r="AC249" s="10">
        <f t="shared" si="67"/>
        <v>651.44000000000051</v>
      </c>
      <c r="AD249" s="8">
        <f>IFERROR(AC249/AC444, "NA")</f>
        <v>2.6848813041275971E-2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7.9729289318283427E-6</v>
      </c>
      <c r="AB250" s="9"/>
      <c r="AC250" s="10">
        <f t="shared" si="67"/>
        <v>4.53</v>
      </c>
      <c r="AD250" s="8">
        <f>IFERROR(AC250/AC444, "NA")</f>
        <v>1.8670195732067428E-4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29.09</v>
      </c>
      <c r="R251" s="8">
        <f>IFERROR(Q251/Q444, "NA")</f>
        <v>4.9102358584278907E-5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6.5581827363561044E-4</v>
      </c>
      <c r="Y251" s="9"/>
      <c r="Z251" s="7">
        <v>175.77</v>
      </c>
      <c r="AA251" s="8">
        <f>IFERROR(Z251/Z444, "NA")</f>
        <v>3.0936020272571036E-4</v>
      </c>
      <c r="AB251" s="9"/>
      <c r="AC251" s="10">
        <f t="shared" si="67"/>
        <v>146.68</v>
      </c>
      <c r="AD251" s="8">
        <f>IFERROR(AC251/AC444, "NA")</f>
        <v>6.0453516776592725E-3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117.59</v>
      </c>
      <c r="AA252" s="8">
        <f>IFERROR(Z252/Z444, "NA")</f>
        <v>2.0696174681980017E-4</v>
      </c>
      <c r="AB252" s="9"/>
      <c r="AC252" s="10">
        <f t="shared" si="67"/>
        <v>117.59</v>
      </c>
      <c r="AD252" s="8">
        <f>IFERROR(AC252/AC444, "NA")</f>
        <v>4.8464201239156925E-3</v>
      </c>
    </row>
    <row r="253" spans="1:30" ht="16.5" customHeight="1" x14ac:dyDescent="0.45">
      <c r="A253" s="12" t="s">
        <v>230</v>
      </c>
      <c r="B253" s="7">
        <v>249.49</v>
      </c>
      <c r="C253" s="8">
        <f>IFERROR(B253/B444, "NA")</f>
        <v>3.1344713197570318E-3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-249.49</v>
      </c>
      <c r="I253" s="8">
        <f>IFERROR(H253/H444, "NA")</f>
        <v>0.12106698499582624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-249.49</v>
      </c>
      <c r="O253" s="8">
        <f>IFERROR(N253/N444, "NA")</f>
        <v>-3.2605911381552839E-2</v>
      </c>
      <c r="P253" s="9"/>
      <c r="Q253" s="7">
        <v>1374.17</v>
      </c>
      <c r="R253" s="8">
        <f>IFERROR(Q253/Q444, "NA")</f>
        <v>2.3195252009542301E-3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-1374.17</v>
      </c>
      <c r="X253" s="8">
        <f>IFERROR(W253/W444, "NA")</f>
        <v>3.0979917397107145E-2</v>
      </c>
      <c r="Y253" s="9"/>
      <c r="Z253" s="7">
        <v>3664.95</v>
      </c>
      <c r="AA253" s="8">
        <f>IFERROR(Z253/Z444, "NA")</f>
        <v>6.4504163109722476E-3</v>
      </c>
      <c r="AB253" s="9"/>
      <c r="AC253" s="10">
        <f t="shared" si="67"/>
        <v>2290.7799999999997</v>
      </c>
      <c r="AD253" s="8">
        <f>IFERROR(AC253/AC444, "NA")</f>
        <v>9.4413490020100257E-2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721.84</v>
      </c>
      <c r="R254" s="8">
        <f>IFERROR(Q254/Q444, "NA")</f>
        <v>1.2184271749905769E-3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1.6273491324892714E-2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-721.84</v>
      </c>
      <c r="AD254" s="8">
        <f>IFERROR(AC254/AC444, "NA")</f>
        <v>-2.9750318073367664E-2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606.23</v>
      </c>
      <c r="C258" s="8">
        <f>IFERROR(B258/B444, "NA")</f>
        <v>7.6163796071037132E-3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-606.23</v>
      </c>
      <c r="I258" s="8">
        <f>IFERROR(H258/H444, "NA")</f>
        <v>0.29417787612337065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-606.23</v>
      </c>
      <c r="O258" s="8">
        <f>IFERROR(N258/N444, "NA")</f>
        <v>-7.9228352466386542E-2</v>
      </c>
      <c r="P258" s="9"/>
      <c r="Q258" s="7">
        <v>1669.27</v>
      </c>
      <c r="R258" s="8">
        <f>IFERROR(Q258/Q444, "NA")</f>
        <v>2.8176381613605793E-3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-1669.27</v>
      </c>
      <c r="X258" s="8">
        <f>IFERROR(W258/W444, "NA")</f>
        <v>3.7632786855679459E-2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-1669.27</v>
      </c>
      <c r="AD258" s="8">
        <f>IFERROR(AC258/AC444, "NA")</f>
        <v>-6.8798228763064448E-2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4648.34</v>
      </c>
      <c r="C262" s="15">
        <f>IFERROR(B262/B444, "NA")</f>
        <v>5.8399488614691575E-2</v>
      </c>
      <c r="D262" s="2"/>
      <c r="E262" s="14">
        <f>IFERROR(E240+E241+E242+E243+E244+E245+E246+E247+E248+E249+E250+E251+E252+E253+E254+E255+E256+E257+E258+E259+E260+E261, "NA")</f>
        <v>4087.39</v>
      </c>
      <c r="F262" s="15">
        <f>IFERROR(E262/E444, "NA")</f>
        <v>5.0056015260055799E-2</v>
      </c>
      <c r="G262" s="2"/>
      <c r="H262" s="14">
        <f t="shared" si="64"/>
        <v>-560.95000000000027</v>
      </c>
      <c r="I262" s="15">
        <f>IFERROR(H262/H444, "NA")</f>
        <v>0.27220539994953208</v>
      </c>
      <c r="J262" s="2"/>
      <c r="K262" s="14">
        <f>IFERROR(K240+K241+K242+K243+K244+K245+K246+K247+K248+K249+K250+K251+K252+K253+K254+K255+K256+K257+K258+K259+K260+K261, "NA")</f>
        <v>3164.6400000000003</v>
      </c>
      <c r="L262" s="15">
        <f>IFERROR(K262/K444, "NA")</f>
        <v>4.3987619238773333E-2</v>
      </c>
      <c r="M262" s="2"/>
      <c r="N262" s="14">
        <f t="shared" si="65"/>
        <v>-1483.6999999999998</v>
      </c>
      <c r="O262" s="15">
        <f>IFERROR(N262/N444, "NA")</f>
        <v>-0.19390512933107515</v>
      </c>
      <c r="P262" s="2"/>
      <c r="Q262" s="14">
        <f>IFERROR(Q240+Q241+Q242+Q243+Q244+Q245+Q246+Q247+Q248+Q249+Q250+Q251+Q252+Q253+Q254+Q255+Q256+Q257+Q258+Q259+Q260+Q261, "NA")</f>
        <v>32244.42</v>
      </c>
      <c r="R262" s="15">
        <f>IFERROR(Q262/Q444, "NA")</f>
        <v>5.4426850229704171E-2</v>
      </c>
      <c r="S262" s="2"/>
      <c r="T262" s="14">
        <f>IFERROR(T240+T241+T242+T243+T244+T245+T246+T247+T248+T249+T250+T251+T252+T253+T254+T255+T256+T257+T258+T259+T260+T261, "NA")</f>
        <v>32013.39</v>
      </c>
      <c r="U262" s="15">
        <f>IFERROR(T262/T444, "NA")</f>
        <v>5.0272859597793762E-2</v>
      </c>
      <c r="V262" s="2"/>
      <c r="W262" s="14">
        <f t="shared" si="66"/>
        <v>-231.02999999999884</v>
      </c>
      <c r="X262" s="15">
        <f>IFERROR(W262/W444, "NA")</f>
        <v>5.2084460556216681E-3</v>
      </c>
      <c r="Y262" s="2"/>
      <c r="Z262" s="14">
        <f>IFERROR(Z240+Z241+Z242+Z243+Z244+Z245+Z246+Z247+Z248+Z249+Z250+Z251+Z252+Z253+Z254+Z255+Z256+Z257+Z258+Z259+Z260+Z261, "NA")</f>
        <v>26600.389999999996</v>
      </c>
      <c r="AA262" s="15">
        <f>IFERROR(Z262/Z444, "NA")</f>
        <v>4.6817443494242224E-2</v>
      </c>
      <c r="AB262" s="2"/>
      <c r="AC262" s="14">
        <f t="shared" si="67"/>
        <v>-5644.0300000000025</v>
      </c>
      <c r="AD262" s="15">
        <f>IFERROR(AC262/AC444, "NA")</f>
        <v>-0.23261621372552002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4648.34</v>
      </c>
      <c r="C263" s="15">
        <f>IFERROR(B263/B444, "NA")</f>
        <v>5.8399488614691575E-2</v>
      </c>
      <c r="D263" s="2"/>
      <c r="E263" s="14">
        <f>IFERROR(E238+E240+E241+E242+E243+E244+E245+E246+E247+E248+E249+E250+E251+E252+E253+E254+E255+E256+E257+E258+E259+E260+E261, "NA")</f>
        <v>4087.39</v>
      </c>
      <c r="F263" s="15">
        <f>IFERROR(E263/E444, "NA")</f>
        <v>5.0056015260055799E-2</v>
      </c>
      <c r="G263" s="2"/>
      <c r="H263" s="14">
        <f t="shared" si="64"/>
        <v>-560.95000000000027</v>
      </c>
      <c r="I263" s="15">
        <f>IFERROR(H263/H444, "NA")</f>
        <v>0.27220539994953208</v>
      </c>
      <c r="J263" s="2"/>
      <c r="K263" s="14">
        <f>IFERROR(K238+K240+K241+K242+K243+K244+K245+K246+K247+K248+K249+K250+K251+K252+K253+K254+K255+K256+K257+K258+K259+K260+K261, "NA")</f>
        <v>3164.6400000000003</v>
      </c>
      <c r="L263" s="15">
        <f>IFERROR(K263/K444, "NA")</f>
        <v>4.3987619238773333E-2</v>
      </c>
      <c r="M263" s="2"/>
      <c r="N263" s="14">
        <f t="shared" si="65"/>
        <v>-1483.6999999999998</v>
      </c>
      <c r="O263" s="15">
        <f>IFERROR(N263/N444, "NA")</f>
        <v>-0.19390512933107515</v>
      </c>
      <c r="P263" s="2"/>
      <c r="Q263" s="14">
        <f>IFERROR(Q238+Q240+Q241+Q242+Q243+Q244+Q245+Q246+Q247+Q248+Q249+Q250+Q251+Q252+Q253+Q254+Q255+Q256+Q257+Q258+Q259+Q260+Q261, "NA")</f>
        <v>32244.42</v>
      </c>
      <c r="R263" s="15">
        <f>IFERROR(Q263/Q444, "NA")</f>
        <v>5.4426850229704171E-2</v>
      </c>
      <c r="S263" s="2"/>
      <c r="T263" s="14">
        <f>IFERROR(T238+T240+T241+T242+T243+T244+T245+T246+T247+T248+T249+T250+T251+T252+T253+T254+T255+T256+T257+T258+T259+T260+T261, "NA")</f>
        <v>32013.39</v>
      </c>
      <c r="U263" s="15">
        <f>IFERROR(T263/T444, "NA")</f>
        <v>5.0272859597793762E-2</v>
      </c>
      <c r="V263" s="2"/>
      <c r="W263" s="14">
        <f t="shared" si="66"/>
        <v>-231.02999999999884</v>
      </c>
      <c r="X263" s="15">
        <f>IFERROR(W263/W444, "NA")</f>
        <v>5.2084460556216681E-3</v>
      </c>
      <c r="Y263" s="2"/>
      <c r="Z263" s="14">
        <f>IFERROR(Z238+Z240+Z241+Z242+Z243+Z244+Z245+Z246+Z247+Z248+Z249+Z250+Z251+Z252+Z253+Z254+Z255+Z256+Z257+Z258+Z259+Z260+Z261, "NA")</f>
        <v>26600.389999999996</v>
      </c>
      <c r="AA263" s="15">
        <f>IFERROR(Z263/Z444, "NA")</f>
        <v>4.6817443494242224E-2</v>
      </c>
      <c r="AB263" s="2"/>
      <c r="AC263" s="14">
        <f t="shared" si="67"/>
        <v>-5644.0300000000025</v>
      </c>
      <c r="AD263" s="15">
        <f>IFERROR(AC263/AC444, "NA")</f>
        <v>-0.23261621372552002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2292.5300000000002</v>
      </c>
      <c r="C265" s="8">
        <f>IFERROR(B265/B444, "NA")</f>
        <v>2.8802234697513283E-2</v>
      </c>
      <c r="D265" s="9"/>
      <c r="E265" s="7">
        <v>2286.38</v>
      </c>
      <c r="F265" s="8">
        <f>IFERROR(E265/E444, "NA")</f>
        <v>2.8000037229206506E-2</v>
      </c>
      <c r="G265" s="9"/>
      <c r="H265" s="10">
        <f>IFERROR(-(B265-E265), "NA")</f>
        <v>-6.1500000000000909</v>
      </c>
      <c r="I265" s="8">
        <f>IFERROR(H265/H444, "NA")</f>
        <v>2.9843358760845819E-3</v>
      </c>
      <c r="J265" s="9"/>
      <c r="K265" s="7">
        <v>2006.52</v>
      </c>
      <c r="L265" s="8">
        <f>IFERROR(K265/K444, "NA")</f>
        <v>2.7890072095082999E-2</v>
      </c>
      <c r="M265" s="9"/>
      <c r="N265" s="10">
        <f>IFERROR(-(B265-K265), "NA")</f>
        <v>-286.01000000000022</v>
      </c>
      <c r="O265" s="8">
        <f>IFERROR(N265/N444, "NA")</f>
        <v>-3.7378719444618763E-2</v>
      </c>
      <c r="P265" s="9"/>
      <c r="Q265" s="7">
        <v>16297.97</v>
      </c>
      <c r="R265" s="8">
        <f>IFERROR(Q265/Q444, "NA")</f>
        <v>2.7510098560873841E-2</v>
      </c>
      <c r="S265" s="9"/>
      <c r="T265" s="7">
        <v>17943.68</v>
      </c>
      <c r="U265" s="8">
        <f>IFERROR(T265/T444, "NA")</f>
        <v>2.8178212470086422E-2</v>
      </c>
      <c r="V265" s="9"/>
      <c r="W265" s="10">
        <f>IFERROR(-(Q265-T265), "NA")</f>
        <v>1645.7100000000009</v>
      </c>
      <c r="X265" s="8">
        <f>IFERROR(W265/W444, "NA")</f>
        <v>-3.710163943296188E-2</v>
      </c>
      <c r="Y265" s="9"/>
      <c r="Z265" s="7">
        <v>16107.46</v>
      </c>
      <c r="AA265" s="8">
        <f>IFERROR(Z265/Z444, "NA")</f>
        <v>2.8349588046858221E-2</v>
      </c>
      <c r="AB265" s="9"/>
      <c r="AC265" s="10">
        <f>IFERROR(-(Q265-Z265), "NA")</f>
        <v>-190.51000000000022</v>
      </c>
      <c r="AD265" s="8">
        <f>IFERROR(AC265/AC444, "NA")</f>
        <v>-7.8517858474970639E-3</v>
      </c>
    </row>
    <row r="266" spans="1:30" ht="16.5" customHeight="1" x14ac:dyDescent="0.45">
      <c r="A266" s="6" t="s">
        <v>242</v>
      </c>
      <c r="B266" s="7">
        <v>43.49</v>
      </c>
      <c r="C266" s="8">
        <f>IFERROR(B266/B444, "NA")</f>
        <v>5.4638726079695907E-4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-43.49</v>
      </c>
      <c r="I266" s="8">
        <f>IFERROR(H266/H444, "NA")</f>
        <v>2.110386459364497E-2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-43.49</v>
      </c>
      <c r="O266" s="8">
        <f>IFERROR(N266/N444, "NA")</f>
        <v>-5.6837191309620947E-3</v>
      </c>
      <c r="P266" s="9"/>
      <c r="Q266" s="7">
        <v>441.97</v>
      </c>
      <c r="R266" s="8">
        <f>IFERROR(Q266/Q444, "NA")</f>
        <v>7.4602163710875728E-4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-441.97</v>
      </c>
      <c r="X266" s="8">
        <f>IFERROR(W266/W444, "NA")</f>
        <v>9.9639739566425162E-3</v>
      </c>
      <c r="Y266" s="9"/>
      <c r="Z266" s="7">
        <v>328.93</v>
      </c>
      <c r="AA266" s="8">
        <f>IFERROR(Z266/Z444, "NA")</f>
        <v>5.7892616193074985E-4</v>
      </c>
      <c r="AB266" s="9"/>
      <c r="AC266" s="10">
        <f>IFERROR(-(Q266-Z266), "NA")</f>
        <v>-113.04000000000002</v>
      </c>
      <c r="AD266" s="8">
        <f>IFERROR(AC266/AC444, "NA")</f>
        <v>-4.6588938753927209E-3</v>
      </c>
    </row>
    <row r="267" spans="1:30" ht="16.5" customHeight="1" x14ac:dyDescent="0.45">
      <c r="A267" s="19" t="s">
        <v>243</v>
      </c>
      <c r="B267" s="14">
        <f>IFERROR(B265+B266, "NA")</f>
        <v>2336.02</v>
      </c>
      <c r="C267" s="15">
        <f>IFERROR(B267/B444, "NA")</f>
        <v>2.9348621958310239E-2</v>
      </c>
      <c r="D267" s="2"/>
      <c r="E267" s="14">
        <f>IFERROR(E265+E266, "NA")</f>
        <v>2286.38</v>
      </c>
      <c r="F267" s="15">
        <f>IFERROR(E267/E444, "NA")</f>
        <v>2.8000037229206506E-2</v>
      </c>
      <c r="G267" s="2"/>
      <c r="H267" s="14">
        <f>IFERROR(-(B267-E267), "NA")</f>
        <v>-49.639999999999873</v>
      </c>
      <c r="I267" s="15">
        <f>IFERROR(H267/H444, "NA")</f>
        <v>2.4088200469729443E-2</v>
      </c>
      <c r="J267" s="2"/>
      <c r="K267" s="14">
        <f>IFERROR(K265+K266, "NA")</f>
        <v>2006.52</v>
      </c>
      <c r="L267" s="15">
        <f>IFERROR(K267/K444, "NA")</f>
        <v>2.7890072095082999E-2</v>
      </c>
      <c r="M267" s="2"/>
      <c r="N267" s="14">
        <f>IFERROR(-(B267-K267), "NA")</f>
        <v>-329.5</v>
      </c>
      <c r="O267" s="15">
        <f>IFERROR(N267/N444, "NA")</f>
        <v>-4.3062438575580828E-2</v>
      </c>
      <c r="P267" s="2"/>
      <c r="Q267" s="14">
        <f>IFERROR(Q265+Q266, "NA")</f>
        <v>16739.939999999999</v>
      </c>
      <c r="R267" s="15">
        <f>IFERROR(Q267/Q444, "NA")</f>
        <v>2.8256120197982598E-2</v>
      </c>
      <c r="S267" s="2"/>
      <c r="T267" s="14">
        <f>IFERROR(T265+T266, "NA")</f>
        <v>17943.68</v>
      </c>
      <c r="U267" s="15">
        <f>IFERROR(T267/T444, "NA")</f>
        <v>2.8178212470086422E-2</v>
      </c>
      <c r="V267" s="2"/>
      <c r="W267" s="14">
        <f>IFERROR(-(Q267-T267), "NA")</f>
        <v>1203.7400000000016</v>
      </c>
      <c r="X267" s="15">
        <f>IFERROR(W267/W444, "NA")</f>
        <v>-2.7137665476319382E-2</v>
      </c>
      <c r="Y267" s="2"/>
      <c r="Z267" s="14">
        <f>IFERROR(Z265+Z266, "NA")</f>
        <v>16436.39</v>
      </c>
      <c r="AA267" s="15">
        <f>IFERROR(Z267/Z444, "NA")</f>
        <v>2.8928514208788971E-2</v>
      </c>
      <c r="AB267" s="2"/>
      <c r="AC267" s="14">
        <f>IFERROR(-(Q267-Z267), "NA")</f>
        <v>-303.54999999999927</v>
      </c>
      <c r="AD267" s="15">
        <f>IFERROR(AC267/AC444, "NA")</f>
        <v>-1.2510679722889745E-2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2.7447510891311024E-3</v>
      </c>
      <c r="D270" s="9"/>
      <c r="E270" s="7">
        <v>118.03</v>
      </c>
      <c r="F270" s="8">
        <f>IFERROR(E270/E444, "NA")</f>
        <v>1.4454484355895538E-3</v>
      </c>
      <c r="G270" s="9"/>
      <c r="H270" s="10">
        <f>IFERROR(-(B270-E270), "NA")</f>
        <v>-100.44</v>
      </c>
      <c r="I270" s="8">
        <f>IFERROR(H270/H444, "NA")</f>
        <v>4.8739300064053817E-2</v>
      </c>
      <c r="J270" s="9"/>
      <c r="K270" s="7">
        <v>182.93</v>
      </c>
      <c r="L270" s="8">
        <f>IFERROR(K270/K444, "NA")</f>
        <v>2.5426763193756021E-3</v>
      </c>
      <c r="M270" s="9"/>
      <c r="N270" s="10">
        <f>IFERROR(-(B270-K270), "NA")</f>
        <v>-35.539999999999992</v>
      </c>
      <c r="O270" s="8">
        <f>IFERROR(N270/N444, "NA")</f>
        <v>-4.6447316144951206E-3</v>
      </c>
      <c r="P270" s="9"/>
      <c r="Q270" s="7">
        <v>1529.29</v>
      </c>
      <c r="R270" s="8">
        <f>IFERROR(Q270/Q444, "NA")</f>
        <v>2.5813594348350595E-3</v>
      </c>
      <c r="S270" s="9"/>
      <c r="T270" s="7">
        <v>1095.52</v>
      </c>
      <c r="U270" s="8">
        <f>IFERROR(T270/T444, "NA")</f>
        <v>1.7203714803891441E-3</v>
      </c>
      <c r="V270" s="9"/>
      <c r="W270" s="10">
        <f>IFERROR(-(Q270-T270), "NA")</f>
        <v>-433.77</v>
      </c>
      <c r="X270" s="8">
        <f>IFERROR(W270/W444, "NA")</f>
        <v>9.7791094037441989E-3</v>
      </c>
      <c r="Y270" s="9"/>
      <c r="Z270" s="7">
        <v>1280.51</v>
      </c>
      <c r="AA270" s="8">
        <f>IFERROR(Z270/Z444, "NA")</f>
        <v>2.2537340455839978E-3</v>
      </c>
      <c r="AB270" s="9"/>
      <c r="AC270" s="10">
        <f>IFERROR(-(Q270-Z270), "NA")</f>
        <v>-248.77999999999997</v>
      </c>
      <c r="AD270" s="8">
        <f>IFERROR(AC270/AC444, "NA")</f>
        <v>-1.0253358265394556E-2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1.5026843205827058E-2</v>
      </c>
      <c r="D271" s="9"/>
      <c r="E271" s="7">
        <v>979.88</v>
      </c>
      <c r="F271" s="8">
        <f>IFERROR(E271/E444, "NA")</f>
        <v>1.2000050945229958E-2</v>
      </c>
      <c r="G271" s="9"/>
      <c r="H271" s="10">
        <f>IFERROR(-(B271-E271), "NA")</f>
        <v>-216.18999999999994</v>
      </c>
      <c r="I271" s="8">
        <f>IFERROR(H271/H444, "NA")</f>
        <v>0.10490789805702701</v>
      </c>
      <c r="J271" s="9"/>
      <c r="K271" s="7">
        <v>1086.1400000000001</v>
      </c>
      <c r="L271" s="8">
        <f>IFERROR(K271/K444, "NA")</f>
        <v>1.5097045085697352E-2</v>
      </c>
      <c r="M271" s="9"/>
      <c r="N271" s="10">
        <f>IFERROR(-(B271-K271), "NA")</f>
        <v>-109.92999999999984</v>
      </c>
      <c r="O271" s="8">
        <f>IFERROR(N271/N444, "NA")</f>
        <v>-1.4366779583045806E-2</v>
      </c>
      <c r="P271" s="9"/>
      <c r="Q271" s="7">
        <v>8416.75</v>
      </c>
      <c r="R271" s="8">
        <f>IFERROR(Q271/Q444, "NA")</f>
        <v>1.4207022228058764E-2</v>
      </c>
      <c r="S271" s="9"/>
      <c r="T271" s="7">
        <v>7641.52</v>
      </c>
      <c r="U271" s="8">
        <f>IFERROR(T271/T444, "NA")</f>
        <v>1.2000011934810184E-2</v>
      </c>
      <c r="V271" s="9"/>
      <c r="W271" s="10">
        <f>IFERROR(-(Q271-T271), "NA")</f>
        <v>-775.22999999999956</v>
      </c>
      <c r="X271" s="8">
        <f>IFERROR(W271/W444, "NA")</f>
        <v>1.7477139919922103E-2</v>
      </c>
      <c r="Y271" s="9"/>
      <c r="Z271" s="7">
        <v>7602.98</v>
      </c>
      <c r="AA271" s="8">
        <f>IFERROR(Z271/Z444, "NA")</f>
        <v>1.3381461194285264E-2</v>
      </c>
      <c r="AB271" s="9"/>
      <c r="AC271" s="10">
        <f>IFERROR(-(Q271-Z271), "NA")</f>
        <v>-813.77000000000044</v>
      </c>
      <c r="AD271" s="8">
        <f>IFERROR(AC271/AC444, "NA")</f>
        <v>-3.3539172584734038E-2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1.777159429495816E-2</v>
      </c>
      <c r="D273" s="2"/>
      <c r="E273" s="14">
        <f>IFERROR(E269+E270+E271+E272, "NA")</f>
        <v>1097.9100000000001</v>
      </c>
      <c r="F273" s="15">
        <f>IFERROR(E273/E444, "NA")</f>
        <v>1.3445499380819513E-2</v>
      </c>
      <c r="G273" s="2"/>
      <c r="H273" s="14">
        <f>IFERROR(-(B273-E273), "NA")</f>
        <v>-316.62999999999988</v>
      </c>
      <c r="I273" s="15">
        <f>IFERROR(H273/H444, "NA")</f>
        <v>0.1536471981210808</v>
      </c>
      <c r="J273" s="2"/>
      <c r="K273" s="14">
        <f>IFERROR(K269+K270+K271+K272, "NA")</f>
        <v>1269.0700000000002</v>
      </c>
      <c r="L273" s="15">
        <f>IFERROR(K273/K444, "NA")</f>
        <v>1.7639721405072955E-2</v>
      </c>
      <c r="M273" s="2"/>
      <c r="N273" s="14">
        <f>IFERROR(-(B273-K273), "NA")</f>
        <v>-145.4699999999998</v>
      </c>
      <c r="O273" s="15">
        <f>IFERROR(N273/N444, "NA")</f>
        <v>-1.9011511197540923E-2</v>
      </c>
      <c r="P273" s="2"/>
      <c r="Q273" s="14">
        <f>IFERROR(Q269+Q270+Q271+Q272, "NA")</f>
        <v>9946.0400000000009</v>
      </c>
      <c r="R273" s="15">
        <f>IFERROR(Q273/Q444, "NA")</f>
        <v>1.6788381662893825E-2</v>
      </c>
      <c r="S273" s="2"/>
      <c r="T273" s="14">
        <f>IFERROR(T269+T270+T271+T272, "NA")</f>
        <v>8737.0400000000009</v>
      </c>
      <c r="U273" s="15">
        <f>IFERROR(T273/T444, "NA")</f>
        <v>1.3720383415199329E-2</v>
      </c>
      <c r="V273" s="2"/>
      <c r="W273" s="14">
        <f>IFERROR(-(Q273-T273), "NA")</f>
        <v>-1209</v>
      </c>
      <c r="X273" s="15">
        <f>IFERROR(W273/W444, "NA")</f>
        <v>2.7256249323666312E-2</v>
      </c>
      <c r="Y273" s="2"/>
      <c r="Z273" s="14">
        <f>IFERROR(Z269+Z270+Z271+Z272, "NA")</f>
        <v>8883.49</v>
      </c>
      <c r="AA273" s="15">
        <f>IFERROR(Z273/Z444, "NA")</f>
        <v>1.5635195239869261E-2</v>
      </c>
      <c r="AB273" s="2"/>
      <c r="AC273" s="14">
        <f>IFERROR(-(Q273-Z273), "NA")</f>
        <v>-1062.5500000000011</v>
      </c>
      <c r="AD273" s="15">
        <f>IFERROR(AC273/AC444, "NA")</f>
        <v>-4.3792530850128623E-2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1.2193268066711258E-2</v>
      </c>
      <c r="D287" s="9"/>
      <c r="E287" s="7">
        <v>1350</v>
      </c>
      <c r="F287" s="8">
        <f>IFERROR(E287/E444, "NA")</f>
        <v>1.653270683763363E-2</v>
      </c>
      <c r="G287" s="9"/>
      <c r="H287" s="10">
        <f t="shared" si="72"/>
        <v>379.47</v>
      </c>
      <c r="I287" s="8">
        <f>IFERROR(H287/H444, "NA")</f>
        <v>-0.18414080242240644</v>
      </c>
      <c r="J287" s="9"/>
      <c r="K287" s="7">
        <v>970.53</v>
      </c>
      <c r="L287" s="8">
        <f>IFERROR(K287/K444, "NA")</f>
        <v>1.3490098115364363E-2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6793.71</v>
      </c>
      <c r="R287" s="8">
        <f>IFERROR(Q287/Q444, "NA")</f>
        <v>1.1467417825287089E-2</v>
      </c>
      <c r="S287" s="9"/>
      <c r="T287" s="7">
        <v>9450</v>
      </c>
      <c r="U287" s="8">
        <f>IFERROR(T287/T444, "NA")</f>
        <v>1.4839994239883718E-2</v>
      </c>
      <c r="V287" s="9"/>
      <c r="W287" s="10">
        <f t="shared" si="74"/>
        <v>2656.29</v>
      </c>
      <c r="X287" s="8">
        <f>IFERROR(W287/W444, "NA")</f>
        <v>-5.9884617465642338E-2</v>
      </c>
      <c r="Y287" s="9"/>
      <c r="Z287" s="7">
        <v>6793.71</v>
      </c>
      <c r="AA287" s="8">
        <f>IFERROR(Z287/Z444, "NA")</f>
        <v>1.1957122961026828E-2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184.12</v>
      </c>
      <c r="C288" s="8">
        <f>IFERROR(B288/B444, "NA")</f>
        <v>2.313194354056935E-3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-184.12</v>
      </c>
      <c r="I288" s="8">
        <f>IFERROR(H288/H444, "NA")</f>
        <v>8.9345678293444739E-2</v>
      </c>
      <c r="J288" s="9"/>
      <c r="K288" s="7">
        <v>100.13</v>
      </c>
      <c r="L288" s="8">
        <f>IFERROR(K288/K444, "NA")</f>
        <v>1.3917792590558084E-3</v>
      </c>
      <c r="M288" s="9"/>
      <c r="N288" s="10">
        <f t="shared" si="73"/>
        <v>-83.990000000000009</v>
      </c>
      <c r="O288" s="8">
        <f>IFERROR(N288/N444, "NA")</f>
        <v>-1.0976674403529693E-2</v>
      </c>
      <c r="P288" s="9"/>
      <c r="Q288" s="7">
        <v>2229.6799999999998</v>
      </c>
      <c r="R288" s="8">
        <f>IFERROR(Q288/Q444, "NA")</f>
        <v>3.7635801611617388E-3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-2229.6799999999998</v>
      </c>
      <c r="X288" s="8">
        <f>IFERROR(W288/W444, "NA")</f>
        <v>5.0266926378819105E-2</v>
      </c>
      <c r="Y288" s="9"/>
      <c r="Z288" s="7">
        <v>700.91</v>
      </c>
      <c r="AA288" s="8">
        <f>IFERROR(Z288/Z444, "NA")</f>
        <v>1.2336215491407954E-3</v>
      </c>
      <c r="AB288" s="9"/>
      <c r="AC288" s="10">
        <f t="shared" si="75"/>
        <v>-1528.77</v>
      </c>
      <c r="AD288" s="8">
        <f>IFERROR(AC288/AC444, "NA")</f>
        <v>-6.3007583066915493E-2</v>
      </c>
    </row>
    <row r="289" spans="1:30" ht="16.5" customHeight="1" x14ac:dyDescent="0.45">
      <c r="A289" s="6" t="s">
        <v>262</v>
      </c>
      <c r="B289" s="7">
        <v>218.66</v>
      </c>
      <c r="C289" s="8">
        <f>IFERROR(B289/B444, "NA")</f>
        <v>2.7471381569524733E-3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-218.66</v>
      </c>
      <c r="I289" s="8">
        <f>IFERROR(H289/H444, "NA")</f>
        <v>0.10610648498612114</v>
      </c>
      <c r="J289" s="9"/>
      <c r="K289" s="7">
        <v>201.24</v>
      </c>
      <c r="L289" s="8">
        <f>IFERROR(K289/K444, "NA")</f>
        <v>2.7971802466033248E-3</v>
      </c>
      <c r="M289" s="9"/>
      <c r="N289" s="10">
        <f t="shared" si="73"/>
        <v>-17.419999999999987</v>
      </c>
      <c r="O289" s="8">
        <f>IFERROR(N289/N444, "NA")</f>
        <v>-2.2766242184722838E-3</v>
      </c>
      <c r="P289" s="9"/>
      <c r="Q289" s="7">
        <v>1665.5</v>
      </c>
      <c r="R289" s="8">
        <f>IFERROR(Q289/Q444, "NA")</f>
        <v>2.8112746037166213E-3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-1665.5</v>
      </c>
      <c r="X289" s="8">
        <f>IFERROR(W289/W444, "NA")</f>
        <v>3.7547794250261578E-2</v>
      </c>
      <c r="Y289" s="9"/>
      <c r="Z289" s="7">
        <v>1689.36</v>
      </c>
      <c r="AA289" s="8">
        <f>IFERROR(Z289/Z444, "NA")</f>
        <v>2.9733216821795868E-3</v>
      </c>
      <c r="AB289" s="9"/>
      <c r="AC289" s="10">
        <f t="shared" si="75"/>
        <v>23.8599999999999</v>
      </c>
      <c r="AD289" s="8">
        <f>IFERROR(AC289/AC444, "NA")</f>
        <v>9.8337940434244358E-4</v>
      </c>
    </row>
    <row r="290" spans="1:30" ht="16.5" customHeight="1" x14ac:dyDescent="0.45">
      <c r="A290" s="6" t="s">
        <v>263</v>
      </c>
      <c r="B290" s="7">
        <v>629.95000000000005</v>
      </c>
      <c r="C290" s="8">
        <f>IFERROR(B290/B444, "NA")</f>
        <v>7.9143861793296022E-3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-629.95000000000005</v>
      </c>
      <c r="I290" s="8">
        <f>IFERROR(H290/H444, "NA")</f>
        <v>0.30568819270560238</v>
      </c>
      <c r="J290" s="9"/>
      <c r="K290" s="7">
        <v>652.17999999999995</v>
      </c>
      <c r="L290" s="8">
        <f>IFERROR(K290/K444, "NA")</f>
        <v>9.0651213140019674E-3</v>
      </c>
      <c r="M290" s="9"/>
      <c r="N290" s="10">
        <f t="shared" si="73"/>
        <v>22.229999999999905</v>
      </c>
      <c r="O290" s="8">
        <f>IFERROR(N290/N444, "NA")</f>
        <v>2.9052443384982025E-3</v>
      </c>
      <c r="P290" s="9"/>
      <c r="Q290" s="7">
        <v>3783.03</v>
      </c>
      <c r="R290" s="8">
        <f>IFERROR(Q290/Q444, "NA")</f>
        <v>6.3855515845680517E-3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-3783.03</v>
      </c>
      <c r="X290" s="8">
        <f>IFERROR(W290/W444, "NA")</f>
        <v>8.5286359701331166E-2</v>
      </c>
      <c r="Y290" s="9"/>
      <c r="Z290" s="7">
        <v>6743.97</v>
      </c>
      <c r="AA290" s="8">
        <f>IFERROR(Z290/Z444, "NA")</f>
        <v>1.1869579145338276E-2</v>
      </c>
      <c r="AB290" s="9"/>
      <c r="AC290" s="10">
        <f t="shared" si="75"/>
        <v>2960.94</v>
      </c>
      <c r="AD290" s="8">
        <f>IFERROR(AC290/AC444, "NA")</f>
        <v>0.12203383962672788</v>
      </c>
    </row>
    <row r="291" spans="1:30" ht="16.5" customHeight="1" x14ac:dyDescent="0.45">
      <c r="A291" s="6" t="s">
        <v>264</v>
      </c>
      <c r="B291" s="7">
        <v>524.16999999999996</v>
      </c>
      <c r="C291" s="8">
        <f>IFERROR(B291/B444, "NA")</f>
        <v>6.5854175785684524E-3</v>
      </c>
      <c r="D291" s="9"/>
      <c r="E291" s="7">
        <v>1224.8399999999999</v>
      </c>
      <c r="F291" s="8">
        <f>IFERROR(E291/E444, "NA")</f>
        <v>1.4999941217042352E-2</v>
      </c>
      <c r="G291" s="9"/>
      <c r="H291" s="10">
        <f t="shared" si="72"/>
        <v>700.67</v>
      </c>
      <c r="I291" s="8">
        <f>IFERROR(H291/H444, "NA")</f>
        <v>-0.34000562899124437</v>
      </c>
      <c r="J291" s="9"/>
      <c r="K291" s="7">
        <v>1643.04</v>
      </c>
      <c r="L291" s="8">
        <f>IFERROR(K291/K444, "NA")</f>
        <v>2.2837800796954515E-2</v>
      </c>
      <c r="M291" s="9"/>
      <c r="N291" s="10">
        <f t="shared" si="73"/>
        <v>1118.8699999999999</v>
      </c>
      <c r="O291" s="8">
        <f>IFERROR(N291/N444, "NA")</f>
        <v>0.14622540409426438</v>
      </c>
      <c r="P291" s="9"/>
      <c r="Q291" s="7">
        <v>3366.9</v>
      </c>
      <c r="R291" s="8">
        <f>IFERROR(Q291/Q444, "NA")</f>
        <v>5.6831464804884373E-3</v>
      </c>
      <c r="S291" s="9"/>
      <c r="T291" s="7">
        <v>9551.8799999999992</v>
      </c>
      <c r="U291" s="8">
        <f>IFERROR(T291/T444, "NA")</f>
        <v>1.4999983511117511E-2</v>
      </c>
      <c r="V291" s="9"/>
      <c r="W291" s="10">
        <f t="shared" si="74"/>
        <v>6184.98</v>
      </c>
      <c r="X291" s="8">
        <f>IFERROR(W291/W444, "NA")</f>
        <v>-0.13943701980305181</v>
      </c>
      <c r="Y291" s="9"/>
      <c r="Z291" s="7">
        <v>6053.36</v>
      </c>
      <c r="AA291" s="8">
        <f>IFERROR(Z291/Z444, "NA")</f>
        <v>1.0654085889353734E-2</v>
      </c>
      <c r="AB291" s="9"/>
      <c r="AC291" s="10">
        <f t="shared" si="75"/>
        <v>2686.4599999999996</v>
      </c>
      <c r="AD291" s="8">
        <f>IFERROR(AC291/AC444, "NA")</f>
        <v>0.11072126716637937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621.35</v>
      </c>
      <c r="L292" s="8">
        <f>IFERROR(K292/K444, "NA")</f>
        <v>8.6365928554312053E-3</v>
      </c>
      <c r="M292" s="9"/>
      <c r="N292" s="10">
        <f t="shared" si="73"/>
        <v>621.35</v>
      </c>
      <c r="O292" s="8">
        <f>IFERROR(N292/N444, "NA")</f>
        <v>8.1204389101478439E-2</v>
      </c>
      <c r="P292" s="9"/>
      <c r="Q292" s="7">
        <v>2330.66</v>
      </c>
      <c r="R292" s="8">
        <f>IFERROR(Q292/Q444, "NA")</f>
        <v>3.9340289810256262E-3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-2330.66</v>
      </c>
      <c r="X292" s="8">
        <f>IFERROR(W292/W444, "NA")</f>
        <v>5.2543465714388851E-2</v>
      </c>
      <c r="Y292" s="9"/>
      <c r="Z292" s="7">
        <v>3015.62</v>
      </c>
      <c r="AA292" s="8">
        <f>IFERROR(Z292/Z444, "NA")</f>
        <v>5.3075770298896654E-3</v>
      </c>
      <c r="AB292" s="9"/>
      <c r="AC292" s="10">
        <f t="shared" si="75"/>
        <v>684.96</v>
      </c>
      <c r="AD292" s="8">
        <f>IFERROR(AC292/AC444, "NA")</f>
        <v>2.8230325096328709E-2</v>
      </c>
    </row>
    <row r="293" spans="1:30" ht="16.5" customHeight="1" x14ac:dyDescent="0.45">
      <c r="A293" s="6" t="s">
        <v>266</v>
      </c>
      <c r="B293" s="7">
        <v>283.25</v>
      </c>
      <c r="C293" s="8">
        <f>IFERROR(B293/B444, "NA")</f>
        <v>3.5586155810700998E-3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-283.25</v>
      </c>
      <c r="I293" s="8">
        <f>IFERROR(H293/H444, "NA")</f>
        <v>0.13744929055299923</v>
      </c>
      <c r="J293" s="9"/>
      <c r="K293" s="7">
        <v>343.94</v>
      </c>
      <c r="L293" s="8">
        <f>IFERROR(K293/K444, "NA")</f>
        <v>4.7806707116713745E-3</v>
      </c>
      <c r="M293" s="9"/>
      <c r="N293" s="10">
        <f t="shared" si="73"/>
        <v>60.69</v>
      </c>
      <c r="O293" s="8">
        <f>IFERROR(N293/N444, "NA")</f>
        <v>7.931591493632777E-3</v>
      </c>
      <c r="P293" s="9"/>
      <c r="Q293" s="7">
        <v>283.25</v>
      </c>
      <c r="R293" s="8">
        <f>IFERROR(Q293/Q444, "NA")</f>
        <v>4.7811079645916122E-4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-283.25</v>
      </c>
      <c r="X293" s="8">
        <f>IFERROR(W293/W444, "NA")</f>
        <v>6.385717635176578E-3</v>
      </c>
      <c r="Y293" s="9"/>
      <c r="Z293" s="7">
        <v>343.94</v>
      </c>
      <c r="AA293" s="8">
        <f>IFERROR(Z293/Z444, "NA")</f>
        <v>6.0534418914195141E-4</v>
      </c>
      <c r="AB293" s="9"/>
      <c r="AC293" s="10">
        <f t="shared" si="75"/>
        <v>60.69</v>
      </c>
      <c r="AD293" s="8">
        <f>IFERROR(AC293/AC444, "NA")</f>
        <v>2.5013116533756561E-3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4.0830166908807477E-3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0.15770395388109171</v>
      </c>
      <c r="J294" s="9"/>
      <c r="K294" s="7">
        <v>-1789.17</v>
      </c>
      <c r="L294" s="8">
        <f>IFERROR(K294/K444, "NA")</f>
        <v>-2.4868967311743543E-2</v>
      </c>
      <c r="M294" s="9"/>
      <c r="N294" s="10">
        <f t="shared" si="73"/>
        <v>-2114.16</v>
      </c>
      <c r="O294" s="8">
        <f>IFERROR(N294/N444, "NA")</f>
        <v>-0.27630010664324722</v>
      </c>
      <c r="P294" s="9"/>
      <c r="Q294" s="7">
        <v>2530.59</v>
      </c>
      <c r="R294" s="8">
        <f>IFERROR(Q294/Q444, "NA")</f>
        <v>4.2715000897143472E-3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-2530.59</v>
      </c>
      <c r="X294" s="8">
        <f>IFERROR(W294/W444, "NA")</f>
        <v>5.7050779136457189E-2</v>
      </c>
      <c r="Y294" s="9"/>
      <c r="Z294" s="7">
        <v>525.80999999999995</v>
      </c>
      <c r="AA294" s="8">
        <f>IFERROR(Z294/Z444, "NA")</f>
        <v>9.2544056548447243E-4</v>
      </c>
      <c r="AB294" s="9"/>
      <c r="AC294" s="10">
        <f t="shared" si="75"/>
        <v>-2004.7800000000002</v>
      </c>
      <c r="AD294" s="8">
        <f>IFERROR(AC294/AC444, "NA")</f>
        <v>-8.2626125827227684E-2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3135.67</v>
      </c>
      <c r="C295" s="15">
        <f>IFERROR(B295/B444, "NA")</f>
        <v>3.9395036607569572E-2</v>
      </c>
      <c r="D295" s="2"/>
      <c r="E295" s="14">
        <f>IFERROR(E286+E287+E288+E289+E290+E291+E292+E293+E294, "NA")</f>
        <v>2574.84</v>
      </c>
      <c r="F295" s="15">
        <f>IFERROR(E295/E444, "NA")</f>
        <v>3.1532648054675989E-2</v>
      </c>
      <c r="G295" s="2"/>
      <c r="H295" s="14">
        <f t="shared" si="72"/>
        <v>-560.82999999999993</v>
      </c>
      <c r="I295" s="15">
        <f>IFERROR(H295/H444, "NA")</f>
        <v>0.27214716900560831</v>
      </c>
      <c r="J295" s="2"/>
      <c r="K295" s="14">
        <f>IFERROR(K286+K287+K288+K289+K290+K291+K292+K293+K294, "NA")</f>
        <v>2743.24</v>
      </c>
      <c r="L295" s="15">
        <f>IFERROR(K295/K444, "NA")</f>
        <v>3.8130275987339014E-2</v>
      </c>
      <c r="M295" s="2"/>
      <c r="N295" s="14">
        <f t="shared" si="73"/>
        <v>-392.43000000000029</v>
      </c>
      <c r="O295" s="15">
        <f>IFERROR(N295/N444, "NA")</f>
        <v>-5.1286776237375403E-2</v>
      </c>
      <c r="P295" s="2"/>
      <c r="Q295" s="14">
        <f>IFERROR(Q286+Q287+Q288+Q289+Q290+Q291+Q292+Q293+Q294, "NA")</f>
        <v>22983.32</v>
      </c>
      <c r="R295" s="15">
        <f>IFERROR(Q295/Q444, "NA")</f>
        <v>3.8794610522421072E-2</v>
      </c>
      <c r="S295" s="2"/>
      <c r="T295" s="14">
        <f>IFERROR(T286+T287+T288+T289+T290+T291+T292+T293+T294, "NA")</f>
        <v>19001.879999999997</v>
      </c>
      <c r="U295" s="15">
        <f>IFERROR(T295/T444, "NA")</f>
        <v>2.9839977751001227E-2</v>
      </c>
      <c r="V295" s="2"/>
      <c r="W295" s="14">
        <f t="shared" si="74"/>
        <v>-3981.4400000000023</v>
      </c>
      <c r="X295" s="15">
        <f>IFERROR(W295/W444, "NA")</f>
        <v>8.975940554774034E-2</v>
      </c>
      <c r="Y295" s="2"/>
      <c r="Z295" s="14">
        <f>IFERROR(Z286+Z287+Z288+Z289+Z290+Z291+Z292+Z293+Z294, "NA")</f>
        <v>25866.68</v>
      </c>
      <c r="AA295" s="15">
        <f>IFERROR(Z295/Z444, "NA")</f>
        <v>4.5526093011555309E-2</v>
      </c>
      <c r="AB295" s="2"/>
      <c r="AC295" s="14">
        <f t="shared" si="75"/>
        <v>2883.3600000000006</v>
      </c>
      <c r="AD295" s="15">
        <f>IFERROR(AC295/AC444, "NA")</f>
        <v>0.11883641405301093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1061.53</v>
      </c>
      <c r="F297" s="8">
        <f>IFERROR(E297/E444, "NA")</f>
        <v>1.2999973547669059E-2</v>
      </c>
      <c r="G297" s="9"/>
      <c r="H297" s="10">
        <f t="shared" ref="H297:H325" si="76">IFERROR(-(B297-E297), "NA")</f>
        <v>1061.53</v>
      </c>
      <c r="I297" s="8">
        <f>IFERROR(H297/H444, "NA")</f>
        <v>-0.51511578252683243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8278.2999999999993</v>
      </c>
      <c r="U297" s="8">
        <f>IFERROR(T297/T444, "NA")</f>
        <v>1.2999991991114219E-2</v>
      </c>
      <c r="V297" s="9"/>
      <c r="W297" s="10">
        <f t="shared" ref="W297:W325" si="78">IFERROR(-(Q297-T297), "NA")</f>
        <v>8278.2999999999993</v>
      </c>
      <c r="X297" s="8">
        <f>IFERROR(W297/W444, "NA")</f>
        <v>-0.18662978393391796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525.89</v>
      </c>
      <c r="C299" s="8">
        <f>IFERROR(B299/B444, "NA")</f>
        <v>6.6070268241092845E-3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-525.89</v>
      </c>
      <c r="I299" s="8">
        <f>IFERROR(H299/H444, "NA")</f>
        <v>0.25519225916651994</v>
      </c>
      <c r="J299" s="9"/>
      <c r="K299" s="7">
        <v>500.77</v>
      </c>
      <c r="L299" s="8">
        <f>IFERROR(K299/K444, "NA")</f>
        <v>6.9605642620331285E-3</v>
      </c>
      <c r="M299" s="9"/>
      <c r="N299" s="10">
        <f t="shared" si="77"/>
        <v>-25.120000000000005</v>
      </c>
      <c r="O299" s="8">
        <f>IFERROR(N299/N444, "NA")</f>
        <v>-3.2829391715283479E-3</v>
      </c>
      <c r="P299" s="9"/>
      <c r="Q299" s="7">
        <v>4685.8900000000003</v>
      </c>
      <c r="R299" s="8">
        <f>IFERROR(Q299/Q444, "NA")</f>
        <v>7.9095308032480823E-3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-4685.8900000000003</v>
      </c>
      <c r="X299" s="8">
        <f>IFERROR(W299/W444, "NA")</f>
        <v>0.10564084875374255</v>
      </c>
      <c r="Y299" s="9"/>
      <c r="Z299" s="7">
        <v>3505.39</v>
      </c>
      <c r="AA299" s="8">
        <f>IFERROR(Z299/Z444, "NA")</f>
        <v>6.1695861696118657E-3</v>
      </c>
      <c r="AB299" s="9"/>
      <c r="AC299" s="10">
        <f t="shared" si="79"/>
        <v>-1180.5000000000005</v>
      </c>
      <c r="AD299" s="8">
        <f>IFERROR(AC299/AC444, "NA")</f>
        <v>-4.8653788215685667E-2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67.349999999999994</v>
      </c>
      <c r="C305" s="8">
        <f>IFERROR(B305/B444, "NA")</f>
        <v>8.4615272510175183E-4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-67.349999999999994</v>
      </c>
      <c r="I305" s="8">
        <f>IFERROR(H305/H444, "NA")</f>
        <v>3.2682117277120913E-2</v>
      </c>
      <c r="J305" s="9"/>
      <c r="K305" s="7">
        <v>43.33</v>
      </c>
      <c r="L305" s="8">
        <f>IFERROR(K305/K444, "NA")</f>
        <v>6.0227499545479051E-4</v>
      </c>
      <c r="M305" s="9"/>
      <c r="N305" s="10">
        <f t="shared" si="77"/>
        <v>-24.019999999999996</v>
      </c>
      <c r="O305" s="8">
        <f>IFERROR(N305/N444, "NA")</f>
        <v>-3.1391798925203378E-3</v>
      </c>
      <c r="P305" s="9"/>
      <c r="Q305" s="7">
        <v>55.77</v>
      </c>
      <c r="R305" s="8">
        <f>IFERROR(Q305/Q444, "NA")</f>
        <v>9.4136766526133888E-5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-55.77</v>
      </c>
      <c r="X305" s="8">
        <f>IFERROR(W305/W444, "NA")</f>
        <v>1.2573044042852525E-3</v>
      </c>
      <c r="Y305" s="9"/>
      <c r="Z305" s="7">
        <v>392.87</v>
      </c>
      <c r="AA305" s="8">
        <f>IFERROR(Z305/Z444, "NA")</f>
        <v>6.9146238177646819E-4</v>
      </c>
      <c r="AB305" s="9"/>
      <c r="AC305" s="10">
        <f t="shared" si="79"/>
        <v>337.1</v>
      </c>
      <c r="AD305" s="8">
        <f>IFERROR(AC305/AC444, "NA")</f>
        <v>1.3893428214745982E-2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14.76</v>
      </c>
      <c r="C310" s="8">
        <f>IFERROR(B310/B444, "NA")</f>
        <v>1.8543747917597415E-4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-14.76</v>
      </c>
      <c r="I310" s="8">
        <f>IFERROR(H310/H444, "NA")</f>
        <v>7.1624061026028911E-3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-14.76</v>
      </c>
      <c r="O310" s="8">
        <f>IFERROR(N310/N444, "NA")</f>
        <v>-1.9289881437801913E-3</v>
      </c>
      <c r="P310" s="9"/>
      <c r="Q310" s="7">
        <v>692.39</v>
      </c>
      <c r="R310" s="8">
        <f>IFERROR(Q310/Q444, "NA")</f>
        <v>1.1687171557294214E-3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-692.39</v>
      </c>
      <c r="X310" s="8">
        <f>IFERROR(W310/W444, "NA")</f>
        <v>1.5609557046495713E-2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-692.39</v>
      </c>
      <c r="AD310" s="8">
        <f>IFERROR(AC310/AC444, "NA")</f>
        <v>-2.8536549277982708E-2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4.5118805258087835E-5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6.0261335353316834E-4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-1.1016651918723231E-3</v>
      </c>
    </row>
    <row r="312" spans="1:30" ht="16.5" customHeight="1" x14ac:dyDescent="0.45">
      <c r="A312" s="6" t="s">
        <v>284</v>
      </c>
      <c r="B312" s="7">
        <v>440.32</v>
      </c>
      <c r="C312" s="8">
        <f>IFERROR(B312/B444, "NA")</f>
        <v>5.5319668584529087E-3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-440.32</v>
      </c>
      <c r="I312" s="8">
        <f>IFERROR(H312/H444, "NA")</f>
        <v>0.2136687435703323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-440.32</v>
      </c>
      <c r="O312" s="8">
        <f>IFERROR(N312/N444, "NA")</f>
        <v>-5.7545532484369499E-2</v>
      </c>
      <c r="P312" s="9"/>
      <c r="Q312" s="7">
        <v>1165.31</v>
      </c>
      <c r="R312" s="8">
        <f>IFERROR(Q312/Q444, "NA")</f>
        <v>1.9669807315863199E-3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-1165.31</v>
      </c>
      <c r="X312" s="8">
        <f>IFERROR(W312/W444, "NA")</f>
        <v>2.6271281968041016E-2</v>
      </c>
      <c r="Y312" s="9"/>
      <c r="Z312" s="7">
        <v>242</v>
      </c>
      <c r="AA312" s="8">
        <f>IFERROR(Z312/Z444, "NA")</f>
        <v>4.2592688774888718E-4</v>
      </c>
      <c r="AB312" s="9"/>
      <c r="AC312" s="10">
        <f t="shared" si="79"/>
        <v>-923.31</v>
      </c>
      <c r="AD312" s="8">
        <f>IFERROR(AC312/AC444, "NA")</f>
        <v>-3.8053815499724447E-2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121.05</v>
      </c>
      <c r="R313" s="8">
        <f>IFERROR(Q313/Q444, "NA")</f>
        <v>2.0432590259975803E-4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-121.05</v>
      </c>
      <c r="X313" s="8">
        <f>IFERROR(W313/W444, "NA")</f>
        <v>2.7290066010172104E-3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-121.05</v>
      </c>
      <c r="AD313" s="8">
        <f>IFERROR(AC313/AC444, "NA")</f>
        <v>-4.9890225019133816E-3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17.12</v>
      </c>
      <c r="L316" s="8">
        <f>IFERROR(K316/K444, "NA")</f>
        <v>2.3796325691636316E-4</v>
      </c>
      <c r="M316" s="9"/>
      <c r="N316" s="10">
        <f t="shared" si="77"/>
        <v>17.12</v>
      </c>
      <c r="O316" s="8">
        <f>IFERROR(N316/N444, "NA")</f>
        <v>2.237417142379192E-3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3.0131687265541111E-5</v>
      </c>
      <c r="AB316" s="9"/>
      <c r="AC316" s="10">
        <f t="shared" si="79"/>
        <v>17.12</v>
      </c>
      <c r="AD316" s="8">
        <f>IFERROR(AC316/AC444, "NA")</f>
        <v>7.0559326916775798E-4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5.2084563510828999E-3</v>
      </c>
      <c r="D318" s="9"/>
      <c r="E318" s="7">
        <v>915</v>
      </c>
      <c r="F318" s="8">
        <f>IFERROR(E318/E444, "NA")</f>
        <v>1.1205501301062794E-2</v>
      </c>
      <c r="G318" s="9"/>
      <c r="H318" s="10">
        <f t="shared" si="76"/>
        <v>500.43</v>
      </c>
      <c r="I318" s="8">
        <f>IFERROR(H318/H444, "NA")</f>
        <v>-0.24283759389739598</v>
      </c>
      <c r="J318" s="9"/>
      <c r="K318" s="7">
        <v>414.57</v>
      </c>
      <c r="L318" s="8">
        <f>IFERROR(K318/K444, "NA")</f>
        <v>5.7624081436808798E-3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2901.99</v>
      </c>
      <c r="R318" s="8">
        <f>IFERROR(Q318/Q444, "NA")</f>
        <v>4.8984033546920431E-3</v>
      </c>
      <c r="S318" s="9"/>
      <c r="T318" s="7">
        <v>6405</v>
      </c>
      <c r="U318" s="8">
        <f>IFERROR(T318/T444, "NA")</f>
        <v>1.005821831814341E-2</v>
      </c>
      <c r="V318" s="9"/>
      <c r="W318" s="10">
        <f t="shared" si="78"/>
        <v>3503.01</v>
      </c>
      <c r="X318" s="8">
        <f>IFERROR(W318/W444, "NA")</f>
        <v>-7.8973460664430381E-2</v>
      </c>
      <c r="Y318" s="9"/>
      <c r="Z318" s="7">
        <v>2901.99</v>
      </c>
      <c r="AA318" s="8">
        <f>IFERROR(Z318/Z444, "NA")</f>
        <v>5.1075849957784832E-3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149.55000000000001</v>
      </c>
      <c r="C319" s="8">
        <f>IFERROR(B319/B444, "NA")</f>
        <v>1.878873645715917E-3</v>
      </c>
      <c r="D319" s="9"/>
      <c r="E319" s="7">
        <v>149</v>
      </c>
      <c r="F319" s="8">
        <f>IFERROR(E319/E444, "NA")</f>
        <v>1.8247209768943787E-3</v>
      </c>
      <c r="G319" s="9"/>
      <c r="H319" s="10">
        <f t="shared" si="76"/>
        <v>-0.55000000000001137</v>
      </c>
      <c r="I319" s="8">
        <f>IFERROR(H319/H444, "NA")</f>
        <v>2.6689182631650893E-4</v>
      </c>
      <c r="J319" s="9"/>
      <c r="K319" s="7">
        <v>149.34</v>
      </c>
      <c r="L319" s="8">
        <f>IFERROR(K319/K444, "NA")</f>
        <v>2.0757846254608452E-3</v>
      </c>
      <c r="M319" s="9"/>
      <c r="N319" s="10">
        <f t="shared" si="77"/>
        <v>-0.21000000000000796</v>
      </c>
      <c r="O319" s="8">
        <f>IFERROR(N319/N444, "NA")</f>
        <v>-2.7444953265166362E-5</v>
      </c>
      <c r="P319" s="9"/>
      <c r="Q319" s="7">
        <v>1046.93</v>
      </c>
      <c r="R319" s="8">
        <f>IFERROR(Q319/Q444, "NA")</f>
        <v>1.7671616456733969E-3</v>
      </c>
      <c r="S319" s="9"/>
      <c r="T319" s="7">
        <v>1043</v>
      </c>
      <c r="U319" s="8">
        <f>IFERROR(T319/T444, "NA")</f>
        <v>1.6378956605501288E-3</v>
      </c>
      <c r="V319" s="9"/>
      <c r="W319" s="10">
        <f t="shared" si="78"/>
        <v>-3.9300000000000637</v>
      </c>
      <c r="X319" s="8">
        <f>IFERROR(W319/W444, "NA")</f>
        <v>8.8599718645169845E-5</v>
      </c>
      <c r="Y319" s="9"/>
      <c r="Z319" s="7">
        <v>1046.17</v>
      </c>
      <c r="AA319" s="8">
        <f>IFERROR(Z319/Z444, "NA")</f>
        <v>1.8412889758522865E-3</v>
      </c>
      <c r="AB319" s="9"/>
      <c r="AC319" s="10">
        <f t="shared" si="79"/>
        <v>-0.75999999999999091</v>
      </c>
      <c r="AD319" s="8">
        <f>IFERROR(AC319/AC444, "NA")</f>
        <v>-3.1323065687353368E-5</v>
      </c>
    </row>
    <row r="320" spans="1:30" ht="16.5" customHeight="1" x14ac:dyDescent="0.45">
      <c r="A320" s="6" t="s">
        <v>292</v>
      </c>
      <c r="B320" s="7">
        <v>1128.5</v>
      </c>
      <c r="C320" s="8">
        <f>IFERROR(B320/B444, "NA")</f>
        <v>1.4177926507458456E-2</v>
      </c>
      <c r="D320" s="9"/>
      <c r="E320" s="7">
        <v>800</v>
      </c>
      <c r="F320" s="8">
        <f>IFERROR(E320/E444, "NA")</f>
        <v>9.7971596074865972E-3</v>
      </c>
      <c r="G320" s="9"/>
      <c r="H320" s="10">
        <f t="shared" si="76"/>
        <v>-328.5</v>
      </c>
      <c r="I320" s="8">
        <f>IFERROR(H320/H444, "NA")</f>
        <v>0.15940720899085703</v>
      </c>
      <c r="J320" s="9"/>
      <c r="K320" s="7">
        <v>729.81</v>
      </c>
      <c r="L320" s="8">
        <f>IFERROR(K320/K444, "NA")</f>
        <v>1.0144156806666528E-2</v>
      </c>
      <c r="M320" s="9"/>
      <c r="N320" s="10">
        <f t="shared" si="77"/>
        <v>-398.69000000000005</v>
      </c>
      <c r="O320" s="8">
        <f>IFERROR(N320/N444, "NA")</f>
        <v>-5.210489722518459E-2</v>
      </c>
      <c r="P320" s="9"/>
      <c r="Q320" s="7">
        <v>7635.01</v>
      </c>
      <c r="R320" s="8">
        <f>IFERROR(Q320/Q444, "NA")</f>
        <v>1.288748706822122E-2</v>
      </c>
      <c r="S320" s="9"/>
      <c r="T320" s="7">
        <v>5600</v>
      </c>
      <c r="U320" s="8">
        <f>IFERROR(T320/T444, "NA")</f>
        <v>8.7940706606718325E-3</v>
      </c>
      <c r="V320" s="9"/>
      <c r="W320" s="10">
        <f t="shared" si="78"/>
        <v>-2035.0100000000002</v>
      </c>
      <c r="X320" s="8">
        <f>IFERROR(W320/W444, "NA")</f>
        <v>4.5878196804097757E-2</v>
      </c>
      <c r="Y320" s="9"/>
      <c r="Z320" s="7">
        <v>5006.01</v>
      </c>
      <c r="AA320" s="8">
        <f>IFERROR(Z320/Z444, "NA")</f>
        <v>8.8107200799165571E-3</v>
      </c>
      <c r="AB320" s="9"/>
      <c r="AC320" s="10">
        <f t="shared" si="79"/>
        <v>-2629</v>
      </c>
      <c r="AD320" s="8">
        <f>IFERROR(AC320/AC444, "NA")</f>
        <v>-0.10835307854217498</v>
      </c>
    </row>
    <row r="321" spans="1:30" ht="16.5" customHeight="1" x14ac:dyDescent="0.45">
      <c r="A321" s="6" t="s">
        <v>293</v>
      </c>
      <c r="B321" s="7">
        <v>1298.9100000000001</v>
      </c>
      <c r="C321" s="8">
        <f>IFERROR(B321/B444, "NA")</f>
        <v>1.6318875072931206E-2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-1298.9100000000001</v>
      </c>
      <c r="I321" s="8">
        <f>IFERROR(H321/H444, "NA")</f>
        <v>0.6303062947650353</v>
      </c>
      <c r="J321" s="9"/>
      <c r="K321" s="7">
        <v>2454.9499999999998</v>
      </c>
      <c r="L321" s="8">
        <f>IFERROR(K321/K444, "NA")</f>
        <v>3.4123124857875331E-2</v>
      </c>
      <c r="M321" s="9"/>
      <c r="N321" s="10">
        <f t="shared" si="77"/>
        <v>1156.0399999999997</v>
      </c>
      <c r="O321" s="8">
        <f>IFERROR(N321/N444, "NA")</f>
        <v>0.15108316082219864</v>
      </c>
      <c r="P321" s="9"/>
      <c r="Q321" s="7">
        <v>11523.64</v>
      </c>
      <c r="R321" s="8">
        <f>IFERROR(Q321/Q444, "NA")</f>
        <v>1.9451285784673075E-2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-11523.64</v>
      </c>
      <c r="X321" s="8">
        <f>IFERROR(W321/W444, "NA")</f>
        <v>0.25979421419038384</v>
      </c>
      <c r="Y321" s="9"/>
      <c r="Z321" s="7">
        <v>12625.1</v>
      </c>
      <c r="AA321" s="8">
        <f>IFERROR(Z321/Z444, "NA")</f>
        <v>2.2220535332720972E-2</v>
      </c>
      <c r="AB321" s="9"/>
      <c r="AC321" s="10">
        <f t="shared" si="79"/>
        <v>1101.4600000000009</v>
      </c>
      <c r="AD321" s="8">
        <f>IFERROR(AC321/AC444, "NA")</f>
        <v>4.5396189384200897E-2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2.0386815545992767E-3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7.87427939206891E-2</v>
      </c>
      <c r="J322" s="9"/>
      <c r="K322" s="7">
        <v>462.27</v>
      </c>
      <c r="L322" s="8">
        <f>IFERROR(K322/K444, "NA")</f>
        <v>6.4254249284303256E-3</v>
      </c>
      <c r="M322" s="9"/>
      <c r="N322" s="10">
        <f t="shared" si="77"/>
        <v>300</v>
      </c>
      <c r="O322" s="8">
        <f>IFERROR(N322/N444, "NA")</f>
        <v>3.9207076093093318E-2</v>
      </c>
      <c r="P322" s="9"/>
      <c r="Q322" s="7">
        <v>1916.01</v>
      </c>
      <c r="R322" s="8">
        <f>IFERROR(Q322/Q444, "NA")</f>
        <v>3.2341220375065047E-3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-1916.01</v>
      </c>
      <c r="X322" s="8">
        <f>IFERROR(W322/W444, "NA")</f>
        <v>4.3195406341305122E-2</v>
      </c>
      <c r="Y322" s="9"/>
      <c r="Z322" s="7">
        <v>1414.42</v>
      </c>
      <c r="AA322" s="8">
        <f>IFERROR(Z322/Z444, "NA")</f>
        <v>2.4894194568999216E-3</v>
      </c>
      <c r="AB322" s="9"/>
      <c r="AC322" s="10">
        <f t="shared" si="79"/>
        <v>-501.58999999999992</v>
      </c>
      <c r="AD322" s="8">
        <f>IFERROR(AC322/AC444, "NA")</f>
        <v>-2.0672811208052318E-2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4202.12</v>
      </c>
      <c r="C324" s="15">
        <f>IFERROR(B324/B444, "NA")</f>
        <v>5.2793397018627675E-2</v>
      </c>
      <c r="D324" s="2"/>
      <c r="E324" s="14">
        <f>IFERROR(E297+E298+E299+E300+E301+E302+E303+E304+E305+E306+E307+E308+E309+E310+E311+E312+E313+E314+E315+E316+E317+E318+E319+E320+E321+E322+E323, "NA")</f>
        <v>2925.5299999999997</v>
      </c>
      <c r="F324" s="15">
        <f>IFERROR(E324/E444, "NA")</f>
        <v>3.5827355433112829E-2</v>
      </c>
      <c r="G324" s="2"/>
      <c r="H324" s="14">
        <f t="shared" si="76"/>
        <v>-1276.5900000000001</v>
      </c>
      <c r="I324" s="15">
        <f>IFERROR(H324/H444, "NA")</f>
        <v>0.61947533919524567</v>
      </c>
      <c r="J324" s="2"/>
      <c r="K324" s="14">
        <f>IFERROR(K297+K298+K299+K300+K301+K302+K303+K304+K305+K306+K307+K308+K309+K310+K311+K312+K313+K314+K315+K316+K317+K318+K319+K320+K321+K322+K323, "NA")</f>
        <v>4772.16</v>
      </c>
      <c r="L324" s="15">
        <f>IFERROR(K324/K444, "NA")</f>
        <v>6.6331701876518184E-2</v>
      </c>
      <c r="M324" s="2"/>
      <c r="N324" s="14">
        <f t="shared" si="77"/>
        <v>570.04</v>
      </c>
      <c r="O324" s="15">
        <f>IFERROR(N324/N444, "NA")</f>
        <v>7.4498672187023038E-2</v>
      </c>
      <c r="P324" s="2"/>
      <c r="Q324" s="14">
        <f>IFERROR(Q297+Q298+Q299+Q300+Q301+Q302+Q303+Q304+Q305+Q306+Q307+Q308+Q309+Q310+Q311+Q312+Q313+Q314+Q315+Q316+Q317+Q318+Q319+Q320+Q321+Q322+Q323, "NA")</f>
        <v>31770.719999999998</v>
      </c>
      <c r="R324" s="15">
        <f>IFERROR(Q324/Q444, "NA")</f>
        <v>5.3627270055714035E-2</v>
      </c>
      <c r="S324" s="2"/>
      <c r="T324" s="14">
        <f>IFERROR(T297+T298+T299+T300+T301+T302+T303+T304+T305+T306+T307+T308+T309+T310+T311+T312+T313+T314+T315+T316+T317+T318+T319+T320+T321+T322+T323, "NA")</f>
        <v>21326.3</v>
      </c>
      <c r="U324" s="15">
        <f>IFERROR(T324/T444, "NA")</f>
        <v>3.3490176630479589E-2</v>
      </c>
      <c r="V324" s="2"/>
      <c r="W324" s="14">
        <f t="shared" si="78"/>
        <v>-10444.419999999998</v>
      </c>
      <c r="X324" s="15">
        <f>IFERROR(W324/W444, "NA")</f>
        <v>0.23546378458319839</v>
      </c>
      <c r="Y324" s="2"/>
      <c r="Z324" s="14">
        <f>IFERROR(Z297+Z298+Z299+Z300+Z301+Z302+Z303+Z304+Z305+Z306+Z307+Z308+Z309+Z310+Z311+Z312+Z313+Z314+Z315+Z316+Z317+Z318+Z319+Z320+Z321+Z322+Z323, "NA")</f>
        <v>27151.07</v>
      </c>
      <c r="AA324" s="15">
        <f>IFERROR(Z324/Z444, "NA")</f>
        <v>4.7786655967570979E-2</v>
      </c>
      <c r="AB324" s="2"/>
      <c r="AC324" s="14">
        <f t="shared" si="79"/>
        <v>-4619.6499999999978</v>
      </c>
      <c r="AD324" s="15">
        <f>IFERROR(AC324/AC444, "NA")</f>
        <v>-0.19039684263497847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20716.419999999998</v>
      </c>
      <c r="C325" s="15">
        <f>IFERROR(B325/B444, "NA")</f>
        <v>0.26027105029476516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18225.28</v>
      </c>
      <c r="F325" s="15">
        <f>IFERROR(E325/E444, "NA")</f>
        <v>0.22319497131391663</v>
      </c>
      <c r="G325" s="2"/>
      <c r="H325" s="14">
        <f t="shared" si="76"/>
        <v>-2491.1399999999994</v>
      </c>
      <c r="I325" s="15">
        <f>IFERROR(H325/H444, "NA")</f>
        <v>1.2088452803819894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19670.690000000002</v>
      </c>
      <c r="L325" s="15">
        <f>IFERROR(K325/K444, "NA")</f>
        <v>0.27341714124954064</v>
      </c>
      <c r="M325" s="2"/>
      <c r="N325" s="14">
        <f t="shared" si="77"/>
        <v>-1045.7299999999959</v>
      </c>
      <c r="O325" s="15">
        <f>IFERROR(N325/N444, "NA")</f>
        <v>-0.13666671894276772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160051.34000000003</v>
      </c>
      <c r="R325" s="15">
        <f>IFERROR(Q325/Q444, "NA")</f>
        <v>0.27015807110946521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140484.08000000002</v>
      </c>
      <c r="U325" s="15">
        <f>IFERROR(T325/T444, "NA")</f>
        <v>0.22061195111062051</v>
      </c>
      <c r="V325" s="2"/>
      <c r="W325" s="14">
        <f t="shared" si="78"/>
        <v>-19567.260000000009</v>
      </c>
      <c r="X325" s="15">
        <f>IFERROR(W325/W444, "NA")</f>
        <v>0.44113326479818293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136168.00999999998</v>
      </c>
      <c r="AA325" s="15">
        <f>IFERROR(Z325/Z444, "NA")</f>
        <v>0.23965957318288983</v>
      </c>
      <c r="AB325" s="2"/>
      <c r="AC325" s="14">
        <f t="shared" si="79"/>
        <v>-23883.330000000045</v>
      </c>
      <c r="AD325" s="15">
        <f>IFERROR(AC325/AC444, "NA")</f>
        <v>-0.98434094002993111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5.7764026033612935E-2</v>
      </c>
      <c r="D329" s="9"/>
      <c r="E329" s="7">
        <v>4245.91</v>
      </c>
      <c r="F329" s="8">
        <f>IFERROR(E329/E444, "NA")</f>
        <v>5.1997322436279268E-2</v>
      </c>
      <c r="G329" s="9"/>
      <c r="H329" s="10">
        <f t="shared" si="80"/>
        <v>-351.85000000000036</v>
      </c>
      <c r="I329" s="8">
        <f>IFERROR(H329/H444, "NA")</f>
        <v>0.17073798016265784</v>
      </c>
      <c r="J329" s="9"/>
      <c r="K329" s="7">
        <v>6377.92</v>
      </c>
      <c r="L329" s="8">
        <f>IFERROR(K329/K444, "NA")</f>
        <v>8.8651321001869787E-2</v>
      </c>
      <c r="M329" s="9"/>
      <c r="N329" s="10">
        <f t="shared" si="81"/>
        <v>1780.1599999999999</v>
      </c>
      <c r="O329" s="8">
        <f>IFERROR(N329/N444, "NA")</f>
        <v>0.23264956192626998</v>
      </c>
      <c r="P329" s="9"/>
      <c r="Q329" s="7">
        <v>32184.32</v>
      </c>
      <c r="R329" s="8">
        <f>IFERROR(Q329/Q444, "NA")</f>
        <v>5.4325404655592276E-2</v>
      </c>
      <c r="S329" s="9"/>
      <c r="T329" s="7">
        <v>33937.629999999997</v>
      </c>
      <c r="U329" s="8">
        <f>IFERROR(T329/T444, "NA")</f>
        <v>5.3294627906381467E-2</v>
      </c>
      <c r="V329" s="9"/>
      <c r="W329" s="10">
        <f t="shared" si="82"/>
        <v>1753.3099999999977</v>
      </c>
      <c r="X329" s="8">
        <f>IFERROR(W329/W444, "NA")</f>
        <v>-3.952742307831044E-2</v>
      </c>
      <c r="Y329" s="9"/>
      <c r="Z329" s="7">
        <v>44645.440000000002</v>
      </c>
      <c r="AA329" s="8">
        <f>IFERROR(Z329/Z444, "NA")</f>
        <v>7.8577245088345779E-2</v>
      </c>
      <c r="AB329" s="9"/>
      <c r="AC329" s="10">
        <f t="shared" si="83"/>
        <v>12461.120000000003</v>
      </c>
      <c r="AD329" s="8">
        <f>IFERROR(AC329/AC444, "NA")</f>
        <v>0.5135795793394704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2.1182337306251756E-2</v>
      </c>
      <c r="D330" s="9"/>
      <c r="E330" s="7">
        <v>1686</v>
      </c>
      <c r="F330" s="8">
        <f>IFERROR(E330/E444, "NA")</f>
        <v>2.0647513872778002E-2</v>
      </c>
      <c r="G330" s="9"/>
      <c r="H330" s="10">
        <f t="shared" si="80"/>
        <v>-1.999999999998181E-2</v>
      </c>
      <c r="I330" s="8">
        <f>IFERROR(H330/H444, "NA")</f>
        <v>9.7051573205912968E-6</v>
      </c>
      <c r="J330" s="9"/>
      <c r="K330" s="7">
        <v>1636.91</v>
      </c>
      <c r="L330" s="8">
        <f>IFERROR(K330/K444, "NA")</f>
        <v>2.2752595495266589E-2</v>
      </c>
      <c r="M330" s="9"/>
      <c r="N330" s="10">
        <f t="shared" si="81"/>
        <v>-49.1099999999999</v>
      </c>
      <c r="O330" s="8">
        <f>IFERROR(N330/N444, "NA")</f>
        <v>-6.4181983564393632E-3</v>
      </c>
      <c r="P330" s="9"/>
      <c r="Q330" s="7">
        <v>13053.25</v>
      </c>
      <c r="R330" s="8">
        <f>IFERROR(Q330/Q444, "NA")</f>
        <v>2.2033185362332026E-2</v>
      </c>
      <c r="S330" s="9"/>
      <c r="T330" s="7">
        <v>11802</v>
      </c>
      <c r="U330" s="8">
        <f>IFERROR(T330/T444, "NA")</f>
        <v>1.8533503917365888E-2</v>
      </c>
      <c r="V330" s="9"/>
      <c r="W330" s="10">
        <f t="shared" si="82"/>
        <v>-1251.25</v>
      </c>
      <c r="X330" s="8">
        <f>IFERROR(W330/W444, "NA")</f>
        <v>2.8208752660246049E-2</v>
      </c>
      <c r="Y330" s="9"/>
      <c r="Z330" s="7">
        <v>9957.19</v>
      </c>
      <c r="AA330" s="8">
        <f>IFERROR(Z330/Z444, "NA")</f>
        <v>1.7524937799274141E-2</v>
      </c>
      <c r="AB330" s="9"/>
      <c r="AC330" s="10">
        <f t="shared" si="83"/>
        <v>-3096.0599999999995</v>
      </c>
      <c r="AD330" s="8">
        <f>IFERROR(AC330/AC444, "NA")</f>
        <v>-0.12760275098945845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2.404619051615442E-2</v>
      </c>
      <c r="D333" s="9"/>
      <c r="E333" s="7">
        <v>1686</v>
      </c>
      <c r="F333" s="8">
        <f>IFERROR(E333/E444, "NA")</f>
        <v>2.0647513872778002E-2</v>
      </c>
      <c r="G333" s="9"/>
      <c r="H333" s="10">
        <f t="shared" si="80"/>
        <v>-227.97000000000003</v>
      </c>
      <c r="I333" s="8">
        <f>IFERROR(H333/H444, "NA")</f>
        <v>0.11062423571886051</v>
      </c>
      <c r="J333" s="9"/>
      <c r="K333" s="7">
        <v>1853.78</v>
      </c>
      <c r="L333" s="8">
        <f>IFERROR(K333/K444, "NA")</f>
        <v>2.5767028411589697E-2</v>
      </c>
      <c r="M333" s="9"/>
      <c r="N333" s="10">
        <f t="shared" si="81"/>
        <v>-60.190000000000055</v>
      </c>
      <c r="O333" s="8">
        <f>IFERROR(N333/N444, "NA")</f>
        <v>-7.8662463668109622E-3</v>
      </c>
      <c r="P333" s="9"/>
      <c r="Q333" s="7">
        <v>12639.05</v>
      </c>
      <c r="R333" s="8">
        <f>IFERROR(Q333/Q444, "NA")</f>
        <v>2.1334037994658998E-2</v>
      </c>
      <c r="S333" s="9"/>
      <c r="T333" s="7">
        <v>11802</v>
      </c>
      <c r="U333" s="8">
        <f>IFERROR(T333/T444, "NA")</f>
        <v>1.8533503917365888E-2</v>
      </c>
      <c r="V333" s="9"/>
      <c r="W333" s="10">
        <f t="shared" si="82"/>
        <v>-837.04999999999927</v>
      </c>
      <c r="X333" s="8">
        <f>IFERROR(W333/W444, "NA")</f>
        <v>1.8870838293114034E-2</v>
      </c>
      <c r="Y333" s="9"/>
      <c r="Z333" s="7">
        <v>13187.28</v>
      </c>
      <c r="AA333" s="8">
        <f>IFERROR(Z333/Z444, "NA")</f>
        <v>2.3209988133360102E-2</v>
      </c>
      <c r="AB333" s="9"/>
      <c r="AC333" s="10">
        <f t="shared" si="83"/>
        <v>548.23000000000138</v>
      </c>
      <c r="AD333" s="8">
        <f>IFERROR(AC333/AC444, "NA")</f>
        <v>2.2595058291813137E-2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-4.4478611621050221E-3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-0.17179584231060308</v>
      </c>
      <c r="J334" s="9"/>
      <c r="K334" s="7">
        <v>-491.1</v>
      </c>
      <c r="L334" s="8">
        <f>IFERROR(K334/K444, "NA")</f>
        <v>-6.8261539410996459E-3</v>
      </c>
      <c r="M334" s="9"/>
      <c r="N334" s="10">
        <f t="shared" si="81"/>
        <v>-137.07000000000005</v>
      </c>
      <c r="O334" s="8">
        <f>IFERROR(N334/N444, "NA")</f>
        <v>-1.7913713066934345E-2</v>
      </c>
      <c r="P334" s="9"/>
      <c r="Q334" s="7">
        <v>-354.03</v>
      </c>
      <c r="R334" s="8">
        <f>IFERROR(Q334/Q444, "NA")</f>
        <v>-5.9758363731840015E-4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354.03</v>
      </c>
      <c r="X334" s="8">
        <f>IFERROR(W334/W444, "NA")</f>
        <v>-7.9814143490964298E-3</v>
      </c>
      <c r="Y334" s="9"/>
      <c r="Z334" s="7">
        <v>-491.1</v>
      </c>
      <c r="AA334" s="8">
        <f>IFERROR(Z334/Z444, "NA")</f>
        <v>-8.6434997757635736E-4</v>
      </c>
      <c r="AB334" s="9"/>
      <c r="AC334" s="10">
        <f t="shared" si="83"/>
        <v>-137.07000000000005</v>
      </c>
      <c r="AD334" s="8">
        <f>IFERROR(AC334/AC444, "NA")</f>
        <v>-5.6492797549547091E-3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3125.69</v>
      </c>
      <c r="F337" s="8">
        <f>IFERROR(E337/E444, "NA")</f>
        <v>3.8278604766905977E-2</v>
      </c>
      <c r="G337" s="9"/>
      <c r="H337" s="10">
        <f t="shared" ref="H337:H344" si="84">IFERROR(-(B337-E337), "NA")</f>
        <v>3125.69</v>
      </c>
      <c r="I337" s="8">
        <f>IFERROR(H337/H444, "NA")</f>
        <v>-1.5167656592713299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20460.13</v>
      </c>
      <c r="U337" s="8">
        <f>IFERROR(T337/T444, "NA")</f>
        <v>3.2129969454737783E-2</v>
      </c>
      <c r="V337" s="9"/>
      <c r="W337" s="10">
        <f t="shared" ref="W337:W344" si="86">IFERROR(-(Q337-T337), "NA")</f>
        <v>20460.13</v>
      </c>
      <c r="X337" s="8">
        <f>IFERROR(W337/W444, "NA")</f>
        <v>-0.46126253471846557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3491.9</v>
      </c>
      <c r="C338" s="8">
        <f>IFERROR(B338/B444, "NA")</f>
        <v>4.3870537502343099E-2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-3491.9</v>
      </c>
      <c r="I338" s="8">
        <f>IFERROR(H338/H444, "NA")</f>
        <v>1.6944719423901786</v>
      </c>
      <c r="J338" s="9"/>
      <c r="K338" s="7">
        <v>2560.75</v>
      </c>
      <c r="L338" s="8">
        <f>IFERROR(K338/K444, "NA")</f>
        <v>3.5593715546061735E-2</v>
      </c>
      <c r="M338" s="9"/>
      <c r="N338" s="10">
        <f t="shared" si="85"/>
        <v>-931.15000000000009</v>
      </c>
      <c r="O338" s="8">
        <f>IFERROR(N338/N444, "NA")</f>
        <v>-0.12169222968027948</v>
      </c>
      <c r="P338" s="9"/>
      <c r="Q338" s="7">
        <v>18220.41</v>
      </c>
      <c r="R338" s="8">
        <f>IFERROR(Q338/Q444, "NA")</f>
        <v>3.0755074093247892E-2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-18220.41</v>
      </c>
      <c r="X338" s="8">
        <f>IFERROR(W338/W444, "NA")</f>
        <v>0.41076926198463432</v>
      </c>
      <c r="Y338" s="9"/>
      <c r="Z338" s="7">
        <v>15067.68</v>
      </c>
      <c r="AA338" s="8">
        <f>IFERROR(Z338/Z444, "NA")</f>
        <v>2.6519545652876661E-2</v>
      </c>
      <c r="AB338" s="9"/>
      <c r="AC338" s="10">
        <f t="shared" si="87"/>
        <v>-3152.7299999999996</v>
      </c>
      <c r="AD338" s="8">
        <f>IFERROR(AC338/AC444, "NA")</f>
        <v>-0.12993838011117204</v>
      </c>
    </row>
    <row r="339" spans="1:30" ht="16.5" customHeight="1" x14ac:dyDescent="0.45">
      <c r="A339" s="12" t="s">
        <v>309</v>
      </c>
      <c r="B339" s="7">
        <v>319.88</v>
      </c>
      <c r="C339" s="8">
        <f>IFERROR(B339/B444, "NA")</f>
        <v>4.0188171300007186E-3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-319.88</v>
      </c>
      <c r="I339" s="8">
        <f>IFERROR(H339/H444, "NA")</f>
        <v>0.15522428618567838</v>
      </c>
      <c r="J339" s="9"/>
      <c r="K339" s="7">
        <v>294.77</v>
      </c>
      <c r="L339" s="8">
        <f>IFERROR(K339/K444, "NA")</f>
        <v>4.0972213341843667E-3</v>
      </c>
      <c r="M339" s="9"/>
      <c r="N339" s="10">
        <f t="shared" si="85"/>
        <v>-25.110000000000014</v>
      </c>
      <c r="O339" s="8">
        <f>IFERROR(N339/N444, "NA")</f>
        <v>-3.2816322689919126E-3</v>
      </c>
      <c r="P339" s="9"/>
      <c r="Q339" s="7">
        <v>2269.13</v>
      </c>
      <c r="R339" s="8">
        <f>IFERROR(Q339/Q444, "NA")</f>
        <v>3.8301696436694671E-3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-2269.13</v>
      </c>
      <c r="X339" s="8">
        <f>IFERROR(W339/W444, "NA")</f>
        <v>5.1156305233921374E-2</v>
      </c>
      <c r="Y339" s="9"/>
      <c r="Z339" s="7">
        <v>2176.39</v>
      </c>
      <c r="AA339" s="8">
        <f>IFERROR(Z339/Z444, "NA")</f>
        <v>3.8305083439165309E-3</v>
      </c>
      <c r="AB339" s="9"/>
      <c r="AC339" s="10">
        <f t="shared" si="87"/>
        <v>-92.740000000000236</v>
      </c>
      <c r="AD339" s="8">
        <f>IFERROR(AC339/AC444, "NA")</f>
        <v>-3.822238305059465E-3</v>
      </c>
    </row>
    <row r="340" spans="1:30" ht="16.5" customHeight="1" x14ac:dyDescent="0.45">
      <c r="A340" s="12" t="s">
        <v>310</v>
      </c>
      <c r="B340" s="7">
        <v>349.64</v>
      </c>
      <c r="C340" s="8">
        <f>IFERROR(B340/B444, "NA")</f>
        <v>4.3927073319165039E-3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-349.64</v>
      </c>
      <c r="I340" s="8">
        <f>IFERROR(H340/H444, "NA")</f>
        <v>0.16966556027873134</v>
      </c>
      <c r="J340" s="9"/>
      <c r="K340" s="7">
        <v>400.72</v>
      </c>
      <c r="L340" s="8">
        <f>IFERROR(K340/K444, "NA")</f>
        <v>5.5698969808133788E-3</v>
      </c>
      <c r="M340" s="9"/>
      <c r="N340" s="10">
        <f t="shared" si="85"/>
        <v>51.080000000000041</v>
      </c>
      <c r="O340" s="8">
        <f>IFERROR(N340/N444, "NA")</f>
        <v>6.6756581561173605E-3</v>
      </c>
      <c r="P340" s="9"/>
      <c r="Q340" s="7">
        <v>2879.84</v>
      </c>
      <c r="R340" s="8">
        <f>IFERROR(Q340/Q444, "NA")</f>
        <v>4.8610153436008862E-3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-2879.84</v>
      </c>
      <c r="X340" s="8">
        <f>IFERROR(W340/W444, "NA")</f>
        <v>6.4924430977888498E-2</v>
      </c>
      <c r="Y340" s="9"/>
      <c r="Z340" s="7">
        <v>3007.33</v>
      </c>
      <c r="AA340" s="8">
        <f>IFERROR(Z340/Z444, "NA")</f>
        <v>5.2929863939415733E-3</v>
      </c>
      <c r="AB340" s="9"/>
      <c r="AC340" s="10">
        <f t="shared" si="87"/>
        <v>127.48999999999978</v>
      </c>
      <c r="AD340" s="8">
        <f>IFERROR(AC340/AC444, "NA")</f>
        <v>5.2544442690535811E-3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4161.42</v>
      </c>
      <c r="C342" s="15">
        <f>IFERROR(B342/B444, "NA")</f>
        <v>5.2282061964260322E-2</v>
      </c>
      <c r="D342" s="2"/>
      <c r="E342" s="14">
        <f>IFERROR(E337+E338+E339+E340+E341, "NA")</f>
        <v>3125.69</v>
      </c>
      <c r="F342" s="15">
        <f>IFERROR(E342/E444, "NA")</f>
        <v>3.8278604766905977E-2</v>
      </c>
      <c r="G342" s="2"/>
      <c r="H342" s="14">
        <f t="shared" si="84"/>
        <v>-1035.73</v>
      </c>
      <c r="I342" s="15">
        <f>IFERROR(H342/H444, "NA")</f>
        <v>0.50259612958325828</v>
      </c>
      <c r="J342" s="2"/>
      <c r="K342" s="14">
        <f>IFERROR(K337+K338+K339+K340+K341, "NA")</f>
        <v>3256.24</v>
      </c>
      <c r="L342" s="15">
        <f>IFERROR(K342/K444, "NA")</f>
        <v>4.5260833861059474E-2</v>
      </c>
      <c r="M342" s="2"/>
      <c r="N342" s="14">
        <f t="shared" si="85"/>
        <v>-905.18000000000029</v>
      </c>
      <c r="O342" s="15">
        <f>IFERROR(N342/N444, "NA")</f>
        <v>-0.11829820379315406</v>
      </c>
      <c r="P342" s="2"/>
      <c r="Q342" s="14">
        <f>IFERROR(Q337+Q338+Q339+Q340+Q341, "NA")</f>
        <v>23369.38</v>
      </c>
      <c r="R342" s="15">
        <f>IFERROR(Q342/Q444, "NA")</f>
        <v>3.9446259080518249E-2</v>
      </c>
      <c r="S342" s="2"/>
      <c r="T342" s="14">
        <f>IFERROR(T337+T338+T339+T340+T341, "NA")</f>
        <v>20460.13</v>
      </c>
      <c r="U342" s="15">
        <f>IFERROR(T342/T444, "NA")</f>
        <v>3.2129969454737783E-2</v>
      </c>
      <c r="V342" s="2"/>
      <c r="W342" s="14">
        <f t="shared" si="86"/>
        <v>-2909.25</v>
      </c>
      <c r="X342" s="15">
        <f>IFERROR(W342/W444, "NA")</f>
        <v>6.5587463477978683E-2</v>
      </c>
      <c r="Y342" s="2"/>
      <c r="Z342" s="14">
        <f>IFERROR(Z337+Z338+Z339+Z340+Z341, "NA")</f>
        <v>20251.400000000001</v>
      </c>
      <c r="AA342" s="15">
        <f>IFERROR(Z342/Z444, "NA")</f>
        <v>3.5643040390734772E-2</v>
      </c>
      <c r="AB342" s="2"/>
      <c r="AC342" s="14">
        <f t="shared" si="87"/>
        <v>-3117.9799999999996</v>
      </c>
      <c r="AD342" s="15">
        <f>IFERROR(AC342/AC444, "NA")</f>
        <v>-0.12850617414717791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12005.14</v>
      </c>
      <c r="C343" s="15">
        <f>IFERROR(B343/B444, "NA")</f>
        <v>0.15082675465817441</v>
      </c>
      <c r="D343" s="2"/>
      <c r="E343" s="14">
        <f>IFERROR(E328+E329+E330+E331+E332+E333+E334+E335+E337+E338+E339+E340+E341, "NA")</f>
        <v>10743.6</v>
      </c>
      <c r="F343" s="15">
        <f>IFERROR(E343/E444, "NA")</f>
        <v>0.13157095494874124</v>
      </c>
      <c r="G343" s="2"/>
      <c r="H343" s="14">
        <f t="shared" si="84"/>
        <v>-1261.5399999999991</v>
      </c>
      <c r="I343" s="15">
        <f>IFERROR(H343/H444, "NA")</f>
        <v>0.61217220831149355</v>
      </c>
      <c r="J343" s="2"/>
      <c r="K343" s="14">
        <f>IFERROR(K328+K329+K330+K331+K332+K333+K334+K335+K337+K338+K339+K340+K341, "NA")</f>
        <v>12633.75</v>
      </c>
      <c r="L343" s="15">
        <f>IFERROR(K343/K444, "NA")</f>
        <v>0.17560562482868591</v>
      </c>
      <c r="M343" s="2"/>
      <c r="N343" s="14">
        <f t="shared" si="85"/>
        <v>628.61000000000058</v>
      </c>
      <c r="O343" s="15">
        <f>IFERROR(N343/N444, "NA")</f>
        <v>8.2153200342931373E-2</v>
      </c>
      <c r="P343" s="2"/>
      <c r="Q343" s="14">
        <f>IFERROR(Q328+Q329+Q330+Q331+Q332+Q333+Q334+Q335+Q337+Q338+Q339+Q340+Q341, "NA")</f>
        <v>80891.97</v>
      </c>
      <c r="R343" s="15">
        <f>IFERROR(Q343/Q444, "NA")</f>
        <v>0.13654130345578314</v>
      </c>
      <c r="S343" s="2"/>
      <c r="T343" s="14">
        <f>IFERROR(T328+T329+T330+T331+T332+T333+T334+T335+T337+T338+T339+T340+T341, "NA")</f>
        <v>78001.759999999995</v>
      </c>
      <c r="U343" s="15">
        <f>IFERROR(T343/T444, "NA")</f>
        <v>0.12249160519585102</v>
      </c>
      <c r="V343" s="2"/>
      <c r="W343" s="14">
        <f t="shared" si="86"/>
        <v>-2890.2100000000064</v>
      </c>
      <c r="X343" s="15">
        <f>IFERROR(W343/W444, "NA")</f>
        <v>6.5158217003931998E-2</v>
      </c>
      <c r="Y343" s="2"/>
      <c r="Z343" s="14">
        <f>IFERROR(Z328+Z329+Z330+Z331+Z332+Z333+Z334+Z335+Z337+Z338+Z339+Z340+Z341, "NA")</f>
        <v>87550.209999999992</v>
      </c>
      <c r="AA343" s="15">
        <f>IFERROR(Z343/Z444, "NA")</f>
        <v>0.15409086143413842</v>
      </c>
      <c r="AB343" s="2"/>
      <c r="AC343" s="14">
        <f t="shared" si="87"/>
        <v>6658.2399999999907</v>
      </c>
      <c r="AD343" s="15">
        <f>IFERROR(AC343/AC444, "NA")</f>
        <v>0.27441643273969196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12005.14</v>
      </c>
      <c r="C344" s="15">
        <f>IFERROR(B344/B444, "NA")</f>
        <v>0.15082675465817441</v>
      </c>
      <c r="D344" s="2"/>
      <c r="E344" s="14">
        <f>IFERROR(E328+E329+E330+E331+E332+E333+E334+E335+E337+E338+E339+E340+E341, "NA")</f>
        <v>10743.6</v>
      </c>
      <c r="F344" s="15">
        <f>IFERROR(E344/E444, "NA")</f>
        <v>0.13157095494874124</v>
      </c>
      <c r="G344" s="2"/>
      <c r="H344" s="14">
        <f t="shared" si="84"/>
        <v>-1261.5399999999991</v>
      </c>
      <c r="I344" s="15">
        <f>IFERROR(H344/H444, "NA")</f>
        <v>0.61217220831149355</v>
      </c>
      <c r="J344" s="2"/>
      <c r="K344" s="14">
        <f>IFERROR(K328+K329+K330+K331+K332+K333+K334+K335+K337+K338+K339+K340+K341, "NA")</f>
        <v>12633.75</v>
      </c>
      <c r="L344" s="15">
        <f>IFERROR(K344/K444, "NA")</f>
        <v>0.17560562482868591</v>
      </c>
      <c r="M344" s="2"/>
      <c r="N344" s="14">
        <f t="shared" si="85"/>
        <v>628.61000000000058</v>
      </c>
      <c r="O344" s="15">
        <f>IFERROR(N344/N444, "NA")</f>
        <v>8.2153200342931373E-2</v>
      </c>
      <c r="P344" s="2"/>
      <c r="Q344" s="14">
        <f>IFERROR(Q328+Q329+Q330+Q331+Q332+Q333+Q334+Q335+Q337+Q338+Q339+Q340+Q341, "NA")</f>
        <v>80891.97</v>
      </c>
      <c r="R344" s="15">
        <f>IFERROR(Q344/Q444, "NA")</f>
        <v>0.13654130345578314</v>
      </c>
      <c r="S344" s="2"/>
      <c r="T344" s="14">
        <f>IFERROR(T328+T329+T330+T331+T332+T333+T334+T335+T337+T338+T339+T340+T341, "NA")</f>
        <v>78001.759999999995</v>
      </c>
      <c r="U344" s="15">
        <f>IFERROR(T344/T444, "NA")</f>
        <v>0.12249160519585102</v>
      </c>
      <c r="V344" s="2"/>
      <c r="W344" s="14">
        <f t="shared" si="86"/>
        <v>-2890.2100000000064</v>
      </c>
      <c r="X344" s="15">
        <f>IFERROR(W344/W444, "NA")</f>
        <v>6.5158217003931998E-2</v>
      </c>
      <c r="Y344" s="2"/>
      <c r="Z344" s="14">
        <f>IFERROR(Z328+Z329+Z330+Z331+Z332+Z333+Z334+Z335+Z337+Z338+Z339+Z340+Z341, "NA")</f>
        <v>87550.209999999992</v>
      </c>
      <c r="AA344" s="15">
        <f>IFERROR(Z344/Z444, "NA")</f>
        <v>0.15409086143413842</v>
      </c>
      <c r="AB344" s="2"/>
      <c r="AC344" s="14">
        <f t="shared" si="87"/>
        <v>6658.2399999999907</v>
      </c>
      <c r="AD344" s="15">
        <f>IFERROR(AC344/AC444, "NA")</f>
        <v>0.27441643273969196</v>
      </c>
    </row>
    <row r="345" spans="1:30" ht="16.5" customHeight="1" x14ac:dyDescent="0.45">
      <c r="A345" s="22" t="s">
        <v>315</v>
      </c>
      <c r="B345" s="23">
        <f>IFERROR(B198-B325-B344, "NA")</f>
        <v>-858.39000000001397</v>
      </c>
      <c r="C345" s="24">
        <f>IFERROR(B345/B444, "NA")</f>
        <v>-1.0784395511508607E-2</v>
      </c>
      <c r="D345" s="25"/>
      <c r="E345" s="23">
        <f>IFERROR(E198-E325-E344, "NA")</f>
        <v>9362.0999999999967</v>
      </c>
      <c r="F345" s="24">
        <f>IFERROR(E345/E444, "NA")</f>
        <v>0.1146524849515628</v>
      </c>
      <c r="G345" s="25"/>
      <c r="H345" s="23">
        <f>IFERROR(B345-E345, "NA")</f>
        <v>-10220.490000000011</v>
      </c>
      <c r="I345" s="24">
        <f>IFERROR(H345/H444, "NA")</f>
        <v>4.9595731671810226</v>
      </c>
      <c r="J345" s="25"/>
      <c r="K345" s="23">
        <f>IFERROR(K198-K325-K344, "NA")</f>
        <v>-3388.2199999999939</v>
      </c>
      <c r="L345" s="24">
        <f>IFERROR(K345/K444, "NA")</f>
        <v>-4.70953192960957E-2</v>
      </c>
      <c r="M345" s="25"/>
      <c r="N345" s="23">
        <f>IFERROR(B345-K345, "NA")</f>
        <v>2529.8299999999799</v>
      </c>
      <c r="O345" s="24">
        <f>IFERROR(N345/N444, "NA")</f>
        <v>0.33062412437529826</v>
      </c>
      <c r="P345" s="25"/>
      <c r="Q345" s="23">
        <f>IFERROR(Q198-Q325-Q344, "NA")</f>
        <v>1989.7399999998743</v>
      </c>
      <c r="R345" s="24">
        <f>IFERROR(Q345/Q444, "NA")</f>
        <v>3.3585743200232705E-3</v>
      </c>
      <c r="S345" s="25"/>
      <c r="T345" s="23">
        <f>IFERROR(T198-T325-T344, "NA")</f>
        <v>65561.720000000045</v>
      </c>
      <c r="U345" s="24">
        <f>IFERROR(T345/T444, "NA")</f>
        <v>0.10295614255628252</v>
      </c>
      <c r="V345" s="25"/>
      <c r="W345" s="23">
        <f>IFERROR(Q345-T345, "NA")</f>
        <v>-63571.980000000171</v>
      </c>
      <c r="X345" s="24">
        <f>IFERROR(W345/W444, "NA")</f>
        <v>1.4331958121415491</v>
      </c>
      <c r="Y345" s="25"/>
      <c r="Z345" s="23">
        <f>IFERROR(Z198-Z325-Z344, "NA")</f>
        <v>4843.439999999915</v>
      </c>
      <c r="AA345" s="24">
        <f>IFERROR(Z345/Z444, "NA")</f>
        <v>8.5245922528860898E-3</v>
      </c>
      <c r="AB345" s="25"/>
      <c r="AC345" s="23">
        <f>IFERROR(Q345-Z345, "NA")</f>
        <v>-2853.7000000000407</v>
      </c>
      <c r="AD345" s="24">
        <f>IFERROR(AC345/AC444, "NA")</f>
        <v>-0.11761399020000349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-858.39000000001397</v>
      </c>
      <c r="C404" s="24">
        <f>IFERROR(B404/B444, "NA")</f>
        <v>-1.0784395511508607E-2</v>
      </c>
      <c r="D404" s="25"/>
      <c r="E404" s="23">
        <f>IFERROR(E345-E403, "NA")</f>
        <v>9362.0999999999967</v>
      </c>
      <c r="F404" s="24">
        <f>IFERROR(E404/E444, "NA")</f>
        <v>0.1146524849515628</v>
      </c>
      <c r="G404" s="25"/>
      <c r="H404" s="23">
        <f>IFERROR(B404-E404, "NA")</f>
        <v>-10220.490000000011</v>
      </c>
      <c r="I404" s="24">
        <f>IFERROR(H404/H444, "NA")</f>
        <v>4.9595731671810226</v>
      </c>
      <c r="J404" s="25"/>
      <c r="K404" s="23">
        <f>IFERROR(K345-K403, "NA")</f>
        <v>-3388.2199999999939</v>
      </c>
      <c r="L404" s="24">
        <f>IFERROR(K404/K444, "NA")</f>
        <v>-4.70953192960957E-2</v>
      </c>
      <c r="M404" s="25"/>
      <c r="N404" s="23">
        <f>IFERROR(B404-K404, "NA")</f>
        <v>2529.8299999999799</v>
      </c>
      <c r="O404" s="24">
        <f>IFERROR(N404/N444, "NA")</f>
        <v>0.33062412437529826</v>
      </c>
      <c r="P404" s="25"/>
      <c r="Q404" s="23">
        <f>IFERROR(Q345-Q403, "NA")</f>
        <v>1989.7399999998743</v>
      </c>
      <c r="R404" s="24">
        <f>IFERROR(Q404/Q444, "NA")</f>
        <v>3.3585743200232705E-3</v>
      </c>
      <c r="S404" s="25"/>
      <c r="T404" s="23">
        <f>IFERROR(T345-T403, "NA")</f>
        <v>65561.720000000045</v>
      </c>
      <c r="U404" s="24">
        <f>IFERROR(T404/T444, "NA")</f>
        <v>0.10295614255628252</v>
      </c>
      <c r="V404" s="25"/>
      <c r="W404" s="23">
        <f>IFERROR(Q404-T404, "NA")</f>
        <v>-63571.980000000171</v>
      </c>
      <c r="X404" s="24">
        <f>IFERROR(W404/W444, "NA")</f>
        <v>1.4331958121415491</v>
      </c>
      <c r="Y404" s="25"/>
      <c r="Z404" s="23">
        <f>IFERROR(Z345-Z403, "NA")</f>
        <v>4843.439999999915</v>
      </c>
      <c r="AA404" s="24">
        <f>IFERROR(Z404/Z444, "NA")</f>
        <v>8.5245922528860898E-3</v>
      </c>
      <c r="AB404" s="25"/>
      <c r="AC404" s="23">
        <f>IFERROR(Q404-Z404, "NA")</f>
        <v>-2853.7000000000407</v>
      </c>
      <c r="AD404" s="24">
        <f>IFERROR(AC404/AC444, "NA")</f>
        <v>-0.11761399020000349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-0.1036627195505704</v>
      </c>
      <c r="AB407" s="9"/>
      <c r="AC407" s="10">
        <f t="shared" ref="AC407:AC429" si="103">IFERROR(-(Q407-Z407), "NA")</f>
        <v>-58898.32</v>
      </c>
      <c r="AD407" s="8">
        <f>IFERROR(AC407/AC444, "NA")</f>
        <v>-2.4274683503089221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387</v>
      </c>
      <c r="L408" s="8">
        <f>IFERROR(K408/K444, "NA")</f>
        <v>5.3791927819294705E-3</v>
      </c>
      <c r="M408" s="9"/>
      <c r="N408" s="10">
        <f t="shared" si="101"/>
        <v>387</v>
      </c>
      <c r="O408" s="8">
        <f>IFERROR(N408/N444, "NA")</f>
        <v>5.0577128160090377E-2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718.69</v>
      </c>
      <c r="AA408" s="8">
        <f>IFERROR(Z408/Z444, "NA")</f>
        <v>1.2649148551911063E-3</v>
      </c>
      <c r="AB408" s="9"/>
      <c r="AC408" s="10">
        <f t="shared" si="103"/>
        <v>718.69</v>
      </c>
      <c r="AD408" s="8">
        <f>IFERROR(AC408/AC444, "NA")</f>
        <v>2.962049220900561E-2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4395.1499999999996</v>
      </c>
      <c r="C410" s="8">
        <f>IFERROR(B410/B444, "NA")</f>
        <v>5.5218532289992052E-2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-4395.1499999999996</v>
      </c>
      <c r="I410" s="8">
        <f>IFERROR(H410/H444, "NA")</f>
        <v>2.1327811098817815</v>
      </c>
      <c r="J410" s="9"/>
      <c r="K410" s="7">
        <v>3743.62</v>
      </c>
      <c r="L410" s="8">
        <f>IFERROR(K410/K444, "NA")</f>
        <v>5.2035280832782436E-2</v>
      </c>
      <c r="M410" s="9"/>
      <c r="N410" s="10">
        <f t="shared" si="101"/>
        <v>-651.52999999999975</v>
      </c>
      <c r="O410" s="8">
        <f>IFERROR(N410/N444, "NA")</f>
        <v>-8.5148620956443599E-2</v>
      </c>
      <c r="P410" s="9"/>
      <c r="Q410" s="7">
        <v>27757.95</v>
      </c>
      <c r="R410" s="8">
        <f>IFERROR(Q410/Q444, "NA")</f>
        <v>4.6853929682519238E-2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-27757.95</v>
      </c>
      <c r="X410" s="8">
        <f>IFERROR(W410/W444, "NA")</f>
        <v>0.62578792879558587</v>
      </c>
      <c r="Y410" s="9"/>
      <c r="Z410" s="7">
        <v>24868.12</v>
      </c>
      <c r="AA410" s="8">
        <f>IFERROR(Z410/Z444, "NA")</f>
        <v>4.3768598990767994E-2</v>
      </c>
      <c r="AB410" s="9"/>
      <c r="AC410" s="10">
        <f t="shared" si="103"/>
        <v>-2889.8300000000017</v>
      </c>
      <c r="AD410" s="8">
        <f>IFERROR(AC410/AC444, "NA")</f>
        <v>-0.11910307225695463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56.58</v>
      </c>
      <c r="C417" s="8">
        <f>IFERROR(B417/B444, "NA")</f>
        <v>7.1084367017456749E-4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-56.58</v>
      </c>
      <c r="I417" s="8">
        <f>IFERROR(H417/H444, "NA")</f>
        <v>2.7455890059977749E-2</v>
      </c>
      <c r="J417" s="9"/>
      <c r="K417" s="7">
        <v>6.52</v>
      </c>
      <c r="L417" s="8">
        <f>IFERROR(K417/K444, "NA")</f>
        <v>9.0626193638708376E-5</v>
      </c>
      <c r="M417" s="9"/>
      <c r="N417" s="10">
        <f t="shared" si="101"/>
        <v>-50.06</v>
      </c>
      <c r="O417" s="8">
        <f>IFERROR(N417/N444, "NA")</f>
        <v>-6.5423540974008385E-3</v>
      </c>
      <c r="P417" s="9"/>
      <c r="Q417" s="7">
        <v>77.81</v>
      </c>
      <c r="R417" s="8">
        <f>IFERROR(Q417/Q444, "NA")</f>
        <v>1.3133910352157929E-4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-77.81</v>
      </c>
      <c r="X417" s="8">
        <f>IFERROR(W417/W444, "NA")</f>
        <v>1.7541842513436525E-3</v>
      </c>
      <c r="Y417" s="9"/>
      <c r="Z417" s="7">
        <v>6.66</v>
      </c>
      <c r="AA417" s="8">
        <f>IFERROR(Z417/Z444, "NA")</f>
        <v>1.1721789555403259E-5</v>
      </c>
      <c r="AB417" s="9"/>
      <c r="AC417" s="10">
        <f t="shared" si="103"/>
        <v>-71.150000000000006</v>
      </c>
      <c r="AD417" s="8">
        <f>IFERROR(AC417/AC444, "NA")</f>
        <v>-2.9324159521779197E-3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4.5670319699187755E-3</v>
      </c>
      <c r="M424" s="9"/>
      <c r="N424" s="10">
        <f t="shared" si="101"/>
        <v>328.57</v>
      </c>
      <c r="O424" s="8">
        <f>IFERROR(N424/N444, "NA")</f>
        <v>4.2940896639692236E-2</v>
      </c>
      <c r="P424" s="9"/>
      <c r="Q424" s="7">
        <v>239.6</v>
      </c>
      <c r="R424" s="8">
        <f>IFERROR(Q424/Q444, "NA")</f>
        <v>4.0443193938787301E-4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5.4016520578581044E-3</v>
      </c>
      <c r="Y424" s="9"/>
      <c r="Z424" s="7">
        <v>657.14</v>
      </c>
      <c r="AA424" s="8">
        <f>IFERROR(Z424/Z444, "NA")</f>
        <v>1.1565851033690235E-3</v>
      </c>
      <c r="AB424" s="9"/>
      <c r="AC424" s="10">
        <f t="shared" si="103"/>
        <v>417.53999999999996</v>
      </c>
      <c r="AD424" s="8">
        <f>IFERROR(AC424/AC444, "NA")</f>
        <v>1.7208727430391684E-2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-131.81</v>
      </c>
      <c r="C426" s="8">
        <f>IFERROR(B426/B444, "NA")</f>
        <v>-1.655996892288967E-3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131.81</v>
      </c>
      <c r="I426" s="8">
        <f>IFERROR(H426/H444, "NA")</f>
        <v>-6.3961839321415109E-2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131.81</v>
      </c>
      <c r="O426" s="8">
        <f>IFERROR(N426/N444, "NA")</f>
        <v>1.7226282332768766E-2</v>
      </c>
      <c r="P426" s="9"/>
      <c r="Q426" s="7">
        <v>-934.58</v>
      </c>
      <c r="R426" s="8">
        <f>IFERROR(Q426/Q444, "NA")</f>
        <v>-1.5775208760981567E-3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934.58</v>
      </c>
      <c r="X426" s="8">
        <f>IFERROR(W426/W444, "NA")</f>
        <v>-2.1069599249720482E-2</v>
      </c>
      <c r="Y426" s="9"/>
      <c r="Z426" s="7">
        <v>-1136.19</v>
      </c>
      <c r="AA426" s="8">
        <f>IFERROR(Z426/Z444, "NA")</f>
        <v>-1.9997267379810255E-3</v>
      </c>
      <c r="AB426" s="9"/>
      <c r="AC426" s="10">
        <f t="shared" si="103"/>
        <v>-201.61</v>
      </c>
      <c r="AD426" s="8">
        <f>IFERROR(AC426/AC444, "NA")</f>
        <v>-8.3092674647728786E-3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4319.9199999999992</v>
      </c>
      <c r="C428" s="15">
        <f>IFERROR(B428/B444, "NA")</f>
        <v>5.4273379067877645E-2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-4319.9199999999992</v>
      </c>
      <c r="I428" s="15">
        <f>IFERROR(H428/H444, "NA")</f>
        <v>2.0962751606203436</v>
      </c>
      <c r="J428" s="2"/>
      <c r="K428" s="14">
        <f>IFERROR(K407+K408+K409+K410+K411+K412+K413+K414+K415+K416+K417+K418+K419+K420+K421+K422+K423+K424+K425+K426+K427, "NA")</f>
        <v>4465.71</v>
      </c>
      <c r="L428" s="15">
        <f>IFERROR(K428/K444, "NA")</f>
        <v>6.2072131778269389E-2</v>
      </c>
      <c r="M428" s="2"/>
      <c r="N428" s="14">
        <f t="shared" si="101"/>
        <v>145.79000000000087</v>
      </c>
      <c r="O428" s="15">
        <f>IFERROR(N428/N444, "NA")</f>
        <v>1.905333207870703E-2</v>
      </c>
      <c r="P428" s="2"/>
      <c r="Q428" s="14">
        <f>IFERROR(Q407+Q408+Q409+Q410+Q411+Q412+Q413+Q414+Q415+Q416+Q417+Q418+Q419+Q420+Q421+Q422+Q423+Q424+Q425+Q426+Q427, "NA")</f>
        <v>27140.78</v>
      </c>
      <c r="R428" s="15">
        <f>IFERROR(Q428/Q444, "NA")</f>
        <v>4.5812179849330531E-2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-27140.78</v>
      </c>
      <c r="X428" s="15">
        <f>IFERROR(W428/W444, "NA")</f>
        <v>0.61187416585506715</v>
      </c>
      <c r="Y428" s="2"/>
      <c r="Z428" s="14">
        <f>IFERROR(Z407+Z408+Z409+Z410+Z411+Z412+Z413+Z414+Z415+Z416+Z417+Z418+Z419+Z420+Z421+Z422+Z423+Z424+Z425+Z426+Z427, "NA")</f>
        <v>-33783.899999999994</v>
      </c>
      <c r="AA428" s="15">
        <f>IFERROR(Z428/Z444, "NA")</f>
        <v>-5.9460625549667877E-2</v>
      </c>
      <c r="AB428" s="2"/>
      <c r="AC428" s="14">
        <f t="shared" si="103"/>
        <v>-60924.679999999993</v>
      </c>
      <c r="AD428" s="15">
        <f>IFERROR(AC428/AC444, "NA")</f>
        <v>-2.5109838863434297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4319.9199999999992</v>
      </c>
      <c r="C429" s="15">
        <f>IFERROR(B429/B444, "NA")</f>
        <v>5.4273379067877645E-2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-4319.9199999999992</v>
      </c>
      <c r="I429" s="15">
        <f>IFERROR(H429/H444, "NA")</f>
        <v>2.0962751606203436</v>
      </c>
      <c r="J429" s="2"/>
      <c r="K429" s="14">
        <f>IFERROR(K407+K408+K409+K410+K411+K412+K413+K414+K415+K416+K417+K418+K419+K420+K421+K422+K423+K424+K425+K426+K427, "NA")</f>
        <v>4465.71</v>
      </c>
      <c r="L429" s="15">
        <f>IFERROR(K429/K444, "NA")</f>
        <v>6.2072131778269389E-2</v>
      </c>
      <c r="M429" s="2"/>
      <c r="N429" s="14">
        <f t="shared" si="101"/>
        <v>145.79000000000087</v>
      </c>
      <c r="O429" s="15">
        <f>IFERROR(N429/N444, "NA")</f>
        <v>1.905333207870703E-2</v>
      </c>
      <c r="P429" s="2"/>
      <c r="Q429" s="14">
        <f>IFERROR(Q407+Q408+Q409+Q410+Q411+Q412+Q413+Q414+Q415+Q416+Q417+Q418+Q419+Q420+Q421+Q422+Q423+Q424+Q425+Q426+Q427, "NA")</f>
        <v>27140.78</v>
      </c>
      <c r="R429" s="15">
        <f>IFERROR(Q429/Q444, "NA")</f>
        <v>4.5812179849330531E-2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-27140.78</v>
      </c>
      <c r="X429" s="15">
        <f>IFERROR(W429/W444, "NA")</f>
        <v>0.61187416585506715</v>
      </c>
      <c r="Y429" s="2"/>
      <c r="Z429" s="14">
        <f>IFERROR(Z407+Z408+Z409+Z410+Z411+Z412+Z413+Z414+Z415+Z416+Z417+Z418+Z419+Z420+Z421+Z422+Z423+Z424+Z425+Z426+Z427, "NA")</f>
        <v>-33783.899999999994</v>
      </c>
      <c r="AA429" s="15">
        <f>IFERROR(Z429/Z444, "NA")</f>
        <v>-5.9460625549667877E-2</v>
      </c>
      <c r="AB429" s="2"/>
      <c r="AC429" s="14">
        <f t="shared" si="103"/>
        <v>-60924.679999999993</v>
      </c>
      <c r="AD429" s="15">
        <f>IFERROR(AC429/AC444, "NA")</f>
        <v>-2.5109838863434297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-5178.3100000000131</v>
      </c>
      <c r="C443" s="24">
        <f>IFERROR(B443/B444, "NA")</f>
        <v>-6.505777457938626E-2</v>
      </c>
      <c r="D443" s="25"/>
      <c r="E443" s="23">
        <f>IFERROR(E404-E429-E442, "NA")</f>
        <v>9362.0999999999967</v>
      </c>
      <c r="F443" s="24">
        <f>IFERROR(E443/E444, "NA")</f>
        <v>0.1146524849515628</v>
      </c>
      <c r="G443" s="25"/>
      <c r="H443" s="23">
        <f>IFERROR(B443-E443, "NA")</f>
        <v>-14540.410000000011</v>
      </c>
      <c r="I443" s="24">
        <f>IFERROR(H443/H444, "NA")</f>
        <v>7.0558483278013666</v>
      </c>
      <c r="J443" s="25"/>
      <c r="K443" s="23">
        <f>IFERROR(K404-K429-K442, "NA")</f>
        <v>-7853.9299999999939</v>
      </c>
      <c r="L443" s="24">
        <f>IFERROR(K443/K444, "NA")</f>
        <v>-0.1091674510743651</v>
      </c>
      <c r="M443" s="25"/>
      <c r="N443" s="23">
        <f>IFERROR(B443-K443, "NA")</f>
        <v>2675.6199999999808</v>
      </c>
      <c r="O443" s="24">
        <f>IFERROR(N443/N444, "NA")</f>
        <v>0.34967745645400528</v>
      </c>
      <c r="P443" s="25"/>
      <c r="Q443" s="23">
        <f>IFERROR(Q404-Q429-Q442, "NA")</f>
        <v>-25151.040000000125</v>
      </c>
      <c r="R443" s="24">
        <f>IFERROR(Q443/Q444, "NA")</f>
        <v>-4.2453605529307263E-2</v>
      </c>
      <c r="S443" s="25"/>
      <c r="T443" s="23">
        <f>IFERROR(T404-T429-T442, "NA")</f>
        <v>65561.720000000045</v>
      </c>
      <c r="U443" s="24">
        <f>IFERROR(T443/T444, "NA")</f>
        <v>0.10295614255628252</v>
      </c>
      <c r="V443" s="25"/>
      <c r="W443" s="23">
        <f>IFERROR(Q443-T443, "NA")</f>
        <v>-90712.760000000169</v>
      </c>
      <c r="X443" s="24">
        <f>IFERROR(W443/W444, "NA")</f>
        <v>2.0450699779966164</v>
      </c>
      <c r="Y443" s="25"/>
      <c r="Z443" s="23">
        <f>IFERROR(Z404-Z429-Z442, "NA")</f>
        <v>38627.339999999909</v>
      </c>
      <c r="AA443" s="24">
        <f>IFERROR(Z443/Z444, "NA")</f>
        <v>6.7985217802553968E-2</v>
      </c>
      <c r="AB443" s="25"/>
      <c r="AC443" s="23">
        <f>IFERROR(Q443-Z443, "NA")</f>
        <v>-63778.380000000034</v>
      </c>
      <c r="AD443" s="24">
        <f>IFERROR(AC443/AC444, "NA")</f>
        <v>-2.628597876543433</v>
      </c>
    </row>
    <row r="444" spans="1:30" ht="15.75" hidden="1" x14ac:dyDescent="0.45">
      <c r="A444" s="26" t="s">
        <v>117</v>
      </c>
      <c r="B444" s="7">
        <v>79595.56</v>
      </c>
      <c r="C444" s="27"/>
      <c r="D444" s="9"/>
      <c r="E444" s="7">
        <v>81656.320000000007</v>
      </c>
      <c r="F444" s="27"/>
      <c r="G444" s="9"/>
      <c r="H444" s="10">
        <f>IFERROR(B444-E444, "NA")</f>
        <v>-2060.7600000000093</v>
      </c>
      <c r="I444" s="27"/>
      <c r="J444" s="9"/>
      <c r="K444" s="7">
        <v>71943.88</v>
      </c>
      <c r="L444" s="27"/>
      <c r="M444" s="9"/>
      <c r="N444" s="10">
        <f>IFERROR(B444-K444, "NA")</f>
        <v>7651.679999999993</v>
      </c>
      <c r="O444" s="27"/>
      <c r="P444" s="9"/>
      <c r="Q444" s="7">
        <v>592435.9</v>
      </c>
      <c r="R444" s="27"/>
      <c r="S444" s="9"/>
      <c r="T444" s="7">
        <v>636792.69999999995</v>
      </c>
      <c r="U444" s="27"/>
      <c r="V444" s="9"/>
      <c r="W444" s="10">
        <f>IFERROR(Q444-T444, "NA")</f>
        <v>-44356.79999999993</v>
      </c>
      <c r="X444" s="27"/>
      <c r="Y444" s="9"/>
      <c r="Z444" s="7">
        <v>568172.63</v>
      </c>
      <c r="AA444" s="27"/>
      <c r="AB444" s="9"/>
      <c r="AC444" s="10">
        <f>IFERROR(Q444-Z444, "NA")</f>
        <v>24263.270000000019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37080.53</v>
      </c>
      <c r="F10" s="8">
        <f>IFERROR(E10/E444, "NA")</f>
        <v>0.24000002847856072</v>
      </c>
      <c r="G10" s="9"/>
      <c r="H10" s="10">
        <f t="shared" ref="H10:H19" si="0">IFERROR(B10-E10, "NA")</f>
        <v>-37080.53</v>
      </c>
      <c r="I10" s="8">
        <f>IFERROR(H10/H444, "NA")</f>
        <v>40.875402354601015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276975.27</v>
      </c>
      <c r="U10" s="8">
        <f>IFERROR(T10/T444, "NA")</f>
        <v>0.23999999688058801</v>
      </c>
      <c r="V10" s="9"/>
      <c r="W10" s="10">
        <f t="shared" ref="W10:W19" si="2">IFERROR(Q10-T10, "NA")</f>
        <v>-276975.27</v>
      </c>
      <c r="X10" s="8">
        <f>IFERROR(W10/W444, "NA")</f>
        <v>-2.3580051504452184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49623.71</v>
      </c>
      <c r="C11" s="8">
        <f>IFERROR(B11/B444, "NA")</f>
        <v>0.32308148251932373</v>
      </c>
      <c r="D11" s="9"/>
      <c r="E11" s="7">
        <v>0</v>
      </c>
      <c r="F11" s="8">
        <f>IFERROR(E11/E444, "NA")</f>
        <v>0</v>
      </c>
      <c r="G11" s="9"/>
      <c r="H11" s="10">
        <f t="shared" si="0"/>
        <v>49623.71</v>
      </c>
      <c r="I11" s="8">
        <f>IFERROR(H11/H444, "NA")</f>
        <v>-54.702268618545581</v>
      </c>
      <c r="J11" s="9"/>
      <c r="K11" s="7">
        <v>37401.699999999997</v>
      </c>
      <c r="L11" s="8">
        <f>IFERROR(K11/K444, "NA")</f>
        <v>0.26628662031069394</v>
      </c>
      <c r="M11" s="9"/>
      <c r="N11" s="10">
        <f t="shared" si="1"/>
        <v>12222.010000000002</v>
      </c>
      <c r="O11" s="8">
        <f>IFERROR(N11/N444, "NA")</f>
        <v>0.9302453556271344</v>
      </c>
      <c r="P11" s="9"/>
      <c r="Q11" s="7">
        <v>339271.58</v>
      </c>
      <c r="R11" s="8">
        <f>IFERROR(Q11/Q444, "NA")</f>
        <v>0.26682250993772966</v>
      </c>
      <c r="S11" s="9"/>
      <c r="T11" s="7">
        <v>0</v>
      </c>
      <c r="U11" s="8">
        <f>IFERROR(T11/T444, "NA")</f>
        <v>0</v>
      </c>
      <c r="V11" s="9"/>
      <c r="W11" s="10">
        <f t="shared" si="2"/>
        <v>339271.58</v>
      </c>
      <c r="X11" s="8">
        <f>IFERROR(W11/W444, "NA")</f>
        <v>2.8883594302108162</v>
      </c>
      <c r="Y11" s="9"/>
      <c r="Z11" s="7">
        <v>281213.42</v>
      </c>
      <c r="AA11" s="8">
        <f>IFERROR(Z11/Z444, "NA")</f>
        <v>0.27045641111428936</v>
      </c>
      <c r="AB11" s="9"/>
      <c r="AC11" s="10">
        <f t="shared" si="3"/>
        <v>58058.160000000033</v>
      </c>
      <c r="AD11" s="8">
        <f>IFERROR(AC11/AC444, "NA")</f>
        <v>0.25051871228265388</v>
      </c>
    </row>
    <row r="12" spans="1:30" ht="16.5" customHeight="1" x14ac:dyDescent="0.45">
      <c r="A12" s="12" t="s">
        <v>14</v>
      </c>
      <c r="B12" s="7">
        <v>4921.75</v>
      </c>
      <c r="C12" s="8">
        <f>IFERROR(B12/B444, "NA")</f>
        <v>3.2043680059179E-2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4921.75</v>
      </c>
      <c r="I12" s="8">
        <f>IFERROR(H12/H444, "NA")</f>
        <v>-5.4254486529388215</v>
      </c>
      <c r="J12" s="9"/>
      <c r="K12" s="7">
        <v>3228</v>
      </c>
      <c r="L12" s="8">
        <f>IFERROR(K12/K444, "NA")</f>
        <v>2.2982196273509496E-2</v>
      </c>
      <c r="M12" s="9"/>
      <c r="N12" s="10">
        <f t="shared" si="1"/>
        <v>1693.75</v>
      </c>
      <c r="O12" s="8">
        <f>IFERROR(N12/N444, "NA")</f>
        <v>0.12891521698095965</v>
      </c>
      <c r="P12" s="9"/>
      <c r="Q12" s="7">
        <v>33081.94</v>
      </c>
      <c r="R12" s="8">
        <f>IFERROR(Q12/Q444, "NA")</f>
        <v>2.6017523378791048E-2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33081.94</v>
      </c>
      <c r="X12" s="8">
        <f>IFERROR(W12/W444, "NA")</f>
        <v>0.28164025223883593</v>
      </c>
      <c r="Y12" s="9"/>
      <c r="Z12" s="7">
        <v>24877.9</v>
      </c>
      <c r="AA12" s="8">
        <f>IFERROR(Z12/Z444, "NA")</f>
        <v>2.3926267637085667E-2</v>
      </c>
      <c r="AB12" s="9"/>
      <c r="AC12" s="10">
        <f t="shared" si="3"/>
        <v>8204.0400000000009</v>
      </c>
      <c r="AD12" s="8">
        <f>IFERROR(AC12/AC444, "NA")</f>
        <v>3.5400114924678684E-2</v>
      </c>
    </row>
    <row r="13" spans="1:30" ht="16.5" customHeight="1" x14ac:dyDescent="0.45">
      <c r="A13" s="12" t="s">
        <v>15</v>
      </c>
      <c r="B13" s="7">
        <v>223</v>
      </c>
      <c r="C13" s="8">
        <f>IFERROR(B13/B444, "NA")</f>
        <v>1.4518698944881224E-3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223</v>
      </c>
      <c r="I13" s="8">
        <f>IFERROR(H13/H444, "NA")</f>
        <v>-0.24582212619603944</v>
      </c>
      <c r="J13" s="9"/>
      <c r="K13" s="7">
        <v>188</v>
      </c>
      <c r="L13" s="8">
        <f>IFERROR(K13/K444, "NA")</f>
        <v>1.3384922241077401E-3</v>
      </c>
      <c r="M13" s="9"/>
      <c r="N13" s="10">
        <f t="shared" si="1"/>
        <v>35</v>
      </c>
      <c r="O13" s="8">
        <f>IFERROR(N13/N444, "NA")</f>
        <v>2.66393068300138E-3</v>
      </c>
      <c r="P13" s="9"/>
      <c r="Q13" s="7">
        <v>2309</v>
      </c>
      <c r="R13" s="8">
        <f>IFERROR(Q13/Q444, "NA")</f>
        <v>1.815929219435998E-3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2309</v>
      </c>
      <c r="X13" s="8">
        <f>IFERROR(W13/W444, "NA")</f>
        <v>1.9657473002474224E-2</v>
      </c>
      <c r="Y13" s="9"/>
      <c r="Z13" s="7">
        <v>1895</v>
      </c>
      <c r="AA13" s="8">
        <f>IFERROR(Z13/Z444, "NA")</f>
        <v>1.8225122366549162E-3</v>
      </c>
      <c r="AB13" s="9"/>
      <c r="AC13" s="10">
        <f t="shared" si="3"/>
        <v>414</v>
      </c>
      <c r="AD13" s="8">
        <f>IFERROR(AC13/AC444, "NA")</f>
        <v>1.7863939691684795E-3</v>
      </c>
    </row>
    <row r="14" spans="1:30" ht="16.5" customHeight="1" x14ac:dyDescent="0.45">
      <c r="A14" s="12" t="s">
        <v>16</v>
      </c>
      <c r="B14" s="7">
        <v>95</v>
      </c>
      <c r="C14" s="8">
        <f>IFERROR(B14/B444, "NA")</f>
        <v>6.185095963065992E-4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95</v>
      </c>
      <c r="I14" s="8">
        <f>IFERROR(H14/H444, "NA")</f>
        <v>-0.10472243044225896</v>
      </c>
      <c r="J14" s="9"/>
      <c r="K14" s="7">
        <v>535</v>
      </c>
      <c r="L14" s="8">
        <f>IFERROR(K14/K444, "NA")</f>
        <v>3.8090071271151115E-3</v>
      </c>
      <c r="M14" s="9"/>
      <c r="N14" s="10">
        <f t="shared" si="1"/>
        <v>-440</v>
      </c>
      <c r="O14" s="8">
        <f>IFERROR(N14/N444, "NA")</f>
        <v>-3.3489414300588778E-2</v>
      </c>
      <c r="P14" s="9"/>
      <c r="Q14" s="7">
        <v>2855</v>
      </c>
      <c r="R14" s="8">
        <f>IFERROR(Q14/Q444, "NA")</f>
        <v>2.245334742957893E-3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2855</v>
      </c>
      <c r="X14" s="8">
        <f>IFERROR(W14/W444, "NA")</f>
        <v>2.4305797064557776E-2</v>
      </c>
      <c r="Y14" s="9"/>
      <c r="Z14" s="7">
        <v>4677</v>
      </c>
      <c r="AA14" s="8">
        <f>IFERROR(Z14/Z444, "NA")</f>
        <v>4.4980948447678323E-3</v>
      </c>
      <c r="AB14" s="9"/>
      <c r="AC14" s="10">
        <f t="shared" si="3"/>
        <v>-1822</v>
      </c>
      <c r="AD14" s="8">
        <f>IFERROR(AC14/AC444, "NA")</f>
        <v>-7.8618594488525841E-3</v>
      </c>
    </row>
    <row r="15" spans="1:30" ht="16.5" customHeight="1" x14ac:dyDescent="0.45">
      <c r="A15" s="12" t="s">
        <v>17</v>
      </c>
      <c r="B15" s="7">
        <v>52</v>
      </c>
      <c r="C15" s="8">
        <f>IFERROR(B15/B444, "NA")</f>
        <v>3.3855262113624378E-4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52</v>
      </c>
      <c r="I15" s="8">
        <f>IFERROR(H15/H444, "NA")</f>
        <v>-5.7321751399973322E-2</v>
      </c>
      <c r="J15" s="9"/>
      <c r="K15" s="7">
        <v>36</v>
      </c>
      <c r="L15" s="8">
        <f>IFERROR(K15/K444, "NA")</f>
        <v>2.5630702163765239E-4</v>
      </c>
      <c r="M15" s="9"/>
      <c r="N15" s="10">
        <f t="shared" si="1"/>
        <v>16</v>
      </c>
      <c r="O15" s="8">
        <f>IFERROR(N15/N444, "NA")</f>
        <v>1.2177968836577738E-3</v>
      </c>
      <c r="P15" s="9"/>
      <c r="Q15" s="7">
        <v>676</v>
      </c>
      <c r="R15" s="8">
        <f>IFERROR(Q15/Q444, "NA")</f>
        <v>5.3164493388425059E-4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676</v>
      </c>
      <c r="X15" s="8">
        <f>IFERROR(W15/W444, "NA")</f>
        <v>5.7550678863891617E-3</v>
      </c>
      <c r="Y15" s="9"/>
      <c r="Z15" s="7">
        <v>657</v>
      </c>
      <c r="AA15" s="8">
        <f>IFERROR(Z15/Z444, "NA")</f>
        <v>6.3186835856584688E-4</v>
      </c>
      <c r="AB15" s="9"/>
      <c r="AC15" s="10">
        <f t="shared" si="3"/>
        <v>19</v>
      </c>
      <c r="AD15" s="8">
        <f>IFERROR(AC15/AC444, "NA")</f>
        <v>8.1984264285509933E-5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0.6</v>
      </c>
      <c r="R16" s="8">
        <f>IFERROR(Q16/Q444, "NA")</f>
        <v>4.7187420167241181E-7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5.108048419872037E-6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2.5889767669108398E-6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54915.46</v>
      </c>
      <c r="C18" s="15">
        <f>IFERROR(B18/B444, "NA")</f>
        <v>0.35753409469043368</v>
      </c>
      <c r="D18" s="2"/>
      <c r="E18" s="14">
        <f>IFERROR(E10+E11+E12+E13+E14+E15+E16+E17, "NA")</f>
        <v>37080.53</v>
      </c>
      <c r="F18" s="15">
        <f>IFERROR(E18/E444, "NA")</f>
        <v>0.24000002847856072</v>
      </c>
      <c r="G18" s="2"/>
      <c r="H18" s="14">
        <f t="shared" si="0"/>
        <v>17834.93</v>
      </c>
      <c r="I18" s="15">
        <f>IFERROR(H18/H444, "NA")</f>
        <v>-19.660181224921658</v>
      </c>
      <c r="J18" s="2"/>
      <c r="K18" s="14">
        <f>IFERROR(K10+K11+K12+K13+K14+K15+K16+K17, "NA")</f>
        <v>41388.699999999997</v>
      </c>
      <c r="L18" s="15">
        <f>IFERROR(K18/K444, "NA")</f>
        <v>0.29467262295706392</v>
      </c>
      <c r="M18" s="2"/>
      <c r="N18" s="14">
        <f t="shared" si="1"/>
        <v>13526.760000000002</v>
      </c>
      <c r="O18" s="15">
        <f>IFERROR(N18/N444, "NA")</f>
        <v>1.0295528858741645</v>
      </c>
      <c r="P18" s="2"/>
      <c r="Q18" s="14">
        <f>IFERROR(Q10+Q11+Q12+Q13+Q14+Q15+Q16+Q17, "NA")</f>
        <v>378194.12</v>
      </c>
      <c r="R18" s="15">
        <f>IFERROR(Q18/Q444, "NA")</f>
        <v>0.29743341408700052</v>
      </c>
      <c r="S18" s="2"/>
      <c r="T18" s="14">
        <f>IFERROR(T10+T11+T12+T13+T14+T15+T16+T17, "NA")</f>
        <v>276975.27</v>
      </c>
      <c r="U18" s="15">
        <f>IFERROR(T18/T444, "NA")</f>
        <v>0.23999999688058801</v>
      </c>
      <c r="V18" s="2"/>
      <c r="W18" s="14">
        <f t="shared" si="2"/>
        <v>101218.84999999998</v>
      </c>
      <c r="X18" s="15">
        <f>IFERROR(W18/W444, "NA")</f>
        <v>0.86171797800627448</v>
      </c>
      <c r="Y18" s="2"/>
      <c r="Z18" s="14">
        <f>IFERROR(Z10+Z11+Z12+Z13+Z14+Z15+Z16+Z17, "NA")</f>
        <v>313320.32000000001</v>
      </c>
      <c r="AA18" s="15">
        <f>IFERROR(Z18/Z444, "NA")</f>
        <v>0.30133515419136364</v>
      </c>
      <c r="AB18" s="2"/>
      <c r="AC18" s="14">
        <f t="shared" si="3"/>
        <v>64873.799999999988</v>
      </c>
      <c r="AD18" s="15">
        <f>IFERROR(AC18/AC444, "NA")</f>
        <v>0.27992793496870066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8652.1200000000008</v>
      </c>
      <c r="F21" s="8">
        <f>IFERROR(E21/E444, "NA")</f>
        <v>5.5999982912863566E-2</v>
      </c>
      <c r="G21" s="9"/>
      <c r="H21" s="10">
        <f t="shared" ref="H21:H29" si="4">IFERROR(B21-E21, "NA")</f>
        <v>-8652.1200000000008</v>
      </c>
      <c r="I21" s="8">
        <f>IFERROR(H21/H444, "NA")</f>
        <v>9.5375898408218696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64627.56</v>
      </c>
      <c r="U21" s="8">
        <f>IFERROR(T21/T444, "NA")</f>
        <v>5.5999996672627173E-2</v>
      </c>
      <c r="V21" s="9"/>
      <c r="W21" s="10">
        <f t="shared" ref="W21:W29" si="6">IFERROR(Q21-T21, "NA")</f>
        <v>-64627.56</v>
      </c>
      <c r="X21" s="8">
        <f>IFERROR(W21/W444, "NA")</f>
        <v>-0.55020117623030884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9448.1</v>
      </c>
      <c r="C22" s="8">
        <f>IFERROR(B22/B444, "NA")</f>
        <v>6.1513058072256641E-2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9448.1</v>
      </c>
      <c r="I22" s="8">
        <f>IFERROR(H22/H444, "NA")</f>
        <v>-10.415031526963229</v>
      </c>
      <c r="J22" s="9"/>
      <c r="K22" s="7">
        <v>5354.86</v>
      </c>
      <c r="L22" s="8">
        <f>IFERROR(K22/K444, "NA")</f>
        <v>3.8124672719072196E-2</v>
      </c>
      <c r="M22" s="9"/>
      <c r="N22" s="10">
        <f t="shared" si="5"/>
        <v>4093.2400000000007</v>
      </c>
      <c r="O22" s="8">
        <f>IFERROR(N22/N444, "NA")</f>
        <v>0.31154593225395916</v>
      </c>
      <c r="P22" s="9"/>
      <c r="Q22" s="7">
        <v>55583.75</v>
      </c>
      <c r="R22" s="8">
        <f>IFERROR(Q22/Q444, "NA")</f>
        <v>4.3714229428681535E-2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55583.75</v>
      </c>
      <c r="X22" s="8">
        <f>IFERROR(W22/W444, "NA")</f>
        <v>0.47320747726343726</v>
      </c>
      <c r="Y22" s="9"/>
      <c r="Z22" s="7">
        <v>45543.46</v>
      </c>
      <c r="AA22" s="8">
        <f>IFERROR(Z22/Z444, "NA")</f>
        <v>4.3801326200318576E-2</v>
      </c>
      <c r="AB22" s="9"/>
      <c r="AC22" s="10">
        <f t="shared" si="7"/>
        <v>10040.290000000001</v>
      </c>
      <c r="AD22" s="8">
        <f>IFERROR(AC22/AC444, "NA")</f>
        <v>4.3323462571745394E-2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1342.99</v>
      </c>
      <c r="C24" s="8">
        <f>IFERROR(B24/B444, "NA")</f>
        <v>8.7437073973031555E-3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1342.99</v>
      </c>
      <c r="I24" s="8">
        <f>IFERROR(H24/H444, "NA")</f>
        <v>-1.4804334406278881</v>
      </c>
      <c r="J24" s="9"/>
      <c r="K24" s="7">
        <v>350.28</v>
      </c>
      <c r="L24" s="8">
        <f>IFERROR(K24/K444, "NA")</f>
        <v>2.4938673205343576E-3</v>
      </c>
      <c r="M24" s="9"/>
      <c r="N24" s="10">
        <f t="shared" si="5"/>
        <v>992.71</v>
      </c>
      <c r="O24" s="8">
        <f>IFERROR(N24/N444, "NA")</f>
        <v>7.555744652349429E-2</v>
      </c>
      <c r="P24" s="9"/>
      <c r="Q24" s="7">
        <v>12165.35</v>
      </c>
      <c r="R24" s="8">
        <f>IFERROR(Q24/Q444, "NA")</f>
        <v>9.5675246988591259E-3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12165.35</v>
      </c>
      <c r="X24" s="8">
        <f>IFERROR(W24/W444, "NA")</f>
        <v>0.10356866140781715</v>
      </c>
      <c r="Y24" s="9"/>
      <c r="Z24" s="7">
        <v>3235.24</v>
      </c>
      <c r="AA24" s="8">
        <f>IFERROR(Z24/Z444, "NA")</f>
        <v>3.111485218213958E-3</v>
      </c>
      <c r="AB24" s="9"/>
      <c r="AC24" s="10">
        <f t="shared" si="7"/>
        <v>8930.11</v>
      </c>
      <c r="AD24" s="8">
        <f>IFERROR(AC24/AC444, "NA")</f>
        <v>3.8533078859930271E-2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1401.21</v>
      </c>
      <c r="C26" s="8">
        <f>IFERROR(B26/B444, "NA")</f>
        <v>9.1227561204291572E-3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1401.21</v>
      </c>
      <c r="I26" s="8">
        <f>IFERROR(H26/H444, "NA")</f>
        <v>-1.5446117553683967</v>
      </c>
      <c r="J26" s="9"/>
      <c r="K26" s="7">
        <v>576.82000000000005</v>
      </c>
      <c r="L26" s="8">
        <f>IFERROR(K26/K444, "NA")</f>
        <v>4.1067504505841847E-3</v>
      </c>
      <c r="M26" s="9"/>
      <c r="N26" s="10">
        <f t="shared" si="5"/>
        <v>824.39</v>
      </c>
      <c r="O26" s="8">
        <f>IFERROR(N26/N444, "NA")</f>
        <v>6.27462233074145E-2</v>
      </c>
      <c r="P26" s="9"/>
      <c r="Q26" s="7">
        <v>17261.689999999999</v>
      </c>
      <c r="R26" s="8">
        <f>IFERROR(Q26/Q444, "NA")</f>
        <v>1.3575576980444422E-2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17261.689999999999</v>
      </c>
      <c r="X26" s="8">
        <f>IFERROR(W26/W444, "NA")</f>
        <v>0.14695591388136825</v>
      </c>
      <c r="Y26" s="9"/>
      <c r="Z26" s="7">
        <v>4267.1400000000003</v>
      </c>
      <c r="AA26" s="8">
        <f>IFERROR(Z26/Z444, "NA")</f>
        <v>4.1039128577940159E-3</v>
      </c>
      <c r="AB26" s="9"/>
      <c r="AC26" s="10">
        <f t="shared" si="7"/>
        <v>12994.55</v>
      </c>
      <c r="AD26" s="8">
        <f>IFERROR(AC26/AC444, "NA")</f>
        <v>5.6070980077435419E-2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37.56</v>
      </c>
      <c r="L27" s="8">
        <f>IFERROR(K27/K444, "NA")</f>
        <v>2.6741365924195067E-4</v>
      </c>
      <c r="M27" s="9"/>
      <c r="N27" s="10">
        <f t="shared" si="5"/>
        <v>-37.56</v>
      </c>
      <c r="O27" s="8">
        <f>IFERROR(N27/N444, "NA")</f>
        <v>-2.8587781843866242E-3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127.91</v>
      </c>
      <c r="AA27" s="8">
        <f>IFERROR(Z27/Z444, "NA")</f>
        <v>1.230171716045015E-4</v>
      </c>
      <c r="AB27" s="9"/>
      <c r="AC27" s="10">
        <f t="shared" si="7"/>
        <v>-127.91</v>
      </c>
      <c r="AD27" s="8">
        <f>IFERROR(AC27/AC444, "NA")</f>
        <v>-5.5192669709260922E-4</v>
      </c>
    </row>
    <row r="28" spans="1:30" ht="16.5" customHeight="1" x14ac:dyDescent="0.45">
      <c r="A28" s="12" t="s">
        <v>29</v>
      </c>
      <c r="B28" s="7">
        <v>880.53</v>
      </c>
      <c r="C28" s="8">
        <f>IFERROR(B28/B444, "NA")</f>
        <v>5.7328026824826298E-3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880.53</v>
      </c>
      <c r="I28" s="8">
        <f>IFERROR(H28/H444, "NA")</f>
        <v>-0.97064464923497129</v>
      </c>
      <c r="J28" s="9"/>
      <c r="K28" s="7">
        <v>664.99</v>
      </c>
      <c r="L28" s="8">
        <f>IFERROR(K28/K444, "NA")</f>
        <v>4.7344890644117352E-3</v>
      </c>
      <c r="M28" s="9"/>
      <c r="N28" s="10">
        <f t="shared" si="5"/>
        <v>215.53999999999996</v>
      </c>
      <c r="O28" s="8">
        <f>IFERROR(N28/N444, "NA")</f>
        <v>1.6405246268974782E-2</v>
      </c>
      <c r="P28" s="9"/>
      <c r="Q28" s="7">
        <v>5708.47</v>
      </c>
      <c r="R28" s="8">
        <f>IFERROR(Q28/Q444, "NA")</f>
        <v>4.4894662067015215E-3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5708.47</v>
      </c>
      <c r="X28" s="8">
        <f>IFERROR(W28/W444, "NA")</f>
        <v>4.8598568605644883E-2</v>
      </c>
      <c r="Y28" s="9"/>
      <c r="Z28" s="7">
        <v>5475.7</v>
      </c>
      <c r="AA28" s="8">
        <f>IFERROR(Z28/Z444, "NA")</f>
        <v>5.2662428782328883E-3</v>
      </c>
      <c r="AB28" s="9"/>
      <c r="AC28" s="10">
        <f t="shared" si="7"/>
        <v>232.77000000000044</v>
      </c>
      <c r="AD28" s="8">
        <f>IFERROR(AC28/AC444, "NA")</f>
        <v>1.0043935367230622E-3</v>
      </c>
    </row>
    <row r="29" spans="1:30" ht="16.5" customHeight="1" x14ac:dyDescent="0.45">
      <c r="A29" s="13" t="s">
        <v>30</v>
      </c>
      <c r="B29" s="14">
        <f>IFERROR(B21+B22+B23+B24+B25+B26+B27+B28, "NA")</f>
        <v>13072.83</v>
      </c>
      <c r="C29" s="15">
        <f>IFERROR(B29/B444, "NA")</f>
        <v>8.5112324272471576E-2</v>
      </c>
      <c r="D29" s="2"/>
      <c r="E29" s="14">
        <f>IFERROR(E21+E22+E23+E24+E25+E26+E27+E28, "NA")</f>
        <v>8652.1200000000008</v>
      </c>
      <c r="F29" s="15">
        <f>IFERROR(E29/E444, "NA")</f>
        <v>5.5999982912863566E-2</v>
      </c>
      <c r="G29" s="2"/>
      <c r="H29" s="14">
        <f t="shared" si="4"/>
        <v>4420.7099999999991</v>
      </c>
      <c r="I29" s="15">
        <f>IFERROR(H29/H444, "NA")</f>
        <v>-4.873131531372616</v>
      </c>
      <c r="J29" s="2"/>
      <c r="K29" s="14">
        <f>IFERROR(K21+K22+K23+K24+K25+K26+K27+K28, "NA")</f>
        <v>6984.5099999999993</v>
      </c>
      <c r="L29" s="15">
        <f>IFERROR(K29/K444, "NA")</f>
        <v>4.9727193213844424E-2</v>
      </c>
      <c r="M29" s="2"/>
      <c r="N29" s="14">
        <f t="shared" si="5"/>
        <v>6088.3200000000006</v>
      </c>
      <c r="O29" s="15">
        <f>IFERROR(N29/N444, "NA")</f>
        <v>0.46339607016945611</v>
      </c>
      <c r="P29" s="2"/>
      <c r="Q29" s="14">
        <f>IFERROR(Q21+Q22+Q23+Q24+Q25+Q26+Q27+Q28, "NA")</f>
        <v>90719.260000000009</v>
      </c>
      <c r="R29" s="15">
        <f>IFERROR(Q29/Q444, "NA")</f>
        <v>7.1346797314686614E-2</v>
      </c>
      <c r="S29" s="2"/>
      <c r="T29" s="14">
        <f>IFERROR(T21+T22+T23+T24+T25+T26+T27+T28, "NA")</f>
        <v>64627.56</v>
      </c>
      <c r="U29" s="15">
        <f>IFERROR(T29/T444, "NA")</f>
        <v>5.5999996672627173E-2</v>
      </c>
      <c r="V29" s="2"/>
      <c r="W29" s="14">
        <f t="shared" si="6"/>
        <v>26091.700000000012</v>
      </c>
      <c r="X29" s="15">
        <f>IFERROR(W29/W444, "NA")</f>
        <v>0.22212944492795883</v>
      </c>
      <c r="Y29" s="2"/>
      <c r="Z29" s="14">
        <f>IFERROR(Z21+Z22+Z23+Z24+Z25+Z26+Z27+Z28, "NA")</f>
        <v>58649.45</v>
      </c>
      <c r="AA29" s="15">
        <f>IFERROR(Z29/Z444, "NA")</f>
        <v>5.6405984326163942E-2</v>
      </c>
      <c r="AB29" s="2"/>
      <c r="AC29" s="14">
        <f t="shared" si="7"/>
        <v>32069.810000000012</v>
      </c>
      <c r="AD29" s="15">
        <f>IFERROR(AC29/AC444, "NA")</f>
        <v>0.1383799883487416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41561.089999999997</v>
      </c>
      <c r="F31" s="8">
        <f>IFERROR(E31/E444, "NA")</f>
        <v>0.26900000576043614</v>
      </c>
      <c r="G31" s="9"/>
      <c r="H31" s="10">
        <f t="shared" ref="H31:H40" si="8">IFERROR(B31-E31, "NA")</f>
        <v>-41561.089999999997</v>
      </c>
      <c r="I31" s="8">
        <f>IFERROR(H31/H444, "NA")</f>
        <v>45.814509017152254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310443.12</v>
      </c>
      <c r="U31" s="8">
        <f>IFERROR(T31/T444, "NA")</f>
        <v>0.26900000072786284</v>
      </c>
      <c r="V31" s="9"/>
      <c r="W31" s="10">
        <f t="shared" ref="W31:W40" si="10">IFERROR(Q31-T31, "NA")</f>
        <v>-310443.12</v>
      </c>
      <c r="X31" s="8">
        <f>IFERROR(W31/W444, "NA")</f>
        <v>-2.6429308142935755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19752.189999999999</v>
      </c>
      <c r="C33" s="8">
        <f>IFERROR(B33/B444, "NA")</f>
        <v>0.12859914803232891</v>
      </c>
      <c r="D33" s="9"/>
      <c r="E33" s="7">
        <v>0</v>
      </c>
      <c r="F33" s="8">
        <f>IFERROR(E33/E444, "NA")</f>
        <v>0</v>
      </c>
      <c r="G33" s="9"/>
      <c r="H33" s="10">
        <f t="shared" si="8"/>
        <v>19752.189999999999</v>
      </c>
      <c r="I33" s="8">
        <f>IFERROR(H33/H444, "NA")</f>
        <v>-21.773656245866135</v>
      </c>
      <c r="J33" s="9"/>
      <c r="K33" s="7">
        <v>12376.3</v>
      </c>
      <c r="L33" s="8">
        <f>IFERROR(K33/K444, "NA")</f>
        <v>8.811479421927991E-2</v>
      </c>
      <c r="M33" s="9"/>
      <c r="N33" s="10">
        <f t="shared" si="9"/>
        <v>7375.8899999999994</v>
      </c>
      <c r="O33" s="8">
        <f>IFERROR(N33/N444, "NA")</f>
        <v>0.56139599101265847</v>
      </c>
      <c r="P33" s="9"/>
      <c r="Q33" s="7">
        <v>144823.46</v>
      </c>
      <c r="R33" s="8">
        <f>IFERROR(Q33/Q444, "NA")</f>
        <v>0.11389742428489411</v>
      </c>
      <c r="S33" s="9"/>
      <c r="T33" s="7">
        <v>0</v>
      </c>
      <c r="U33" s="8">
        <f>IFERROR(T33/T444, "NA")</f>
        <v>0</v>
      </c>
      <c r="V33" s="9"/>
      <c r="W33" s="10">
        <f t="shared" si="10"/>
        <v>144823.46</v>
      </c>
      <c r="X33" s="8">
        <f>IFERROR(W33/W444, "NA")</f>
        <v>1.232942076689002</v>
      </c>
      <c r="Y33" s="9"/>
      <c r="Z33" s="7">
        <v>88614.399999999994</v>
      </c>
      <c r="AA33" s="8">
        <f>IFERROR(Z33/Z444, "NA")</f>
        <v>8.5224711527088867E-2</v>
      </c>
      <c r="AB33" s="9"/>
      <c r="AC33" s="10">
        <f t="shared" si="11"/>
        <v>56209.06</v>
      </c>
      <c r="AD33" s="8">
        <f>IFERROR(AC33/AC444, "NA")</f>
        <v>0.24253991738316233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1726.29</v>
      </c>
      <c r="C35" s="8">
        <f>IFERROR(B35/B444, "NA")</f>
        <v>1.1239230852717044E-2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1726.29</v>
      </c>
      <c r="I35" s="8">
        <f>IFERROR(H35/H444, "NA")</f>
        <v>-1.9029608889280758</v>
      </c>
      <c r="J35" s="9"/>
      <c r="K35" s="7">
        <v>485.48</v>
      </c>
      <c r="L35" s="8">
        <f>IFERROR(K35/K444, "NA")</f>
        <v>3.4564425795735412E-3</v>
      </c>
      <c r="M35" s="9"/>
      <c r="N35" s="10">
        <f t="shared" si="9"/>
        <v>1240.81</v>
      </c>
      <c r="O35" s="8">
        <f>IFERROR(N35/N444, "NA")</f>
        <v>9.4440909450712637E-2</v>
      </c>
      <c r="P35" s="9"/>
      <c r="Q35" s="7">
        <v>15841.52</v>
      </c>
      <c r="R35" s="8">
        <f>IFERROR(Q35/Q444, "NA")</f>
        <v>1.2458674338795909E-2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15841.52</v>
      </c>
      <c r="X35" s="8">
        <f>IFERROR(W35/W444, "NA")</f>
        <v>0.13486541867395213</v>
      </c>
      <c r="Y35" s="9"/>
      <c r="Z35" s="7">
        <v>485.48</v>
      </c>
      <c r="AA35" s="8">
        <f>IFERROR(Z35/Z444, "NA")</f>
        <v>4.669093618212289E-4</v>
      </c>
      <c r="AB35" s="9"/>
      <c r="AC35" s="10">
        <f t="shared" si="11"/>
        <v>15356.04</v>
      </c>
      <c r="AD35" s="8">
        <f>IFERROR(AC35/AC444, "NA")</f>
        <v>6.6260717986255893E-2</v>
      </c>
    </row>
    <row r="36" spans="1:30" ht="16.5" customHeight="1" x14ac:dyDescent="0.45">
      <c r="A36" s="12" t="s">
        <v>36</v>
      </c>
      <c r="B36" s="7">
        <v>14748.39</v>
      </c>
      <c r="C36" s="8">
        <f>IFERROR(B36/B444, "NA")</f>
        <v>9.6021271000760897E-2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14748.39</v>
      </c>
      <c r="I36" s="8">
        <f>IFERROR(H36/H444, "NA")</f>
        <v>-16.257760483266395</v>
      </c>
      <c r="J36" s="9"/>
      <c r="K36" s="7">
        <v>12543.93</v>
      </c>
      <c r="L36" s="8">
        <f>IFERROR(K36/K444, "NA")</f>
        <v>8.9308259386977687E-2</v>
      </c>
      <c r="M36" s="9"/>
      <c r="N36" s="10">
        <f t="shared" si="9"/>
        <v>2204.4599999999991</v>
      </c>
      <c r="O36" s="8">
        <f>IFERROR(N36/N444, "NA")</f>
        <v>0.16778653238426341</v>
      </c>
      <c r="P36" s="9"/>
      <c r="Q36" s="7">
        <v>144687.82</v>
      </c>
      <c r="R36" s="8">
        <f>IFERROR(Q36/Q444, "NA")</f>
        <v>0.11379074925703603</v>
      </c>
      <c r="S36" s="9"/>
      <c r="T36" s="7">
        <v>0</v>
      </c>
      <c r="U36" s="8">
        <f>IFERROR(T36/T444, "NA")</f>
        <v>0</v>
      </c>
      <c r="V36" s="9"/>
      <c r="W36" s="10">
        <f t="shared" si="10"/>
        <v>144687.82</v>
      </c>
      <c r="X36" s="8">
        <f>IFERROR(W36/W444, "NA")</f>
        <v>1.2317873172095497</v>
      </c>
      <c r="Y36" s="9"/>
      <c r="Z36" s="7">
        <v>106916.67</v>
      </c>
      <c r="AA36" s="8">
        <f>IFERROR(Z36/Z444, "NA")</f>
        <v>0.10282688093793961</v>
      </c>
      <c r="AB36" s="9"/>
      <c r="AC36" s="10">
        <f t="shared" si="11"/>
        <v>37771.150000000009</v>
      </c>
      <c r="AD36" s="8">
        <f>IFERROR(AC36/AC444, "NA")</f>
        <v>0.16298104968250732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1831.65</v>
      </c>
      <c r="C39" s="8">
        <f>IFERROR(B39/B444, "NA")</f>
        <v>1.1925190548157711E-2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1831.65</v>
      </c>
      <c r="I39" s="8">
        <f>IFERROR(H39/H444, "NA")</f>
        <v>-2.0191035759954068</v>
      </c>
      <c r="J39" s="9"/>
      <c r="K39" s="7">
        <v>1649.78</v>
      </c>
      <c r="L39" s="8">
        <f>IFERROR(K39/K444, "NA")</f>
        <v>1.1745838837704616E-2</v>
      </c>
      <c r="M39" s="9"/>
      <c r="N39" s="10">
        <f t="shared" si="9"/>
        <v>181.87000000000012</v>
      </c>
      <c r="O39" s="8">
        <f>IFERROR(N39/N444, "NA")</f>
        <v>1.3842544951927466E-2</v>
      </c>
      <c r="P39" s="9"/>
      <c r="Q39" s="7">
        <v>16680.34</v>
      </c>
      <c r="R39" s="8">
        <f>IFERROR(Q39/Q444, "NA")</f>
        <v>1.3118370201873996E-2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16680.34</v>
      </c>
      <c r="X39" s="8">
        <f>IFERROR(W39/W444, "NA")</f>
        <v>0.14200664063321392</v>
      </c>
      <c r="Y39" s="9"/>
      <c r="Z39" s="7">
        <v>13705.3</v>
      </c>
      <c r="AA39" s="8">
        <f>IFERROR(Z39/Z444, "NA")</f>
        <v>1.3181043249090566E-2</v>
      </c>
      <c r="AB39" s="9"/>
      <c r="AC39" s="10">
        <f t="shared" si="11"/>
        <v>2975.0400000000009</v>
      </c>
      <c r="AD39" s="8">
        <f>IFERROR(AC39/AC444, "NA")</f>
        <v>1.2837182401050713E-2</v>
      </c>
    </row>
    <row r="40" spans="1:30" ht="16.5" customHeight="1" x14ac:dyDescent="0.45">
      <c r="A40" s="13" t="s">
        <v>40</v>
      </c>
      <c r="B40" s="14">
        <f>IFERROR(B31+B32+B33+B34+B35+B36+B37+B38+B39, "NA")</f>
        <v>38058.519999999997</v>
      </c>
      <c r="C40" s="15">
        <f>IFERROR(B40/B444, "NA")</f>
        <v>0.24778484043396454</v>
      </c>
      <c r="D40" s="2"/>
      <c r="E40" s="14">
        <f>IFERROR(E31+E32+E33+E34+E35+E36+E37+E38+E39, "NA")</f>
        <v>41561.089999999997</v>
      </c>
      <c r="F40" s="15">
        <f>IFERROR(E40/E444, "NA")</f>
        <v>0.26900000576043614</v>
      </c>
      <c r="G40" s="2"/>
      <c r="H40" s="14">
        <f t="shared" si="8"/>
        <v>-3502.5699999999997</v>
      </c>
      <c r="I40" s="15">
        <f>IFERROR(H40/H444, "NA")</f>
        <v>3.8610278230962414</v>
      </c>
      <c r="J40" s="2"/>
      <c r="K40" s="14">
        <f>IFERROR(K31+K32+K33+K34+K35+K36+K37+K38+K39, "NA")</f>
        <v>27055.489999999998</v>
      </c>
      <c r="L40" s="15">
        <f>IFERROR(K40/K444, "NA")</f>
        <v>0.19262533502353574</v>
      </c>
      <c r="M40" s="2"/>
      <c r="N40" s="14">
        <f t="shared" si="9"/>
        <v>11003.029999999999</v>
      </c>
      <c r="O40" s="15">
        <f>IFERROR(N40/N444, "NA")</f>
        <v>0.837465977799562</v>
      </c>
      <c r="P40" s="2"/>
      <c r="Q40" s="14">
        <f>IFERROR(Q31+Q32+Q33+Q34+Q35+Q36+Q37+Q38+Q39, "NA")</f>
        <v>322033.14</v>
      </c>
      <c r="R40" s="15">
        <f>IFERROR(Q40/Q444, "NA")</f>
        <v>0.25326521808260005</v>
      </c>
      <c r="S40" s="2"/>
      <c r="T40" s="14">
        <f>IFERROR(T31+T32+T33+T34+T35+T36+T37+T38+T39, "NA")</f>
        <v>310443.12</v>
      </c>
      <c r="U40" s="15">
        <f>IFERROR(T40/T444, "NA")</f>
        <v>0.26900000072786284</v>
      </c>
      <c r="V40" s="2"/>
      <c r="W40" s="14">
        <f t="shared" si="10"/>
        <v>11590.020000000019</v>
      </c>
      <c r="X40" s="15">
        <f>IFERROR(W40/W444, "NA")</f>
        <v>9.8670638912142339E-2</v>
      </c>
      <c r="Y40" s="2"/>
      <c r="Z40" s="14">
        <f>IFERROR(Z31+Z32+Z33+Z34+Z35+Z36+Z37+Z38+Z39, "NA")</f>
        <v>209721.84999999998</v>
      </c>
      <c r="AA40" s="15">
        <f>IFERROR(Z40/Z444, "NA")</f>
        <v>0.20169954507594026</v>
      </c>
      <c r="AB40" s="2"/>
      <c r="AC40" s="14">
        <f t="shared" si="11"/>
        <v>112311.29000000004</v>
      </c>
      <c r="AD40" s="15">
        <f>IFERROR(AC40/AC444, "NA")</f>
        <v>0.48461886745297639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9154.9699999999993</v>
      </c>
      <c r="C43" s="8">
        <f>IFERROR(B43/B444, "NA")</f>
        <v>5.9604597883147648E-2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9154.9699999999993</v>
      </c>
      <c r="I43" s="8">
        <f>IFERROR(H43/H444, "NA")</f>
        <v>-10.09190220027334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9154.9699999999993</v>
      </c>
      <c r="O43" s="8">
        <f>IFERROR(N43/N444, "NA")</f>
        <v>0.69680587099877556</v>
      </c>
      <c r="P43" s="9"/>
      <c r="Q43" s="7">
        <v>91844.87</v>
      </c>
      <c r="R43" s="8">
        <f>IFERROR(Q43/Q444, "NA")</f>
        <v>7.223204118159407E-2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91844.87</v>
      </c>
      <c r="X43" s="8">
        <f>IFERROR(W43/W444, "NA")</f>
        <v>0.78191340512808782</v>
      </c>
      <c r="Y43" s="9"/>
      <c r="Z43" s="7">
        <v>10196.950000000001</v>
      </c>
      <c r="AA43" s="8">
        <f>IFERROR(Z43/Z444, "NA")</f>
        <v>9.8068950667854083E-3</v>
      </c>
      <c r="AB43" s="9"/>
      <c r="AC43" s="10">
        <f>IFERROR(Q43-Z43, "NA")</f>
        <v>81647.92</v>
      </c>
      <c r="AD43" s="8">
        <f>IFERROR(AC43/AC444, "NA")</f>
        <v>0.3523076132443248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68135.47</v>
      </c>
      <c r="F46" s="8">
        <f>IFERROR(E46/E444, "NA")</f>
        <v>0.44100002724880472</v>
      </c>
      <c r="G46" s="9"/>
      <c r="H46" s="10">
        <f t="shared" ref="H46:H62" si="12">IFERROR(B46-E46, "NA")</f>
        <v>-68135.47</v>
      </c>
      <c r="I46" s="8">
        <f>IFERROR(H46/H444, "NA")</f>
        <v>75.108547555006552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508942.08000000002</v>
      </c>
      <c r="U46" s="8">
        <f>IFERROR(T46/T444, "NA")</f>
        <v>0.44100001278958939</v>
      </c>
      <c r="V46" s="9"/>
      <c r="W46" s="10">
        <f t="shared" ref="W46:W62" si="14">IFERROR(Q46-T46, "NA")</f>
        <v>-508942.08000000002</v>
      </c>
      <c r="X46" s="8">
        <f>IFERROR(W46/W444, "NA")</f>
        <v>-4.3328346459173135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29505.19</v>
      </c>
      <c r="C48" s="8">
        <f>IFERROR(B48/B444, "NA")</f>
        <v>0.19209729637736325</v>
      </c>
      <c r="D48" s="9"/>
      <c r="E48" s="7">
        <v>0</v>
      </c>
      <c r="F48" s="8">
        <f>IFERROR(E48/E444, "NA")</f>
        <v>0</v>
      </c>
      <c r="G48" s="9"/>
      <c r="H48" s="10">
        <f t="shared" si="12"/>
        <v>29505.19</v>
      </c>
      <c r="I48" s="8">
        <f>IFERROR(H48/H444, "NA")</f>
        <v>-32.524791657480364</v>
      </c>
      <c r="J48" s="9"/>
      <c r="K48" s="7">
        <v>39755.360000000001</v>
      </c>
      <c r="L48" s="8">
        <f>IFERROR(K48/K444, "NA")</f>
        <v>0.28304383099257391</v>
      </c>
      <c r="M48" s="9"/>
      <c r="N48" s="10">
        <f t="shared" si="13"/>
        <v>-10250.170000000002</v>
      </c>
      <c r="O48" s="8">
        <f>IFERROR(N48/N444, "NA")</f>
        <v>-0.78016406768515034</v>
      </c>
      <c r="P48" s="9"/>
      <c r="Q48" s="7">
        <v>270295.69</v>
      </c>
      <c r="R48" s="8">
        <f>IFERROR(Q48/Q444, "NA")</f>
        <v>0.21257593822373949</v>
      </c>
      <c r="S48" s="9"/>
      <c r="T48" s="7">
        <v>0</v>
      </c>
      <c r="U48" s="8">
        <f>IFERROR(T48/T444, "NA")</f>
        <v>0</v>
      </c>
      <c r="V48" s="9"/>
      <c r="W48" s="10">
        <f t="shared" si="14"/>
        <v>270295.69</v>
      </c>
      <c r="X48" s="8">
        <f>IFERROR(W48/W444, "NA")</f>
        <v>2.3011391203378699</v>
      </c>
      <c r="Y48" s="9"/>
      <c r="Z48" s="7">
        <v>318626.38</v>
      </c>
      <c r="AA48" s="8">
        <f>IFERROR(Z48/Z444, "NA")</f>
        <v>0.30643824615887033</v>
      </c>
      <c r="AB48" s="9"/>
      <c r="AC48" s="10">
        <f t="shared" si="15"/>
        <v>-48330.69</v>
      </c>
      <c r="AD48" s="8">
        <f>IFERROR(AC48/AC444, "NA")</f>
        <v>-0.20854505589795011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2141.23</v>
      </c>
      <c r="R49" s="8">
        <f>IFERROR(Q49/Q444, "NA")</f>
        <v>1.6839853280783638E-3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2141.23</v>
      </c>
      <c r="X49" s="8">
        <f>IFERROR(W49/W444, "NA")</f>
        <v>1.8229177530137673E-2</v>
      </c>
      <c r="Y49" s="9"/>
      <c r="Z49" s="7">
        <v>1200</v>
      </c>
      <c r="AA49" s="8">
        <f>IFERROR(Z49/Z444, "NA")</f>
        <v>1.1540974585677569E-3</v>
      </c>
      <c r="AB49" s="9"/>
      <c r="AC49" s="10">
        <f t="shared" si="15"/>
        <v>941.23</v>
      </c>
      <c r="AD49" s="8">
        <f>IFERROR(AC49/AC444, "NA")</f>
        <v>4.0613710038658168E-3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2376.42</v>
      </c>
      <c r="C51" s="8">
        <f>IFERROR(B51/B444, "NA")</f>
        <v>1.5471984998472932E-2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2376.42</v>
      </c>
      <c r="I51" s="8">
        <f>IFERROR(H51/H444, "NA")</f>
        <v>-2.6196260858062423</v>
      </c>
      <c r="J51" s="9"/>
      <c r="K51" s="7">
        <v>4934.18</v>
      </c>
      <c r="L51" s="8">
        <f>IFERROR(K51/K444, "NA")</f>
        <v>3.5129582778446439E-2</v>
      </c>
      <c r="M51" s="9"/>
      <c r="N51" s="10">
        <f t="shared" si="13"/>
        <v>-2557.7600000000002</v>
      </c>
      <c r="O51" s="8">
        <f>IFERROR(N51/N444, "NA")</f>
        <v>-0.19467700982153172</v>
      </c>
      <c r="P51" s="9"/>
      <c r="Q51" s="7">
        <v>21929.919999999998</v>
      </c>
      <c r="R51" s="8">
        <f>IFERROR(Q51/Q444, "NA")</f>
        <v>1.7246939154566428E-2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21929.919999999998</v>
      </c>
      <c r="X51" s="8">
        <f>IFERROR(W51/W444, "NA")</f>
        <v>0.1866984886732003</v>
      </c>
      <c r="Y51" s="9"/>
      <c r="Z51" s="7">
        <v>51391.47</v>
      </c>
      <c r="AA51" s="8">
        <f>IFERROR(Z51/Z444, "NA")</f>
        <v>4.9425637432550934E-2</v>
      </c>
      <c r="AB51" s="9"/>
      <c r="AC51" s="10">
        <f t="shared" si="15"/>
        <v>-29461.550000000003</v>
      </c>
      <c r="AD51" s="8">
        <f>IFERROR(AC51/AC444, "NA")</f>
        <v>-0.12712544744530344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8000</v>
      </c>
      <c r="R53" s="8">
        <f>IFERROR(Q53/Q444, "NA")</f>
        <v>6.2916560222988239E-3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8000</v>
      </c>
      <c r="X53" s="8">
        <f>IFERROR(W53/W444, "NA")</f>
        <v>6.8107312264960501E-2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8000</v>
      </c>
      <c r="AD53" s="8">
        <f>IFERROR(AC53/AC444, "NA")</f>
        <v>3.4519690225477864E-2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9.1622240824726631E-6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9.9181273485848725E-5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5.0269298890852141E-5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41.15</v>
      </c>
      <c r="R55" s="8">
        <f>IFERROR(Q55/Q444, "NA")</f>
        <v>3.2362705664699573E-5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3.5032698746289057E-4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1.7756065659730176E-4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11.65</v>
      </c>
      <c r="R56" s="8">
        <f>IFERROR(Q56/Q444, "NA")</f>
        <v>9.1622240824726631E-6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9.9181273485848725E-5</v>
      </c>
      <c r="Y56" s="9"/>
      <c r="Z56" s="7">
        <v>992.11</v>
      </c>
      <c r="AA56" s="8">
        <f>IFERROR(Z56/Z444, "NA")</f>
        <v>9.5415969134971445E-4</v>
      </c>
      <c r="AB56" s="9"/>
      <c r="AC56" s="10">
        <f t="shared" si="15"/>
        <v>-980.46</v>
      </c>
      <c r="AD56" s="8">
        <f>IFERROR(AC56/AC444, "NA")</f>
        <v>-4.2306469348090039E-3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1564.22</v>
      </c>
      <c r="R58" s="8">
        <f>IFERROR(Q58/Q444, "NA")</f>
        <v>1.2301917729000333E-3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1564.22</v>
      </c>
      <c r="X58" s="8">
        <f>IFERROR(W58/W444, "NA")</f>
        <v>1.3316852498887064E-2</v>
      </c>
      <c r="Y58" s="9"/>
      <c r="Z58" s="7">
        <v>3884.2</v>
      </c>
      <c r="AA58" s="8">
        <f>IFERROR(Z58/Z444, "NA")</f>
        <v>3.7356211238074011E-3</v>
      </c>
      <c r="AB58" s="9"/>
      <c r="AC58" s="10">
        <f t="shared" si="15"/>
        <v>-2319.9799999999996</v>
      </c>
      <c r="AD58" s="8">
        <f>IFERROR(AC58/AC444, "NA")</f>
        <v>-1.0010623866163014E-2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31881.61</v>
      </c>
      <c r="C61" s="15">
        <f>IFERROR(B61/B444, "NA")</f>
        <v>0.20756928137583619</v>
      </c>
      <c r="D61" s="2"/>
      <c r="E61" s="14">
        <f>IFERROR(E46+E47+E48+E49+E50+E51+E52+E53+E54+E55+E56+E57+E58+E59+E60, "NA")</f>
        <v>68135.47</v>
      </c>
      <c r="F61" s="15">
        <f>IFERROR(E61/E444, "NA")</f>
        <v>0.44100002724880472</v>
      </c>
      <c r="G61" s="2"/>
      <c r="H61" s="14">
        <f t="shared" si="12"/>
        <v>-36253.86</v>
      </c>
      <c r="I61" s="15">
        <f>IFERROR(H61/H444, "NA")</f>
        <v>39.964129811719943</v>
      </c>
      <c r="J61" s="2"/>
      <c r="K61" s="14">
        <f>IFERROR(K46+K47+K48+K49+K50+K51+K52+K53+K54+K55+K56+K57+K58+K59+K60, "NA")</f>
        <v>44689.54</v>
      </c>
      <c r="L61" s="15">
        <f>IFERROR(K61/K444, "NA")</f>
        <v>0.31817341377102032</v>
      </c>
      <c r="M61" s="2"/>
      <c r="N61" s="14">
        <f t="shared" si="13"/>
        <v>-12807.93</v>
      </c>
      <c r="O61" s="15">
        <f>IFERROR(N61/N444, "NA")</f>
        <v>-0.97484107750668192</v>
      </c>
      <c r="P61" s="2"/>
      <c r="Q61" s="14">
        <f>IFERROR(Q46+Q47+Q48+Q49+Q50+Q51+Q52+Q53+Q54+Q55+Q56+Q57+Q58+Q59+Q60, "NA")</f>
        <v>303995.51</v>
      </c>
      <c r="R61" s="15">
        <f>IFERROR(Q61/Q444, "NA")</f>
        <v>0.23907939765541281</v>
      </c>
      <c r="S61" s="2"/>
      <c r="T61" s="14">
        <f>IFERROR(T46+T47+T48+T49+T50+T51+T52+T53+T54+T55+T56+T57+T58+T59+T60, "NA")</f>
        <v>508942.08000000002</v>
      </c>
      <c r="U61" s="15">
        <f>IFERROR(T61/T444, "NA")</f>
        <v>0.44100001278958939</v>
      </c>
      <c r="V61" s="2"/>
      <c r="W61" s="14">
        <f t="shared" si="14"/>
        <v>-204946.57</v>
      </c>
      <c r="X61" s="15">
        <f>IFERROR(W61/W444, "NA")</f>
        <v>-1.7447950050778231</v>
      </c>
      <c r="Y61" s="2"/>
      <c r="Z61" s="14">
        <f>IFERROR(Z46+Z47+Z48+Z49+Z50+Z51+Z52+Z53+Z54+Z55+Z56+Z57+Z58+Z59+Z60, "NA")</f>
        <v>376094.16</v>
      </c>
      <c r="AA61" s="15">
        <f>IFERROR(Z61/Z444, "NA")</f>
        <v>0.36170776186514608</v>
      </c>
      <c r="AB61" s="2"/>
      <c r="AC61" s="14">
        <f t="shared" si="15"/>
        <v>-72098.649999999965</v>
      </c>
      <c r="AD61" s="15">
        <f>IFERROR(AC61/AC444, "NA")</f>
        <v>-0.31110288295939353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41036.579999999994</v>
      </c>
      <c r="C62" s="15">
        <f>IFERROR(B62/B444, "NA")</f>
        <v>0.26717387925898378</v>
      </c>
      <c r="D62" s="2"/>
      <c r="E62" s="14">
        <f>IFERROR(E42+E43+E44+E46+E47+E48+E49+E50+E51+E52+E53+E54+E55+E56+E57+E58+E59+E60, "NA")</f>
        <v>68135.47</v>
      </c>
      <c r="F62" s="15">
        <f>IFERROR(E62/E444, "NA")</f>
        <v>0.44100002724880472</v>
      </c>
      <c r="G62" s="2"/>
      <c r="H62" s="14">
        <f t="shared" si="12"/>
        <v>-27098.890000000007</v>
      </c>
      <c r="I62" s="15">
        <f>IFERROR(H62/H444, "NA")</f>
        <v>29.872227611446604</v>
      </c>
      <c r="J62" s="2"/>
      <c r="K62" s="14">
        <f>IFERROR(K42+K43+K44+K46+K47+K48+K49+K50+K51+K52+K53+K54+K55+K56+K57+K58+K59+K60, "NA")</f>
        <v>44689.54</v>
      </c>
      <c r="L62" s="15">
        <f>IFERROR(K62/K444, "NA")</f>
        <v>0.31817341377102032</v>
      </c>
      <c r="M62" s="2"/>
      <c r="N62" s="14">
        <f t="shared" si="13"/>
        <v>-3652.9600000000064</v>
      </c>
      <c r="O62" s="15">
        <f>IFERROR(N62/N444, "NA")</f>
        <v>-0.27803520650790681</v>
      </c>
      <c r="P62" s="2"/>
      <c r="Q62" s="14">
        <f>IFERROR(Q42+Q43+Q44+Q46+Q47+Q48+Q49+Q50+Q51+Q52+Q53+Q54+Q55+Q56+Q57+Q58+Q59+Q60, "NA")</f>
        <v>395840.38</v>
      </c>
      <c r="R62" s="15">
        <f>IFERROR(Q62/Q444, "NA")</f>
        <v>0.31131143883700685</v>
      </c>
      <c r="S62" s="2"/>
      <c r="T62" s="14">
        <f>IFERROR(T42+T43+T44+T46+T47+T48+T49+T50+T51+T52+T53+T54+T55+T56+T57+T58+T59+T60, "NA")</f>
        <v>508942.08000000002</v>
      </c>
      <c r="U62" s="15">
        <f>IFERROR(T62/T444, "NA")</f>
        <v>0.44100001278958939</v>
      </c>
      <c r="V62" s="2"/>
      <c r="W62" s="14">
        <f t="shared" si="14"/>
        <v>-113101.70000000001</v>
      </c>
      <c r="X62" s="15">
        <f>IFERROR(W62/W444, "NA")</f>
        <v>-0.96288159994973543</v>
      </c>
      <c r="Y62" s="2"/>
      <c r="Z62" s="14">
        <f>IFERROR(Z42+Z43+Z44+Z46+Z47+Z48+Z49+Z50+Z51+Z52+Z53+Z54+Z55+Z56+Z57+Z58+Z59+Z60, "NA")</f>
        <v>386291.11000000004</v>
      </c>
      <c r="AA62" s="15">
        <f>IFERROR(Z62/Z444, "NA")</f>
        <v>0.37151465693193159</v>
      </c>
      <c r="AB62" s="2"/>
      <c r="AC62" s="14">
        <f t="shared" si="15"/>
        <v>9549.2699999999604</v>
      </c>
      <c r="AD62" s="15">
        <f>IFERROR(AC62/AC444, "NA")</f>
        <v>4.1204730284930956E-2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767.97</v>
      </c>
      <c r="C65" s="8">
        <f>IFERROR(B65/B444, "NA")</f>
        <v>4.999966470269253E-3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767.97</v>
      </c>
      <c r="I65" s="8">
        <f>IFERROR(H65/H444, "NA")</f>
        <v>-0.84656510428149068</v>
      </c>
      <c r="J65" s="9"/>
      <c r="K65" s="7">
        <v>0</v>
      </c>
      <c r="L65" s="8">
        <f>IFERROR(K65/K444, "NA")</f>
        <v>0</v>
      </c>
      <c r="M65" s="9"/>
      <c r="N65" s="10">
        <f t="shared" si="17"/>
        <v>767.97</v>
      </c>
      <c r="O65" s="8">
        <f>IFERROR(N65/N444, "NA")</f>
        <v>5.8451967046416281E-2</v>
      </c>
      <c r="P65" s="9"/>
      <c r="Q65" s="7">
        <v>3704.62</v>
      </c>
      <c r="R65" s="8">
        <f>IFERROR(Q65/Q444, "NA")</f>
        <v>2.9135243416660837E-3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3704.62</v>
      </c>
      <c r="X65" s="8">
        <f>IFERROR(W65/W444, "NA")</f>
        <v>3.1538963895377248E-2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3704.62</v>
      </c>
      <c r="AD65" s="8">
        <f>IFERROR(AC65/AC444, "NA")</f>
        <v>1.5985291850388727E-2</v>
      </c>
    </row>
    <row r="66" spans="1:30" ht="16.5" customHeight="1" x14ac:dyDescent="0.45">
      <c r="A66" s="12" t="s">
        <v>63</v>
      </c>
      <c r="B66" s="7">
        <v>11700.74</v>
      </c>
      <c r="C66" s="8">
        <f>IFERROR(B66/B444, "NA")</f>
        <v>7.6179157619878715E-2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11700.74</v>
      </c>
      <c r="I66" s="8">
        <f>IFERROR(H66/H444, "NA")</f>
        <v>-12.898209797610074</v>
      </c>
      <c r="J66" s="9"/>
      <c r="K66" s="7">
        <v>20412.04</v>
      </c>
      <c r="L66" s="8">
        <f>IFERROR(K66/K444, "NA")</f>
        <v>0.14532636605412849</v>
      </c>
      <c r="M66" s="9"/>
      <c r="N66" s="10">
        <f t="shared" si="17"/>
        <v>-8711.3000000000011</v>
      </c>
      <c r="O66" s="8">
        <f>IFERROR(N66/N444, "NA")</f>
        <v>-0.6630371245379979</v>
      </c>
      <c r="P66" s="9"/>
      <c r="Q66" s="7">
        <v>92085.06</v>
      </c>
      <c r="R66" s="8">
        <f>IFERROR(Q66/Q444, "NA")</f>
        <v>7.2420940289093572E-2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92085.06</v>
      </c>
      <c r="X66" s="8">
        <f>IFERROR(W66/W444, "NA")</f>
        <v>0.78395824204470288</v>
      </c>
      <c r="Y66" s="9"/>
      <c r="Z66" s="7">
        <v>82816.62</v>
      </c>
      <c r="AA66" s="8">
        <f>IFERROR(Z66/Z444, "NA")</f>
        <v>7.9648708890976389E-2</v>
      </c>
      <c r="AB66" s="9"/>
      <c r="AC66" s="10">
        <f t="shared" si="19"/>
        <v>9268.4400000000023</v>
      </c>
      <c r="AD66" s="8">
        <f>IFERROR(AC66/AC444, "NA")</f>
        <v>3.9992959709178516E-2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7.7723579442967126E-3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8.4135942535817299E-2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4.2643683571980173E-2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12468.71</v>
      </c>
      <c r="C73" s="15">
        <f>IFERROR(B73/B444, "NA")</f>
        <v>8.1179124090147964E-2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12468.71</v>
      </c>
      <c r="I73" s="15">
        <f>IFERROR(H73/H444, "NA")</f>
        <v>-13.744774901891564</v>
      </c>
      <c r="J73" s="2"/>
      <c r="K73" s="14">
        <f>IFERROR(K64+K65+K66+K67+K68+K69+K70+K71+K72, "NA")</f>
        <v>20412.04</v>
      </c>
      <c r="L73" s="15">
        <f>IFERROR(K73/K444, "NA")</f>
        <v>0.14532636605412849</v>
      </c>
      <c r="M73" s="2"/>
      <c r="N73" s="14">
        <f t="shared" si="17"/>
        <v>-7943.3300000000017</v>
      </c>
      <c r="O73" s="15">
        <f>IFERROR(N73/N444, "NA")</f>
        <v>-0.60458515749158159</v>
      </c>
      <c r="P73" s="2"/>
      <c r="Q73" s="14">
        <f>IFERROR(Q64+Q65+Q66+Q67+Q68+Q69+Q70+Q71+Q72, "NA")</f>
        <v>105672.43</v>
      </c>
      <c r="R73" s="15">
        <f>IFERROR(Q73/Q444, "NA")</f>
        <v>8.3106822575056361E-2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105672.43</v>
      </c>
      <c r="X73" s="15">
        <f>IFERROR(W73/W444, "NA")</f>
        <v>0.89963314847589737</v>
      </c>
      <c r="Y73" s="2"/>
      <c r="Z73" s="14">
        <f>IFERROR(Z64+Z65+Z66+Z67+Z68+Z69+Z70+Z71+Z72, "NA")</f>
        <v>82816.62</v>
      </c>
      <c r="AA73" s="15">
        <f>IFERROR(Z73/Z444, "NA")</f>
        <v>7.9648708890976389E-2</v>
      </c>
      <c r="AB73" s="2"/>
      <c r="AC73" s="14">
        <f t="shared" si="19"/>
        <v>22855.809999999998</v>
      </c>
      <c r="AD73" s="15">
        <f>IFERROR(AC73/AC444, "NA")</f>
        <v>9.8621935131547392E-2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4480.5600000000004</v>
      </c>
      <c r="F75" s="8">
        <f>IFERROR(E75/E444, "NA")</f>
        <v>2.8999977281875425E-2</v>
      </c>
      <c r="G75" s="9"/>
      <c r="H75" s="10">
        <f t="shared" ref="H75:H92" si="20">IFERROR(B75-E75, "NA")</f>
        <v>-4480.5600000000004</v>
      </c>
      <c r="I75" s="8">
        <f>IFERROR(H75/H444, "NA")</f>
        <v>4.9391066625512403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33467.839999999997</v>
      </c>
      <c r="U75" s="8">
        <f>IFERROR(T75/T444, "NA")</f>
        <v>2.8999995182241424E-2</v>
      </c>
      <c r="V75" s="9"/>
      <c r="W75" s="10">
        <f t="shared" ref="W75:W92" si="22">IFERROR(Q75-T75, "NA")</f>
        <v>-33467.839999999997</v>
      </c>
      <c r="X75" s="8">
        <f>IFERROR(W75/W444, "NA")</f>
        <v>-0.28492557871421692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801.15</v>
      </c>
      <c r="C77" s="8">
        <f>IFERROR(B77/B444, "NA")</f>
        <v>5.2159890850634943E-3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801.15</v>
      </c>
      <c r="I77" s="8">
        <f>IFERROR(H77/H444, "NA")</f>
        <v>-0.88314079104016585</v>
      </c>
      <c r="J77" s="9"/>
      <c r="K77" s="7">
        <v>152.49</v>
      </c>
      <c r="L77" s="8">
        <f>IFERROR(K77/K444, "NA")</f>
        <v>1.0856738258201559E-3</v>
      </c>
      <c r="M77" s="9"/>
      <c r="N77" s="10">
        <f t="shared" si="21"/>
        <v>648.66</v>
      </c>
      <c r="O77" s="8">
        <f>IFERROR(N77/N444, "NA")</f>
        <v>4.9371007909590717E-2</v>
      </c>
      <c r="P77" s="9"/>
      <c r="Q77" s="7">
        <v>8457.51</v>
      </c>
      <c r="R77" s="8">
        <f>IFERROR(Q77/Q444, "NA")</f>
        <v>6.6514679656440659E-3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8457.51</v>
      </c>
      <c r="X77" s="8">
        <f>IFERROR(W77/W444, "NA")</f>
        <v>7.2002284319253262E-2</v>
      </c>
      <c r="Y77" s="9"/>
      <c r="Z77" s="7">
        <v>944.84</v>
      </c>
      <c r="AA77" s="8">
        <f>IFERROR(Z77/Z444, "NA")</f>
        <v>9.086978689609662E-4</v>
      </c>
      <c r="AB77" s="9"/>
      <c r="AC77" s="10">
        <f t="shared" si="23"/>
        <v>7512.67</v>
      </c>
      <c r="AD77" s="8">
        <f>IFERROR(AC77/AC444, "NA")</f>
        <v>3.2416880145780098E-2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8.9700000000000006</v>
      </c>
      <c r="C79" s="8">
        <f>IFERROR(B79/B444, "NA")</f>
        <v>5.8400327146002057E-5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8.9700000000000006</v>
      </c>
      <c r="I79" s="8">
        <f>IFERROR(H79/H444, "NA")</f>
        <v>-9.8880021164953983E-3</v>
      </c>
      <c r="J79" s="9"/>
      <c r="K79" s="7">
        <v>0</v>
      </c>
      <c r="L79" s="8">
        <f>IFERROR(K79/K444, "NA")</f>
        <v>0</v>
      </c>
      <c r="M79" s="9"/>
      <c r="N79" s="10">
        <f t="shared" si="21"/>
        <v>8.9700000000000006</v>
      </c>
      <c r="O79" s="8">
        <f>IFERROR(N79/N444, "NA")</f>
        <v>6.8272737790063944E-4</v>
      </c>
      <c r="P79" s="9"/>
      <c r="Q79" s="7">
        <v>8.9700000000000006</v>
      </c>
      <c r="R79" s="8">
        <f>IFERROR(Q79/Q444, "NA")</f>
        <v>7.054519315002557E-6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8.9700000000000006</v>
      </c>
      <c r="X79" s="8">
        <f>IFERROR(W79/W444, "NA")</f>
        <v>7.6365323877086965E-5</v>
      </c>
      <c r="Y79" s="9"/>
      <c r="Z79" s="7">
        <v>101.66</v>
      </c>
      <c r="AA79" s="8">
        <f>IFERROR(Z79/Z444, "NA")</f>
        <v>9.7771289698331807E-5</v>
      </c>
      <c r="AB79" s="9"/>
      <c r="AC79" s="10">
        <f t="shared" si="23"/>
        <v>-92.69</v>
      </c>
      <c r="AD79" s="8">
        <f>IFERROR(AC79/AC444, "NA")</f>
        <v>-3.999537608749429E-4</v>
      </c>
    </row>
    <row r="80" spans="1:30" ht="16.5" customHeight="1" x14ac:dyDescent="0.45">
      <c r="A80" s="12" t="s">
        <v>76</v>
      </c>
      <c r="B80" s="7">
        <v>2715.7</v>
      </c>
      <c r="C80" s="8">
        <f>IFERROR(B80/B444, "NA")</f>
        <v>1.7680910638840332E-2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2715.7</v>
      </c>
      <c r="I80" s="8">
        <f>IFERROR(H80/H444, "NA")</f>
        <v>-2.9936284668636066</v>
      </c>
      <c r="J80" s="9"/>
      <c r="K80" s="7">
        <v>3924.72</v>
      </c>
      <c r="L80" s="8">
        <f>IFERROR(K80/K444, "NA")</f>
        <v>2.794259149893686E-2</v>
      </c>
      <c r="M80" s="9"/>
      <c r="N80" s="10">
        <f t="shared" si="21"/>
        <v>-1209.02</v>
      </c>
      <c r="O80" s="8">
        <f>IFERROR(N80/N444, "NA")</f>
        <v>-9.2021299267495096E-2</v>
      </c>
      <c r="P80" s="9"/>
      <c r="Q80" s="7">
        <v>25083.26</v>
      </c>
      <c r="R80" s="8">
        <f>IFERROR(Q80/Q444, "NA")</f>
        <v>1.97269054797359E-2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25083.26</v>
      </c>
      <c r="X80" s="8">
        <f>IFERROR(W80/W444, "NA")</f>
        <v>0.21354417768039913</v>
      </c>
      <c r="Y80" s="9"/>
      <c r="Z80" s="7">
        <v>27982.28</v>
      </c>
      <c r="AA80" s="8">
        <f>IFERROR(Z80/Z444, "NA")</f>
        <v>2.6911898527442812E-2</v>
      </c>
      <c r="AB80" s="9"/>
      <c r="AC80" s="10">
        <f t="shared" si="23"/>
        <v>-2899.0200000000004</v>
      </c>
      <c r="AD80" s="8">
        <f>IFERROR(AC80/AC444, "NA")</f>
        <v>-1.2509159044683107E-2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120</v>
      </c>
      <c r="AA85" s="8">
        <f>IFERROR(Z85/Z444, "NA")</f>
        <v>1.1540974585677569E-4</v>
      </c>
      <c r="AB85" s="9"/>
      <c r="AC85" s="10">
        <f t="shared" si="23"/>
        <v>-120</v>
      </c>
      <c r="AD85" s="8">
        <f>IFERROR(AC85/AC444, "NA")</f>
        <v>-5.1779535338216797E-4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7.7723972671468516E-4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8.4136368206518958E-3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4.2643899320044081E-3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3525.8199999999997</v>
      </c>
      <c r="C88" s="15">
        <f>IFERROR(B88/B444, "NA")</f>
        <v>2.2955300051049825E-2</v>
      </c>
      <c r="D88" s="2"/>
      <c r="E88" s="14">
        <f>IFERROR(E75+E76+E77+E78+E79+E80+E81+E82+E83+E84+E85+E86+E87, "NA")</f>
        <v>4480.5600000000004</v>
      </c>
      <c r="F88" s="15">
        <f>IFERROR(E88/E444, "NA")</f>
        <v>2.8999977281875425E-2</v>
      </c>
      <c r="G88" s="2"/>
      <c r="H88" s="14">
        <f t="shared" si="20"/>
        <v>-954.74000000000069</v>
      </c>
      <c r="I88" s="15">
        <f>IFERROR(H88/H444, "NA")</f>
        <v>1.0524494025309725</v>
      </c>
      <c r="J88" s="2"/>
      <c r="K88" s="14">
        <f>IFERROR(K75+K76+K77+K78+K79+K80+K81+K82+K83+K84+K85+K86+K87, "NA")</f>
        <v>4077.21</v>
      </c>
      <c r="L88" s="15">
        <f>IFERROR(K88/K444, "NA")</f>
        <v>2.9028265324757017E-2</v>
      </c>
      <c r="M88" s="2"/>
      <c r="N88" s="14">
        <f t="shared" si="21"/>
        <v>-551.39000000000033</v>
      </c>
      <c r="O88" s="15">
        <f>IFERROR(N88/N444, "NA")</f>
        <v>-4.1967563980003765E-2</v>
      </c>
      <c r="P88" s="2"/>
      <c r="Q88" s="14">
        <f>IFERROR(Q75+Q76+Q77+Q78+Q79+Q80+Q81+Q82+Q83+Q84+Q85+Q86+Q87, "NA")</f>
        <v>34538.019999999997</v>
      </c>
      <c r="R88" s="15">
        <f>IFERROR(Q88/Q444, "NA")</f>
        <v>2.716266769140965E-2</v>
      </c>
      <c r="S88" s="2"/>
      <c r="T88" s="14">
        <f>IFERROR(T75+T76+T77+T78+T79+T80+T81+T82+T83+T84+T85+T86+T87, "NA")</f>
        <v>33467.839999999997</v>
      </c>
      <c r="U88" s="15">
        <f>IFERROR(T88/T444, "NA")</f>
        <v>2.8999995182241424E-2</v>
      </c>
      <c r="V88" s="2"/>
      <c r="W88" s="14">
        <f t="shared" si="22"/>
        <v>1070.1800000000003</v>
      </c>
      <c r="X88" s="15">
        <f>IFERROR(W88/W444, "NA")</f>
        <v>9.1108854299644312E-3</v>
      </c>
      <c r="Y88" s="2"/>
      <c r="Z88" s="14">
        <f>IFERROR(Z75+Z76+Z77+Z78+Z79+Z80+Z81+Z82+Z83+Z84+Z85+Z86+Z87, "NA")</f>
        <v>29148.78</v>
      </c>
      <c r="AA88" s="15">
        <f>IFERROR(Z88/Z444, "NA")</f>
        <v>2.8033777431958885E-2</v>
      </c>
      <c r="AB88" s="2"/>
      <c r="AC88" s="14">
        <f t="shared" si="23"/>
        <v>5389.239999999998</v>
      </c>
      <c r="AD88" s="15">
        <f>IFERROR(AC88/AC444, "NA")</f>
        <v>2.3254361918844283E-2</v>
      </c>
    </row>
    <row r="89" spans="1:30" ht="16.5" customHeight="1" x14ac:dyDescent="0.45">
      <c r="A89" s="6" t="s">
        <v>85</v>
      </c>
      <c r="B89" s="7">
        <v>47.92</v>
      </c>
      <c r="C89" s="8">
        <f>IFERROR(B89/B444, "NA")</f>
        <v>3.1198926163170776E-4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47.92</v>
      </c>
      <c r="I89" s="8">
        <f>IFERROR(H89/H444, "NA")</f>
        <v>-5.2824198597821573E-2</v>
      </c>
      <c r="J89" s="9"/>
      <c r="K89" s="7">
        <v>809.13</v>
      </c>
      <c r="L89" s="8">
        <f>IFERROR(K89/K444, "NA")</f>
        <v>5.7607139004909351E-3</v>
      </c>
      <c r="M89" s="9"/>
      <c r="N89" s="10">
        <f t="shared" si="21"/>
        <v>-761.21</v>
      </c>
      <c r="O89" s="8">
        <f>IFERROR(N89/N444, "NA")</f>
        <v>-5.7937447863070875E-2</v>
      </c>
      <c r="P89" s="9"/>
      <c r="Q89" s="7">
        <v>213.66</v>
      </c>
      <c r="R89" s="8">
        <f>IFERROR(Q89/Q444, "NA")</f>
        <v>1.6803440321554584E-4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213.66</v>
      </c>
      <c r="X89" s="8">
        <f>IFERROR(W89/W444, "NA")</f>
        <v>1.8189760423164324E-3</v>
      </c>
      <c r="Y89" s="9"/>
      <c r="Z89" s="7">
        <v>-3090.33</v>
      </c>
      <c r="AA89" s="8">
        <f>IFERROR(Z89/Z444, "NA")</f>
        <v>-2.97211833261308E-3</v>
      </c>
      <c r="AB89" s="9"/>
      <c r="AC89" s="10">
        <f t="shared" si="23"/>
        <v>3303.99</v>
      </c>
      <c r="AD89" s="8">
        <f>IFERROR(AC89/AC444, "NA")</f>
        <v>1.4256588913509576E-2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-5407.58</v>
      </c>
      <c r="F94" s="8">
        <f>IFERROR(E94/E444, "NA")</f>
        <v>-3.5000021682540551E-2</v>
      </c>
      <c r="G94" s="9"/>
      <c r="H94" s="10">
        <f t="shared" ref="H94:H124" si="24">IFERROR(B94-E94, "NA")</f>
        <v>5407.58</v>
      </c>
      <c r="I94" s="8">
        <f>IFERROR(H94/H444, "NA")</f>
        <v>-5.9609991622205332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-40392.230000000003</v>
      </c>
      <c r="U94" s="8">
        <f>IFERROR(T94/T444, "NA")</f>
        <v>-3.5000002252908696E-2</v>
      </c>
      <c r="V94" s="9"/>
      <c r="W94" s="10">
        <f t="shared" ref="W94:W124" si="26">IFERROR(Q94-T94, "NA")</f>
        <v>40392.230000000003</v>
      </c>
      <c r="X94" s="8">
        <f>IFERROR(W94/W444, "NA")</f>
        <v>0.34387577771101319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-1987.02</v>
      </c>
      <c r="C96" s="8">
        <f>IFERROR(B96/B444, "NA")</f>
        <v>-1.293674671634883E-2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-1987.02</v>
      </c>
      <c r="I96" s="8">
        <f>IFERROR(H96/H444, "NA")</f>
        <v>2.1903743551302881</v>
      </c>
      <c r="J96" s="9"/>
      <c r="K96" s="7">
        <v>-167.26</v>
      </c>
      <c r="L96" s="8">
        <f>IFERROR(K96/K444, "NA")</f>
        <v>-1.1908309010864927E-3</v>
      </c>
      <c r="M96" s="9"/>
      <c r="N96" s="10">
        <f t="shared" si="25"/>
        <v>-1819.76</v>
      </c>
      <c r="O96" s="8">
        <f>IFERROR(N96/N444, "NA")</f>
        <v>-0.13850612856281691</v>
      </c>
      <c r="P96" s="9"/>
      <c r="Q96" s="7">
        <v>-15175.12</v>
      </c>
      <c r="R96" s="8">
        <f>IFERROR(Q96/Q444, "NA")</f>
        <v>-1.1934579392138416E-2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-15175.12</v>
      </c>
      <c r="X96" s="8">
        <f>IFERROR(W96/W444, "NA")</f>
        <v>-0.12919207956228093</v>
      </c>
      <c r="Y96" s="9"/>
      <c r="Z96" s="7">
        <v>-918.25</v>
      </c>
      <c r="AA96" s="8">
        <f>IFERROR(Z96/Z444, "NA")</f>
        <v>-8.8312499277486904E-4</v>
      </c>
      <c r="AB96" s="9"/>
      <c r="AC96" s="10">
        <f t="shared" si="27"/>
        <v>-14256.87</v>
      </c>
      <c r="AD96" s="8">
        <f>IFERROR(AC96/AC444, "NA")</f>
        <v>-6.1517841998113582E-2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-3116.78</v>
      </c>
      <c r="C98" s="8">
        <f>IFERROR(B98/B444, "NA")</f>
        <v>-2.02921930481735E-2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-3116.78</v>
      </c>
      <c r="I98" s="8">
        <f>IFERROR(H98/H444, "NA")</f>
        <v>3.4357555447770936</v>
      </c>
      <c r="J98" s="9"/>
      <c r="K98" s="7">
        <v>-2279.1999999999998</v>
      </c>
      <c r="L98" s="8">
        <f>IFERROR(K98/K444, "NA")</f>
        <v>-1.6227082325459368E-2</v>
      </c>
      <c r="M98" s="9"/>
      <c r="N98" s="10">
        <f t="shared" si="25"/>
        <v>-837.58000000000038</v>
      </c>
      <c r="O98" s="8">
        <f>IFERROR(N98/N444, "NA")</f>
        <v>-6.3750144613379911E-2</v>
      </c>
      <c r="P98" s="9"/>
      <c r="Q98" s="7">
        <v>-15741.55</v>
      </c>
      <c r="R98" s="8">
        <f>IFERROR(Q98/Q444, "NA")</f>
        <v>-1.2380052232227256E-2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-15741.55</v>
      </c>
      <c r="X98" s="8">
        <f>IFERROR(W98/W444, "NA")</f>
        <v>-0.13401433267306112</v>
      </c>
      <c r="Y98" s="9"/>
      <c r="Z98" s="7">
        <v>-14190.37</v>
      </c>
      <c r="AA98" s="8">
        <f>IFERROR(Z98/Z444, "NA")</f>
        <v>-1.3647558294280118E-2</v>
      </c>
      <c r="AB98" s="9"/>
      <c r="AC98" s="10">
        <f t="shared" si="27"/>
        <v>-1551.1799999999985</v>
      </c>
      <c r="AD98" s="8">
        <f>IFERROR(AC98/AC444, "NA")</f>
        <v>-6.6932816354945872E-3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-2021.53</v>
      </c>
      <c r="C100" s="8">
        <f>IFERROR(B100/B444, "NA")</f>
        <v>-1.3161428465491364E-2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-2021.53</v>
      </c>
      <c r="I100" s="8">
        <f>IFERROR(H100/H444, "NA")</f>
        <v>2.2284161559151552</v>
      </c>
      <c r="J100" s="9"/>
      <c r="K100" s="7">
        <v>-36.64</v>
      </c>
      <c r="L100" s="8">
        <f>IFERROR(K100/K444, "NA")</f>
        <v>-2.6086359091121065E-4</v>
      </c>
      <c r="M100" s="9"/>
      <c r="N100" s="10">
        <f t="shared" si="25"/>
        <v>-1984.8899999999999</v>
      </c>
      <c r="O100" s="8">
        <f>IFERROR(N100/N444, "NA")</f>
        <v>-0.1510745535252174</v>
      </c>
      <c r="P100" s="9"/>
      <c r="Q100" s="7">
        <v>-6282.17</v>
      </c>
      <c r="R100" s="8">
        <f>IFERROR(Q100/Q444, "NA")</f>
        <v>-4.9406565892006257E-3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-6282.17</v>
      </c>
      <c r="X100" s="8">
        <f>IFERROR(W100/W444, "NA")</f>
        <v>-5.3482714236445864E-2</v>
      </c>
      <c r="Y100" s="9"/>
      <c r="Z100" s="7">
        <v>-751.63</v>
      </c>
      <c r="AA100" s="8">
        <f>IFERROR(Z100/Z444, "NA")</f>
        <v>-7.2287856065273597E-4</v>
      </c>
      <c r="AB100" s="9"/>
      <c r="AC100" s="10">
        <f t="shared" si="27"/>
        <v>-5530.54</v>
      </c>
      <c r="AD100" s="8">
        <f>IFERROR(AC100/AC444, "NA")</f>
        <v>-2.3864065947451794E-2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-1873.12</v>
      </c>
      <c r="C102" s="8">
        <f>IFERROR(B102/B444, "NA")</f>
        <v>-1.2195186263513864E-2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-1873.12</v>
      </c>
      <c r="I102" s="8">
        <f>IFERROR(H102/H444, "NA")</f>
        <v>2.064817672736885</v>
      </c>
      <c r="J102" s="9"/>
      <c r="K102" s="7">
        <v>-140.96</v>
      </c>
      <c r="L102" s="8">
        <f>IFERROR(K102/K444, "NA")</f>
        <v>-1.0035843825012079E-3</v>
      </c>
      <c r="M102" s="9"/>
      <c r="N102" s="10">
        <f t="shared" si="25"/>
        <v>-1732.1599999999999</v>
      </c>
      <c r="O102" s="8">
        <f>IFERROR(N102/N444, "NA")</f>
        <v>-0.13183869062479059</v>
      </c>
      <c r="P102" s="9"/>
      <c r="Q102" s="7">
        <v>-12001.83</v>
      </c>
      <c r="R102" s="8">
        <f>IFERROR(Q102/Q444, "NA")</f>
        <v>-9.4389232497633369E-3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-12001.83</v>
      </c>
      <c r="X102" s="8">
        <f>IFERROR(W102/W444, "NA")</f>
        <v>-0.10217654794512136</v>
      </c>
      <c r="Y102" s="9"/>
      <c r="Z102" s="7">
        <v>-4769.05</v>
      </c>
      <c r="AA102" s="8">
        <f>IFERROR(Z102/Z444, "NA")</f>
        <v>-4.5866237373188012E-3</v>
      </c>
      <c r="AB102" s="9"/>
      <c r="AC102" s="10">
        <f t="shared" si="27"/>
        <v>-7232.78</v>
      </c>
      <c r="AD102" s="8">
        <f>IFERROR(AC102/AC444, "NA")</f>
        <v>-3.1209165633628973E-2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-532.36</v>
      </c>
      <c r="C104" s="8">
        <f>IFERROR(B104/B444, "NA")</f>
        <v>-3.4659975651555913E-3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-532.36</v>
      </c>
      <c r="I104" s="8">
        <f>IFERROR(H104/H444, "NA")</f>
        <v>0.58684245337095764</v>
      </c>
      <c r="J104" s="9"/>
      <c r="K104" s="7">
        <v>-196.96</v>
      </c>
      <c r="L104" s="8">
        <f>IFERROR(K104/K444, "NA")</f>
        <v>-1.4022841939375559E-3</v>
      </c>
      <c r="M104" s="9"/>
      <c r="N104" s="10">
        <f t="shared" si="25"/>
        <v>-335.4</v>
      </c>
      <c r="O104" s="8">
        <f>IFERROR(N104/N444, "NA")</f>
        <v>-2.5528067173676082E-2</v>
      </c>
      <c r="P104" s="9"/>
      <c r="Q104" s="7">
        <v>-4722.95</v>
      </c>
      <c r="R104" s="8">
        <f>IFERROR(Q104/Q444, "NA")</f>
        <v>-3.7143971013145287E-3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-4722.95</v>
      </c>
      <c r="X104" s="8">
        <f>IFERROR(W104/W444, "NA")</f>
        <v>-4.0208428807724399E-2</v>
      </c>
      <c r="Y104" s="9"/>
      <c r="Z104" s="7">
        <v>-2770.67</v>
      </c>
      <c r="AA104" s="8">
        <f>IFERROR(Z104/Z444, "NA")</f>
        <v>-2.6646860046082728E-3</v>
      </c>
      <c r="AB104" s="9"/>
      <c r="AC104" s="10">
        <f t="shared" si="27"/>
        <v>-1952.2799999999997</v>
      </c>
      <c r="AD104" s="8">
        <f>IFERROR(AC104/AC444, "NA")</f>
        <v>-8.4240126041744898E-3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-2139.0500000000002</v>
      </c>
      <c r="L106" s="8">
        <f>IFERROR(K106/K444, "NA")</f>
        <v>-1.522926485094501E-2</v>
      </c>
      <c r="M106" s="9"/>
      <c r="N106" s="10">
        <f t="shared" si="25"/>
        <v>2139.0500000000002</v>
      </c>
      <c r="O106" s="8">
        <f>IFERROR(N106/N444, "NA")</f>
        <v>0.16280802649926007</v>
      </c>
      <c r="P106" s="9"/>
      <c r="Q106" s="7">
        <v>-1762.06</v>
      </c>
      <c r="R106" s="8">
        <f>IFERROR(Q106/Q444, "NA")</f>
        <v>-1.3857844263314833E-3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-1762.06</v>
      </c>
      <c r="X106" s="8">
        <f>IFERROR(W106/W444, "NA")</f>
        <v>-1.5001146331199536E-2</v>
      </c>
      <c r="Y106" s="9"/>
      <c r="Z106" s="7">
        <v>-13617.16</v>
      </c>
      <c r="AA106" s="8">
        <f>IFERROR(Z106/Z444, "NA")</f>
        <v>-1.3096274790758764E-2</v>
      </c>
      <c r="AB106" s="9"/>
      <c r="AC106" s="10">
        <f t="shared" si="27"/>
        <v>11855.1</v>
      </c>
      <c r="AD106" s="8">
        <f>IFERROR(AC106/AC444, "NA")</f>
        <v>5.1154297449007832E-2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-5.3453947289329943E-5</v>
      </c>
      <c r="AB108" s="9"/>
      <c r="AC108" s="10">
        <f t="shared" si="27"/>
        <v>55.58</v>
      </c>
      <c r="AD108" s="8">
        <f>IFERROR(AC108/AC444, "NA")</f>
        <v>2.3982554784150744E-4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-1.1108188038714661E-5</v>
      </c>
      <c r="AB111" s="9"/>
      <c r="AC111" s="10">
        <f t="shared" si="27"/>
        <v>11.55</v>
      </c>
      <c r="AD111" s="8">
        <f>IFERROR(AC111/AC444, "NA")</f>
        <v>4.983780276303367E-5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-9530.8100000000013</v>
      </c>
      <c r="C118" s="15">
        <f>IFERROR(B118/B444, "NA")</f>
        <v>-6.2051552058683158E-2</v>
      </c>
      <c r="D118" s="2"/>
      <c r="E118" s="14">
        <f>IFERROR(E94+E95+E96+E97+E98+E99+E100+E101+E102+E103+E104+E105+E106+E107+E108+E109+E110+E111+E112+E113+E114+E115+E116+E117, "NA")</f>
        <v>-5407.58</v>
      </c>
      <c r="F118" s="15">
        <f>IFERROR(E118/E444, "NA")</f>
        <v>-3.5000021682540551E-2</v>
      </c>
      <c r="G118" s="2"/>
      <c r="H118" s="14">
        <f t="shared" si="24"/>
        <v>-4123.2300000000014</v>
      </c>
      <c r="I118" s="15">
        <f>IFERROR(H118/H444, "NA")</f>
        <v>4.5452070197098475</v>
      </c>
      <c r="J118" s="2"/>
      <c r="K118" s="14">
        <f>IFERROR(K94+K95+K96+K97+K98+K99+K100+K101+K102+K103+K104+K105+K106+K107+K108+K109+K110+K111+K112+K113+K114+K115+K116+K117, "NA")</f>
        <v>-4960.07</v>
      </c>
      <c r="L118" s="15">
        <f>IFERROR(K118/K444, "NA")</f>
        <v>-3.5313910244840846E-2</v>
      </c>
      <c r="M118" s="2"/>
      <c r="N118" s="14">
        <f t="shared" si="25"/>
        <v>-4570.7400000000016</v>
      </c>
      <c r="O118" s="15">
        <f>IFERROR(N118/N444, "NA")</f>
        <v>-0.34788955800062094</v>
      </c>
      <c r="P118" s="2"/>
      <c r="Q118" s="14">
        <f>IFERROR(Q94+Q95+Q96+Q97+Q98+Q99+Q100+Q101+Q102+Q103+Q104+Q105+Q106+Q107+Q108+Q109+Q110+Q111+Q112+Q113+Q114+Q115+Q116+Q117, "NA")</f>
        <v>-55685.679999999993</v>
      </c>
      <c r="R118" s="15">
        <f>IFERROR(Q118/Q444, "NA")</f>
        <v>-4.3794392990975643E-2</v>
      </c>
      <c r="S118" s="2"/>
      <c r="T118" s="14">
        <f>IFERROR(T94+T95+T96+T97+T98+T99+T100+T101+T102+T103+T104+T105+T106+T107+T108+T109+T110+T111+T112+T113+T114+T115+T116+T117, "NA")</f>
        <v>-40392.230000000003</v>
      </c>
      <c r="U118" s="15">
        <f>IFERROR(T118/T444, "NA")</f>
        <v>-3.5000002252908696E-2</v>
      </c>
      <c r="V118" s="2"/>
      <c r="W118" s="14">
        <f t="shared" si="26"/>
        <v>-15293.44999999999</v>
      </c>
      <c r="X118" s="15">
        <f>IFERROR(W118/W444, "NA")</f>
        <v>-0.13019947184481992</v>
      </c>
      <c r="Y118" s="2"/>
      <c r="Z118" s="14">
        <f>IFERROR(Z94+Z95+Z96+Z97+Z98+Z99+Z100+Z101+Z102+Z103+Z104+Z105+Z106+Z107+Z108+Z109+Z110+Z111+Z112+Z113+Z114+Z115+Z116+Z117, "NA")</f>
        <v>-37084.260000000009</v>
      </c>
      <c r="AA118" s="15">
        <f>IFERROR(Z118/Z444, "NA")</f>
        <v>-3.5665708515721616E-2</v>
      </c>
      <c r="AB118" s="2"/>
      <c r="AC118" s="14">
        <f t="shared" si="27"/>
        <v>-18601.419999999984</v>
      </c>
      <c r="AD118" s="15">
        <f>IFERROR(AC118/AC444, "NA")</f>
        <v>-8.0264407019250986E-2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153595.03000000006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154502.19</v>
      </c>
      <c r="F122" s="15">
        <f>IFERROR(E122/E444, "NA")</f>
        <v>1</v>
      </c>
      <c r="G122" s="2"/>
      <c r="H122" s="14">
        <f t="shared" si="24"/>
        <v>-907.15999999994528</v>
      </c>
      <c r="I122" s="15">
        <f>IFERROR(H122/H444, "NA")</f>
        <v>0.99999999999993583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140456.54999999999</v>
      </c>
      <c r="L122" s="15">
        <f>IFERROR(K122/K444, "NA")</f>
        <v>1</v>
      </c>
      <c r="M122" s="2"/>
      <c r="N122" s="14">
        <f t="shared" si="25"/>
        <v>13138.480000000069</v>
      </c>
      <c r="O122" s="15">
        <f>IFERROR(N122/N444, "NA")</f>
        <v>1.0000000000000044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1271525.3299999994</v>
      </c>
      <c r="R122" s="15">
        <f>IFERROR(Q122/Q444, "NA")</f>
        <v>0.99999999999999944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1154063.6400000001</v>
      </c>
      <c r="U122" s="15">
        <f>IFERROR(T122/T444, "NA")</f>
        <v>1.0000000000000002</v>
      </c>
      <c r="V122" s="2"/>
      <c r="W122" s="14">
        <f t="shared" si="26"/>
        <v>117461.68999999925</v>
      </c>
      <c r="X122" s="15">
        <f>IFERROR(W122/W444, "NA")</f>
        <v>0.99999999999999212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1039773.54</v>
      </c>
      <c r="AA122" s="15">
        <f>IFERROR(Z122/Z444, "NA")</f>
        <v>1</v>
      </c>
      <c r="AB122" s="2"/>
      <c r="AC122" s="14">
        <f t="shared" si="27"/>
        <v>231751.78999999934</v>
      </c>
      <c r="AD122" s="15">
        <f>IFERROR(AC122/AC444, "NA")</f>
        <v>0.999999999999997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153595.03000000006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154502.19</v>
      </c>
      <c r="F124" s="15">
        <f>IFERROR(E124/E444, "NA")</f>
        <v>1</v>
      </c>
      <c r="G124" s="2"/>
      <c r="H124" s="14">
        <f t="shared" si="24"/>
        <v>-907.15999999994528</v>
      </c>
      <c r="I124" s="15">
        <f>IFERROR(H124/H444, "NA")</f>
        <v>0.99999999999993583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140456.54999999999</v>
      </c>
      <c r="L124" s="15">
        <f>IFERROR(K124/K444, "NA")</f>
        <v>1</v>
      </c>
      <c r="M124" s="2"/>
      <c r="N124" s="14">
        <f t="shared" si="25"/>
        <v>13138.480000000069</v>
      </c>
      <c r="O124" s="15">
        <f>IFERROR(N124/N444, "NA")</f>
        <v>1.0000000000000044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1271525.3299999994</v>
      </c>
      <c r="R124" s="15">
        <f>IFERROR(Q124/Q444, "NA")</f>
        <v>0.99999999999999944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1154063.6400000001</v>
      </c>
      <c r="U124" s="15">
        <f>IFERROR(T124/T444, "NA")</f>
        <v>1.0000000000000002</v>
      </c>
      <c r="V124" s="2"/>
      <c r="W124" s="14">
        <f t="shared" si="26"/>
        <v>117461.68999999925</v>
      </c>
      <c r="X124" s="15">
        <f>IFERROR(W124/W444, "NA")</f>
        <v>0.99999999999999212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1039773.54</v>
      </c>
      <c r="AA124" s="15">
        <f>IFERROR(Z124/Z444, "NA")</f>
        <v>1</v>
      </c>
      <c r="AB124" s="2"/>
      <c r="AC124" s="14">
        <f t="shared" si="27"/>
        <v>231751.78999999934</v>
      </c>
      <c r="AD124" s="15">
        <f>IFERROR(AC124/AC444, "NA")</f>
        <v>0.999999999999997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33217.97</v>
      </c>
      <c r="F129" s="8">
        <f>IFERROR(E129/E444, "NA")</f>
        <v>0.21499999449845986</v>
      </c>
      <c r="G129" s="9"/>
      <c r="H129" s="10">
        <f t="shared" ref="H129:H141" si="28">IFERROR(-(B129-E129), "NA")</f>
        <v>33217.97</v>
      </c>
      <c r="I129" s="8">
        <f>IFERROR(H129/H444, "NA")</f>
        <v>-36.617542660611001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256129.2</v>
      </c>
      <c r="U129" s="8">
        <f>IFERROR(T129/T444, "NA")</f>
        <v>0.22193680757501383</v>
      </c>
      <c r="V129" s="9"/>
      <c r="W129" s="10">
        <f t="shared" ref="W129:W141" si="30">IFERROR(-(Q129-T129), "NA")</f>
        <v>256129.2</v>
      </c>
      <c r="X129" s="8">
        <f>IFERROR(W129/W444, "NA")</f>
        <v>2.1805339255718152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8615.0499999999993</v>
      </c>
      <c r="C130" s="8">
        <f>IFERROR(B130/B444, "NA")</f>
        <v>5.6089379975380708E-2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-8615.0499999999993</v>
      </c>
      <c r="I130" s="8">
        <f>IFERROR(H130/H444, "NA")</f>
        <v>9.4967260461219265</v>
      </c>
      <c r="J130" s="9"/>
      <c r="K130" s="7">
        <v>9094.27</v>
      </c>
      <c r="L130" s="8">
        <f>IFERROR(K130/K444, "NA")</f>
        <v>6.474792382412925E-2</v>
      </c>
      <c r="M130" s="9"/>
      <c r="N130" s="10">
        <f t="shared" si="29"/>
        <v>479.22000000000116</v>
      </c>
      <c r="O130" s="8">
        <f>IFERROR(N130/N444, "NA")</f>
        <v>3.6474538911654981E-2</v>
      </c>
      <c r="P130" s="9"/>
      <c r="Q130" s="7">
        <v>67750.66</v>
      </c>
      <c r="R130" s="8">
        <f>IFERROR(Q130/Q444, "NA")</f>
        <v>5.328298100046501E-2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-67750.66</v>
      </c>
      <c r="X130" s="8">
        <f>IFERROR(W130/W444, "NA")</f>
        <v>-0.57678941959714614</v>
      </c>
      <c r="Y130" s="9"/>
      <c r="Z130" s="7">
        <v>66379.490000000005</v>
      </c>
      <c r="AA130" s="8">
        <f>IFERROR(Z130/Z444, "NA")</f>
        <v>6.3840333925019865E-2</v>
      </c>
      <c r="AB130" s="9"/>
      <c r="AC130" s="10">
        <f t="shared" si="31"/>
        <v>-1371.1699999999983</v>
      </c>
      <c r="AD130" s="8">
        <f>IFERROR(AC130/AC444, "NA")</f>
        <v>-5.9165454558085528E-3</v>
      </c>
    </row>
    <row r="131" spans="1:30" ht="16.5" customHeight="1" x14ac:dyDescent="0.45">
      <c r="A131" s="12" t="s">
        <v>123</v>
      </c>
      <c r="B131" s="7">
        <v>3700.57</v>
      </c>
      <c r="C131" s="8">
        <f>IFERROR(B131/B444, "NA")</f>
        <v>2.4093032176887495E-2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-3700.57</v>
      </c>
      <c r="I131" s="8">
        <f>IFERROR(H131/H444, "NA")</f>
        <v>4.079291414965371</v>
      </c>
      <c r="J131" s="9"/>
      <c r="K131" s="7">
        <v>4004.76</v>
      </c>
      <c r="L131" s="8">
        <f>IFERROR(K131/K444, "NA")</f>
        <v>2.8512447443711245E-2</v>
      </c>
      <c r="M131" s="9"/>
      <c r="N131" s="10">
        <f t="shared" si="29"/>
        <v>304.19000000000005</v>
      </c>
      <c r="O131" s="8">
        <f>IFERROR(N131/N444, "NA")</f>
        <v>2.315260212749114E-2</v>
      </c>
      <c r="P131" s="9"/>
      <c r="Q131" s="7">
        <v>34620.85</v>
      </c>
      <c r="R131" s="8">
        <f>IFERROR(Q131/Q444, "NA")</f>
        <v>2.7227809924950528E-2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-34620.85</v>
      </c>
      <c r="X131" s="8">
        <f>IFERROR(W131/W444, "NA")</f>
        <v>-0.29474163022854472</v>
      </c>
      <c r="Y131" s="9"/>
      <c r="Z131" s="7">
        <v>31255.4</v>
      </c>
      <c r="AA131" s="8">
        <f>IFERROR(Z131/Z444, "NA")</f>
        <v>3.0059814755432228E-2</v>
      </c>
      <c r="AB131" s="9"/>
      <c r="AC131" s="10">
        <f t="shared" si="31"/>
        <v>-3365.4499999999971</v>
      </c>
      <c r="AD131" s="8">
        <f>IFERROR(AC131/AC444, "NA")</f>
        <v>-1.4521786433666797E-2</v>
      </c>
    </row>
    <row r="132" spans="1:30" ht="16.5" customHeight="1" x14ac:dyDescent="0.45">
      <c r="A132" s="12" t="s">
        <v>124</v>
      </c>
      <c r="B132" s="7">
        <v>8666.7900000000009</v>
      </c>
      <c r="C132" s="8">
        <f>IFERROR(B132/B444, "NA")</f>
        <v>5.6426239833411281E-2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-8666.7900000000009</v>
      </c>
      <c r="I132" s="8">
        <f>IFERROR(H132/H444, "NA")</f>
        <v>9.5537611887649003</v>
      </c>
      <c r="J132" s="9"/>
      <c r="K132" s="7">
        <v>5689.44</v>
      </c>
      <c r="L132" s="8">
        <f>IFERROR(K132/K444, "NA")</f>
        <v>4.0506761699614577E-2</v>
      </c>
      <c r="M132" s="9"/>
      <c r="N132" s="10">
        <f t="shared" si="29"/>
        <v>-2977.3500000000013</v>
      </c>
      <c r="O132" s="8">
        <f>IFERROR(N132/N444, "NA")</f>
        <v>-0.22661297197240463</v>
      </c>
      <c r="P132" s="9"/>
      <c r="Q132" s="7">
        <v>55306.64</v>
      </c>
      <c r="R132" s="8">
        <f>IFERROR(Q132/Q444, "NA")</f>
        <v>4.3496294328639128E-2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-55306.64</v>
      </c>
      <c r="X132" s="8">
        <f>IFERROR(W132/W444, "NA")</f>
        <v>-0.47084832510071933</v>
      </c>
      <c r="Y132" s="9"/>
      <c r="Z132" s="7">
        <v>37383.120000000003</v>
      </c>
      <c r="AA132" s="8">
        <f>IFERROR(Z132/Z444, "NA")</f>
        <v>3.5953136487777905E-2</v>
      </c>
      <c r="AB132" s="9"/>
      <c r="AC132" s="10">
        <f t="shared" si="31"/>
        <v>-17923.519999999997</v>
      </c>
      <c r="AD132" s="8">
        <f>IFERROR(AC132/AC444, "NA")</f>
        <v>-7.7339294768769606E-2</v>
      </c>
    </row>
    <row r="133" spans="1:30" ht="16.5" customHeight="1" x14ac:dyDescent="0.45">
      <c r="A133" s="12" t="s">
        <v>125</v>
      </c>
      <c r="B133" s="7">
        <v>3779.97</v>
      </c>
      <c r="C133" s="8">
        <f>IFERROR(B133/B444, "NA")</f>
        <v>2.460997598685322E-2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-3779.97</v>
      </c>
      <c r="I133" s="8">
        <f>IFERROR(H133/H444, "NA")</f>
        <v>4.1668173199876373</v>
      </c>
      <c r="J133" s="9"/>
      <c r="K133" s="7">
        <v>2543.23</v>
      </c>
      <c r="L133" s="8">
        <f>IFERROR(K133/K444, "NA")</f>
        <v>1.8106880739986852E-2</v>
      </c>
      <c r="M133" s="9"/>
      <c r="N133" s="10">
        <f t="shared" si="29"/>
        <v>-1236.7399999999998</v>
      </c>
      <c r="O133" s="8">
        <f>IFERROR(N133/N444, "NA")</f>
        <v>-9.413113236843218E-2</v>
      </c>
      <c r="P133" s="9"/>
      <c r="Q133" s="7">
        <v>28126.17</v>
      </c>
      <c r="R133" s="8">
        <f>IFERROR(Q133/Q444, "NA")</f>
        <v>2.2120023358087562E-2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-28126.17</v>
      </c>
      <c r="X133" s="8">
        <f>IFERROR(W133/W444, "NA")</f>
        <v>-0.23944973037592049</v>
      </c>
      <c r="Y133" s="9"/>
      <c r="Z133" s="7">
        <v>19338.88</v>
      </c>
      <c r="AA133" s="8">
        <f>IFERROR(Z133/Z444, "NA")</f>
        <v>1.8599126882955688E-2</v>
      </c>
      <c r="AB133" s="9"/>
      <c r="AC133" s="10">
        <f t="shared" si="31"/>
        <v>-8787.2899999999972</v>
      </c>
      <c r="AD133" s="8">
        <f>IFERROR(AC133/AC444, "NA")</f>
        <v>-3.7916816090179911E-2</v>
      </c>
    </row>
    <row r="134" spans="1:30" ht="16.5" customHeight="1" x14ac:dyDescent="0.45">
      <c r="A134" s="12" t="s">
        <v>126</v>
      </c>
      <c r="B134" s="7">
        <v>1481.99</v>
      </c>
      <c r="C134" s="8">
        <f>IFERROR(B134/B444, "NA")</f>
        <v>9.6486845961096523E-3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-1481.99</v>
      </c>
      <c r="I134" s="8">
        <f>IFERROR(H134/H444, "NA")</f>
        <v>1.633658891485509</v>
      </c>
      <c r="J134" s="9"/>
      <c r="K134" s="7">
        <v>1282.67</v>
      </c>
      <c r="L134" s="8">
        <f>IFERROR(K134/K444, "NA")</f>
        <v>9.132147984554655E-3</v>
      </c>
      <c r="M134" s="9"/>
      <c r="N134" s="10">
        <f t="shared" si="29"/>
        <v>-199.31999999999994</v>
      </c>
      <c r="O134" s="8">
        <f>IFERROR(N134/N444, "NA")</f>
        <v>-1.5170704678166712E-2</v>
      </c>
      <c r="P134" s="9"/>
      <c r="Q134" s="7">
        <v>11075.73</v>
      </c>
      <c r="R134" s="8">
        <f>IFERROR(Q134/Q444, "NA")</f>
        <v>8.7105854194819681E-3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-11075.73</v>
      </c>
      <c r="X134" s="8">
        <f>IFERROR(W134/W444, "NA")</f>
        <v>-9.429227520904887E-2</v>
      </c>
      <c r="Y134" s="9"/>
      <c r="Z134" s="7">
        <v>10136.1</v>
      </c>
      <c r="AA134" s="8">
        <f>IFERROR(Z134/Z444, "NA")</f>
        <v>9.7483727081572012E-3</v>
      </c>
      <c r="AB134" s="9"/>
      <c r="AC134" s="10">
        <f t="shared" si="31"/>
        <v>-939.6299999999992</v>
      </c>
      <c r="AD134" s="8">
        <f>IFERROR(AC134/AC444, "NA")</f>
        <v>-4.0544670658207169E-3</v>
      </c>
    </row>
    <row r="135" spans="1:30" ht="16.5" customHeight="1" x14ac:dyDescent="0.45">
      <c r="A135" s="12" t="s">
        <v>127</v>
      </c>
      <c r="B135" s="7">
        <v>1369.22</v>
      </c>
      <c r="C135" s="8">
        <f>IFERROR(B135/B444, "NA")</f>
        <v>8.9144811521570718E-3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-1369.22</v>
      </c>
      <c r="I135" s="8">
        <f>IFERROR(H135/H444, "NA")</f>
        <v>1.5093478548436823</v>
      </c>
      <c r="J135" s="9"/>
      <c r="K135" s="7">
        <v>1489.15</v>
      </c>
      <c r="L135" s="8">
        <f>IFERROR(K135/K444, "NA")</f>
        <v>1.0602211146436391E-2</v>
      </c>
      <c r="M135" s="9"/>
      <c r="N135" s="10">
        <f t="shared" si="29"/>
        <v>119.93000000000006</v>
      </c>
      <c r="O135" s="8">
        <f>IFERROR(N135/N444, "NA")</f>
        <v>9.1281487660673059E-3</v>
      </c>
      <c r="P135" s="9"/>
      <c r="Q135" s="7">
        <v>12160.74</v>
      </c>
      <c r="R135" s="8">
        <f>IFERROR(Q135/Q444, "NA")</f>
        <v>9.5638991320762742E-3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-12160.74</v>
      </c>
      <c r="X135" s="8">
        <f>IFERROR(W135/W444, "NA")</f>
        <v>-0.10352941456912447</v>
      </c>
      <c r="Y135" s="9"/>
      <c r="Z135" s="7">
        <v>11265.46</v>
      </c>
      <c r="AA135" s="8">
        <f>IFERROR(Z135/Z444, "NA")</f>
        <v>1.0834532296330602E-2</v>
      </c>
      <c r="AB135" s="9"/>
      <c r="AC135" s="10">
        <f t="shared" si="31"/>
        <v>-895.28000000000065</v>
      </c>
      <c r="AD135" s="8">
        <f>IFERROR(AC135/AC444, "NA")</f>
        <v>-3.8630985331332308E-3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626.78</v>
      </c>
      <c r="L136" s="8">
        <f>IFERROR(K136/K444, "NA")</f>
        <v>4.4624476395013265E-3</v>
      </c>
      <c r="M136" s="9"/>
      <c r="N136" s="10">
        <f t="shared" si="29"/>
        <v>626.78</v>
      </c>
      <c r="O136" s="8">
        <f>IFERROR(N136/N444, "NA")</f>
        <v>4.7705670671188714E-2</v>
      </c>
      <c r="P136" s="9"/>
      <c r="Q136" s="7">
        <v>6328.65</v>
      </c>
      <c r="R136" s="8">
        <f>IFERROR(Q136/Q444, "NA")</f>
        <v>4.9772111106901815E-3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-5.3878417720705278E-2</v>
      </c>
      <c r="Y136" s="9"/>
      <c r="Z136" s="7">
        <v>7299.47</v>
      </c>
      <c r="AA136" s="8">
        <f>IFERROR(Z136/Z444, "NA")</f>
        <v>7.0202498132429878E-3</v>
      </c>
      <c r="AB136" s="9"/>
      <c r="AC136" s="10">
        <f t="shared" si="31"/>
        <v>970.82000000000062</v>
      </c>
      <c r="AD136" s="8">
        <f>IFERROR(AC136/AC444, "NA")</f>
        <v>4.1890507080873055E-3</v>
      </c>
    </row>
    <row r="137" spans="1:30" ht="16.5" customHeight="1" x14ac:dyDescent="0.45">
      <c r="A137" s="12" t="s">
        <v>129</v>
      </c>
      <c r="B137" s="7">
        <v>604.65</v>
      </c>
      <c r="C137" s="8">
        <f>IFERROR(B137/B444, "NA")</f>
        <v>3.9366508148082659E-3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-604.65</v>
      </c>
      <c r="I137" s="8">
        <f>IFERROR(H137/H444, "NA")</f>
        <v>0.66653071123065133</v>
      </c>
      <c r="J137" s="9"/>
      <c r="K137" s="7">
        <v>556.85</v>
      </c>
      <c r="L137" s="8">
        <f>IFERROR(K137/K444, "NA")</f>
        <v>3.964571249970187E-3</v>
      </c>
      <c r="M137" s="9"/>
      <c r="N137" s="10">
        <f t="shared" si="29"/>
        <v>-47.799999999999955</v>
      </c>
      <c r="O137" s="8">
        <f>IFERROR(N137/N444, "NA")</f>
        <v>-3.6381681899275956E-3</v>
      </c>
      <c r="P137" s="9"/>
      <c r="Q137" s="7">
        <v>6028.92</v>
      </c>
      <c r="R137" s="8">
        <f>IFERROR(Q137/Q444, "NA")</f>
        <v>4.7414863532447282E-3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-6028.92</v>
      </c>
      <c r="X137" s="8">
        <f>IFERROR(W137/W444, "NA")</f>
        <v>-5.1326692132558208E-2</v>
      </c>
      <c r="Y137" s="9"/>
      <c r="Z137" s="7">
        <v>4823.41</v>
      </c>
      <c r="AA137" s="8">
        <f>IFERROR(Z137/Z444, "NA")</f>
        <v>4.6389043521919198E-3</v>
      </c>
      <c r="AB137" s="9"/>
      <c r="AC137" s="10">
        <f t="shared" si="31"/>
        <v>-1205.5100000000002</v>
      </c>
      <c r="AD137" s="8">
        <f>IFERROR(AC137/AC444, "NA")</f>
        <v>-5.2017289704644788E-3</v>
      </c>
    </row>
    <row r="138" spans="1:30" ht="16.5" customHeight="1" x14ac:dyDescent="0.45">
      <c r="A138" s="12" t="s">
        <v>130</v>
      </c>
      <c r="B138" s="7">
        <v>8881.34</v>
      </c>
      <c r="C138" s="8">
        <f>IFERROR(B138/B444, "NA")</f>
        <v>5.782309492696476E-2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-8881.34</v>
      </c>
      <c r="I138" s="8">
        <f>IFERROR(H138/H444, "NA")</f>
        <v>9.7902685303584445</v>
      </c>
      <c r="J138" s="9"/>
      <c r="K138" s="7">
        <v>6528.63</v>
      </c>
      <c r="L138" s="8">
        <f>IFERROR(K138/K444, "NA")</f>
        <v>4.6481491963172958E-2</v>
      </c>
      <c r="M138" s="9"/>
      <c r="N138" s="10">
        <f t="shared" si="29"/>
        <v>-2352.71</v>
      </c>
      <c r="O138" s="8">
        <f>IFERROR(N138/N444, "NA")</f>
        <v>-0.17907018163440505</v>
      </c>
      <c r="P138" s="9"/>
      <c r="Q138" s="7">
        <v>69319.06</v>
      </c>
      <c r="R138" s="8">
        <f>IFERROR(Q138/Q444, "NA")</f>
        <v>5.451646016363669E-2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-69319.06</v>
      </c>
      <c r="X138" s="8">
        <f>IFERROR(W138/W444, "NA")</f>
        <v>-0.59014185816669151</v>
      </c>
      <c r="Y138" s="9"/>
      <c r="Z138" s="7">
        <v>51288.91</v>
      </c>
      <c r="AA138" s="8">
        <f>IFERROR(Z138/Z444, "NA")</f>
        <v>4.9327000569758681E-2</v>
      </c>
      <c r="AB138" s="9"/>
      <c r="AC138" s="10">
        <f t="shared" si="31"/>
        <v>-18030.149999999994</v>
      </c>
      <c r="AD138" s="8">
        <f>IFERROR(AC138/AC444, "NA")</f>
        <v>-7.7799399089862442E-2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37099.58</v>
      </c>
      <c r="C141" s="15">
        <f>IFERROR(B141/B444, "NA")</f>
        <v>0.24154153946257248</v>
      </c>
      <c r="D141" s="2"/>
      <c r="E141" s="14">
        <f>IFERROR(E129+E130+E131+E132+E133+E134+E135+E136+E137+E138+E139+E140, "NA")</f>
        <v>33217.97</v>
      </c>
      <c r="F141" s="15">
        <f>IFERROR(E141/E444, "NA")</f>
        <v>0.21499999449845986</v>
      </c>
      <c r="G141" s="2"/>
      <c r="H141" s="14">
        <f t="shared" si="28"/>
        <v>-3881.6100000000006</v>
      </c>
      <c r="I141" s="15">
        <f>IFERROR(H141/H444, "NA")</f>
        <v>4.2788592971471244</v>
      </c>
      <c r="J141" s="2"/>
      <c r="K141" s="14">
        <f>IFERROR(K129+K130+K131+K132+K133+K134+K135+K136+K137+K138+K139+K140, "NA")</f>
        <v>31815.780000000002</v>
      </c>
      <c r="L141" s="15">
        <f>IFERROR(K141/K444, "NA")</f>
        <v>0.22651688369107745</v>
      </c>
      <c r="M141" s="2"/>
      <c r="N141" s="14">
        <f t="shared" si="29"/>
        <v>-5283.7999999999993</v>
      </c>
      <c r="O141" s="15">
        <f>IFERROR(N141/N444, "NA")</f>
        <v>-0.40216219836693401</v>
      </c>
      <c r="P141" s="2"/>
      <c r="Q141" s="14">
        <f>IFERROR(Q129+Q130+Q131+Q132+Q133+Q134+Q135+Q136+Q137+Q138+Q139+Q140, "NA")</f>
        <v>290717.42000000004</v>
      </c>
      <c r="R141" s="15">
        <f>IFERROR(Q141/Q444, "NA")</f>
        <v>0.2286367507912721</v>
      </c>
      <c r="S141" s="2"/>
      <c r="T141" s="14">
        <f>IFERROR(T129+T130+T131+T132+T133+T134+T135+T136+T137+T138+T139+T140, "NA")</f>
        <v>256129.2</v>
      </c>
      <c r="U141" s="15">
        <f>IFERROR(T141/T444, "NA")</f>
        <v>0.22193680757501383</v>
      </c>
      <c r="V141" s="2"/>
      <c r="W141" s="14">
        <f t="shared" si="30"/>
        <v>-34588.22000000003</v>
      </c>
      <c r="X141" s="15">
        <f>IFERROR(W141/W444, "NA")</f>
        <v>-0.29446383752864425</v>
      </c>
      <c r="Y141" s="2"/>
      <c r="Z141" s="14">
        <f>IFERROR(Z129+Z130+Z131+Z132+Z133+Z134+Z135+Z136+Z137+Z138+Z139+Z140, "NA")</f>
        <v>239170.24000000002</v>
      </c>
      <c r="AA141" s="15">
        <f>IFERROR(Z141/Z444, "NA")</f>
        <v>0.2300214717908671</v>
      </c>
      <c r="AB141" s="2"/>
      <c r="AC141" s="14">
        <f t="shared" si="31"/>
        <v>-51547.180000000022</v>
      </c>
      <c r="AD141" s="15">
        <f>IFERROR(AC141/AC444, "NA")</f>
        <v>-0.22242408569961861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1743.25</v>
      </c>
      <c r="C144" s="8">
        <f>IFERROR(B144/B444, "NA")</f>
        <v>1.1349651092226095E-2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-1743.25</v>
      </c>
      <c r="I144" s="8">
        <f>IFERROR(H144/H444, "NA")</f>
        <v>1.9216565986154519</v>
      </c>
      <c r="J144" s="9"/>
      <c r="K144" s="7">
        <v>1248.18</v>
      </c>
      <c r="L144" s="8">
        <f>IFERROR(K144/K444, "NA")</f>
        <v>8.886591618546805E-3</v>
      </c>
      <c r="M144" s="9"/>
      <c r="N144" s="10">
        <f t="shared" si="33"/>
        <v>-495.06999999999994</v>
      </c>
      <c r="O144" s="8">
        <f>IFERROR(N144/N444, "NA")</f>
        <v>-3.7680918949528373E-2</v>
      </c>
      <c r="P144" s="9"/>
      <c r="Q144" s="7">
        <v>12632.04</v>
      </c>
      <c r="R144" s="8">
        <f>IFERROR(Q144/Q444, "NA")</f>
        <v>9.9345563174899551E-3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-12632.04</v>
      </c>
      <c r="X144" s="8">
        <f>IFERROR(W144/W444, "NA")</f>
        <v>-0.10754178660293395</v>
      </c>
      <c r="Y144" s="9"/>
      <c r="Z144" s="7">
        <v>9111.89</v>
      </c>
      <c r="AA144" s="8">
        <f>IFERROR(Z144/Z444, "NA")</f>
        <v>8.7633409097907979E-3</v>
      </c>
      <c r="AB144" s="9"/>
      <c r="AC144" s="10">
        <f t="shared" si="35"/>
        <v>-3520.1500000000015</v>
      </c>
      <c r="AD144" s="8">
        <f>IFERROR(AC144/AC444, "NA")</f>
        <v>-1.5189310943401995E-2</v>
      </c>
    </row>
    <row r="145" spans="1:30" ht="16.5" customHeight="1" x14ac:dyDescent="0.45">
      <c r="A145" s="12" t="s">
        <v>136</v>
      </c>
      <c r="B145" s="7">
        <v>-37.68</v>
      </c>
      <c r="C145" s="8">
        <f>IFERROR(B145/B444, "NA")</f>
        <v>-2.4532043777718591E-4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37.68</v>
      </c>
      <c r="I145" s="8">
        <f>IFERROR(H145/H444, "NA")</f>
        <v>-4.1536222937519129E-2</v>
      </c>
      <c r="J145" s="9"/>
      <c r="K145" s="7">
        <v>61.96</v>
      </c>
      <c r="L145" s="8">
        <f>IFERROR(K145/K444, "NA")</f>
        <v>4.4113286279635948E-4</v>
      </c>
      <c r="M145" s="9"/>
      <c r="N145" s="10">
        <f t="shared" si="33"/>
        <v>99.64</v>
      </c>
      <c r="O145" s="8">
        <f>IFERROR(N145/N444, "NA")</f>
        <v>7.5838300929787859E-3</v>
      </c>
      <c r="P145" s="9"/>
      <c r="Q145" s="7">
        <v>630.13</v>
      </c>
      <c r="R145" s="8">
        <f>IFERROR(Q145/Q444, "NA")</f>
        <v>4.955701511663947E-4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-630.13</v>
      </c>
      <c r="X145" s="8">
        <f>IFERROR(W145/W444, "NA")</f>
        <v>-5.3645575846899447E-3</v>
      </c>
      <c r="Y145" s="9"/>
      <c r="Z145" s="7">
        <v>780.03</v>
      </c>
      <c r="AA145" s="8">
        <f>IFERROR(Z145/Z444, "NA")</f>
        <v>7.5019220050550619E-4</v>
      </c>
      <c r="AB145" s="9"/>
      <c r="AC145" s="10">
        <f t="shared" si="35"/>
        <v>149.89999999999998</v>
      </c>
      <c r="AD145" s="8">
        <f>IFERROR(AC145/AC444, "NA")</f>
        <v>6.4681269559989135E-4</v>
      </c>
    </row>
    <row r="146" spans="1:30" ht="16.5" customHeight="1" x14ac:dyDescent="0.45">
      <c r="A146" s="12" t="s">
        <v>137</v>
      </c>
      <c r="B146" s="7">
        <v>230.46</v>
      </c>
      <c r="C146" s="8">
        <f>IFERROR(B146/B444, "NA")</f>
        <v>1.5004391743665144E-3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-230.46</v>
      </c>
      <c r="I146" s="8">
        <f>IFERROR(H146/H444, "NA")</f>
        <v>0.25404559283918948</v>
      </c>
      <c r="J146" s="9"/>
      <c r="K146" s="7">
        <v>85.81</v>
      </c>
      <c r="L146" s="8">
        <f>IFERROR(K146/K444, "NA")</f>
        <v>6.1093626463130425E-4</v>
      </c>
      <c r="M146" s="9"/>
      <c r="N146" s="10">
        <f t="shared" si="33"/>
        <v>-144.65</v>
      </c>
      <c r="O146" s="8">
        <f>IFERROR(N146/N444, "NA")</f>
        <v>-1.1009644951318561E-2</v>
      </c>
      <c r="P146" s="9"/>
      <c r="Q146" s="7">
        <v>1529.14</v>
      </c>
      <c r="R146" s="8">
        <f>IFERROR(Q146/Q444, "NA")</f>
        <v>1.202602861242253E-3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-1529.14</v>
      </c>
      <c r="X146" s="8">
        <f>IFERROR(W146/W444, "NA")</f>
        <v>-1.3018201934605213E-2</v>
      </c>
      <c r="Y146" s="9"/>
      <c r="Z146" s="7">
        <v>3194.16</v>
      </c>
      <c r="AA146" s="8">
        <f>IFERROR(Z146/Z444, "NA")</f>
        <v>3.0719766152156555E-3</v>
      </c>
      <c r="AB146" s="9"/>
      <c r="AC146" s="10">
        <f t="shared" si="35"/>
        <v>1665.0199999999998</v>
      </c>
      <c r="AD146" s="8">
        <f>IFERROR(AC146/AC444, "NA")</f>
        <v>7.1844968274031428E-3</v>
      </c>
    </row>
    <row r="147" spans="1:30" ht="16.5" customHeight="1" x14ac:dyDescent="0.45">
      <c r="A147" s="12" t="s">
        <v>138</v>
      </c>
      <c r="B147" s="7">
        <v>15.94</v>
      </c>
      <c r="C147" s="8">
        <f>IFERROR(B147/B444, "NA")</f>
        <v>1.0377939963291781E-4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-15.94</v>
      </c>
      <c r="I147" s="8">
        <f>IFERROR(H147/H444, "NA")</f>
        <v>1.7571321486837977E-2</v>
      </c>
      <c r="J147" s="9"/>
      <c r="K147" s="7">
        <v>326.51</v>
      </c>
      <c r="L147" s="8">
        <f>IFERROR(K147/K444, "NA")</f>
        <v>2.3246334898586077E-3</v>
      </c>
      <c r="M147" s="9"/>
      <c r="N147" s="10">
        <f t="shared" si="33"/>
        <v>310.57</v>
      </c>
      <c r="O147" s="8">
        <f>IFERROR(N147/N444, "NA")</f>
        <v>2.3638198634849675E-2</v>
      </c>
      <c r="P147" s="9"/>
      <c r="Q147" s="7">
        <v>213.16</v>
      </c>
      <c r="R147" s="8">
        <f>IFERROR(Q147/Q444, "NA")</f>
        <v>1.6764117471415217E-4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-213.16</v>
      </c>
      <c r="X147" s="8">
        <f>IFERROR(W147/W444, "NA")</f>
        <v>-1.8147193352998725E-3</v>
      </c>
      <c r="Y147" s="9"/>
      <c r="Z147" s="7">
        <v>263.74</v>
      </c>
      <c r="AA147" s="8">
        <f>IFERROR(Z147/Z444, "NA")</f>
        <v>2.536513864355502E-4</v>
      </c>
      <c r="AB147" s="9"/>
      <c r="AC147" s="10">
        <f t="shared" si="35"/>
        <v>50.580000000000013</v>
      </c>
      <c r="AD147" s="8">
        <f>IFERROR(AC147/AC444, "NA")</f>
        <v>2.1825074145058386E-4</v>
      </c>
    </row>
    <row r="148" spans="1:30" ht="16.5" customHeight="1" x14ac:dyDescent="0.45">
      <c r="A148" s="13" t="s">
        <v>139</v>
      </c>
      <c r="B148" s="14">
        <f>IFERROR(B143+B144+B145+B146+B147, "NA")</f>
        <v>1951.97</v>
      </c>
      <c r="C148" s="15">
        <f>IFERROR(B148/B444, "NA")</f>
        <v>1.2708549228448343E-2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-1951.97</v>
      </c>
      <c r="I148" s="15">
        <f>IFERROR(H148/H444, "NA")</f>
        <v>2.1517372900039602</v>
      </c>
      <c r="J148" s="2"/>
      <c r="K148" s="14">
        <f>IFERROR(K143+K144+K145+K146+K147, "NA")</f>
        <v>1722.46</v>
      </c>
      <c r="L148" s="15">
        <f>IFERROR(K148/K444, "NA")</f>
        <v>1.2263294235833076E-2</v>
      </c>
      <c r="M148" s="2"/>
      <c r="N148" s="14">
        <f t="shared" si="33"/>
        <v>-229.51</v>
      </c>
      <c r="O148" s="15">
        <f>IFERROR(N148/N444, "NA")</f>
        <v>-1.7468535173018478E-2</v>
      </c>
      <c r="P148" s="2"/>
      <c r="Q148" s="14">
        <f>IFERROR(Q143+Q144+Q145+Q146+Q147, "NA")</f>
        <v>15004.47</v>
      </c>
      <c r="R148" s="15">
        <f>IFERROR(Q148/Q444, "NA")</f>
        <v>1.1800370504612754E-2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-15004.47</v>
      </c>
      <c r="X148" s="15">
        <f>IFERROR(W148/W444, "NA")</f>
        <v>-0.12773926545752898</v>
      </c>
      <c r="Y148" s="2"/>
      <c r="Z148" s="14">
        <f>IFERROR(Z143+Z144+Z145+Z146+Z147, "NA")</f>
        <v>13349.82</v>
      </c>
      <c r="AA148" s="15">
        <f>IFERROR(Z148/Z444, "NA")</f>
        <v>1.283916111194751E-2</v>
      </c>
      <c r="AB148" s="2"/>
      <c r="AC148" s="14">
        <f t="shared" si="35"/>
        <v>-1654.6499999999996</v>
      </c>
      <c r="AD148" s="15">
        <f>IFERROR(AC148/AC444, "NA")</f>
        <v>-7.1397506789483674E-3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39051.550000000003</v>
      </c>
      <c r="C149" s="15">
        <f>IFERROR(B149/B444, "NA")</f>
        <v>0.25425008869102084</v>
      </c>
      <c r="D149" s="2"/>
      <c r="E149" s="14">
        <f>IFERROR(E127+E129+E130+E131+E132+E133+E134+E135+E136+E137+E138+E139+E140+E143+E144+E145+E146+E147, "NA")</f>
        <v>33217.97</v>
      </c>
      <c r="F149" s="15">
        <f>IFERROR(E149/E444, "NA")</f>
        <v>0.21499999449845986</v>
      </c>
      <c r="G149" s="2"/>
      <c r="H149" s="14">
        <f t="shared" si="32"/>
        <v>-5833.5800000000017</v>
      </c>
      <c r="I149" s="15">
        <f>IFERROR(H149/H444, "NA")</f>
        <v>6.4305965871510864</v>
      </c>
      <c r="J149" s="2"/>
      <c r="K149" s="14">
        <f>IFERROR(K127+K129+K130+K131+K132+K133+K134+K135+K136+K137+K138+K139+K140+K143+K144+K145+K146+K147, "NA")</f>
        <v>33538.239999999998</v>
      </c>
      <c r="L149" s="15">
        <f>IFERROR(K149/K444, "NA")</f>
        <v>0.2387801779269105</v>
      </c>
      <c r="M149" s="2"/>
      <c r="N149" s="14">
        <f t="shared" si="33"/>
        <v>-5513.3100000000049</v>
      </c>
      <c r="O149" s="15">
        <f>IFERROR(N149/N444, "NA")</f>
        <v>-0.41963073353995289</v>
      </c>
      <c r="P149" s="2"/>
      <c r="Q149" s="14">
        <f>IFERROR(Q127+Q129+Q130+Q131+Q132+Q133+Q134+Q135+Q136+Q137+Q138+Q139+Q140+Q143+Q144+Q145+Q146+Q147, "NA")</f>
        <v>305721.89</v>
      </c>
      <c r="R149" s="15">
        <f>IFERROR(Q149/Q444, "NA")</f>
        <v>0.24043712129588485</v>
      </c>
      <c r="S149" s="2"/>
      <c r="T149" s="14">
        <f>IFERROR(T127+T129+T130+T131+T132+T133+T134+T135+T136+T137+T138+T139+T140+T143+T144+T145+T146+T147, "NA")</f>
        <v>256129.2</v>
      </c>
      <c r="U149" s="15">
        <f>IFERROR(T149/T444, "NA")</f>
        <v>0.22193680757501383</v>
      </c>
      <c r="V149" s="2"/>
      <c r="W149" s="14">
        <f t="shared" si="34"/>
        <v>-49592.69</v>
      </c>
      <c r="X149" s="15">
        <f>IFERROR(W149/W444, "NA")</f>
        <v>-0.42220310298617303</v>
      </c>
      <c r="Y149" s="2"/>
      <c r="Z149" s="14">
        <f>IFERROR(Z127+Z129+Z130+Z131+Z132+Z133+Z134+Z135+Z136+Z137+Z138+Z139+Z140+Z143+Z144+Z145+Z146+Z147, "NA")</f>
        <v>252520.06</v>
      </c>
      <c r="AA149" s="15">
        <f>IFERROR(Z149/Z444, "NA")</f>
        <v>0.24286063290281457</v>
      </c>
      <c r="AB149" s="2"/>
      <c r="AC149" s="14">
        <f t="shared" si="35"/>
        <v>-53201.830000000016</v>
      </c>
      <c r="AD149" s="15">
        <f>IFERROR(AC149/AC444, "NA")</f>
        <v>-0.22956383637856695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2626.54</v>
      </c>
      <c r="F153" s="8">
        <f>IFERROR(E153/E444, "NA")</f>
        <v>1.7000017928548456E-2</v>
      </c>
      <c r="G153" s="9"/>
      <c r="H153" s="10">
        <f t="shared" ref="H153:H158" si="36">IFERROR(-(B153-E153), "NA")</f>
        <v>2626.54</v>
      </c>
      <c r="I153" s="8">
        <f>IFERROR(H153/H444, "NA")</f>
        <v>-2.8953437100401143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21357.17</v>
      </c>
      <c r="U153" s="8">
        <f>IFERROR(T153/T444, "NA")</f>
        <v>1.850605916325377E-2</v>
      </c>
      <c r="V153" s="9"/>
      <c r="W153" s="10">
        <f t="shared" ref="W153:W158" si="38">IFERROR(-(Q153-T153), "NA")</f>
        <v>21357.17</v>
      </c>
      <c r="X153" s="8">
        <f>IFERROR(W153/W444, "NA")</f>
        <v>0.18182243078573079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4771.28</v>
      </c>
      <c r="C154" s="8">
        <f>IFERROR(B154/B444, "NA")</f>
        <v>3.1064025964902639E-2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-4771.28</v>
      </c>
      <c r="I154" s="8">
        <f>IFERROR(H154/H444, "NA")</f>
        <v>5.2595793465320133</v>
      </c>
      <c r="J154" s="9"/>
      <c r="K154" s="7">
        <v>3784.4</v>
      </c>
      <c r="L154" s="8">
        <f>IFERROR(K154/K444, "NA")</f>
        <v>2.6943563685709212E-2</v>
      </c>
      <c r="M154" s="9"/>
      <c r="N154" s="10">
        <f t="shared" si="37"/>
        <v>-986.87999999999965</v>
      </c>
      <c r="O154" s="8">
        <f>IFERROR(N154/N444, "NA")</f>
        <v>-7.5113711784011453E-2</v>
      </c>
      <c r="P154" s="9"/>
      <c r="Q154" s="7">
        <v>35280.71</v>
      </c>
      <c r="R154" s="8">
        <f>IFERROR(Q154/Q444, "NA")</f>
        <v>2.7746761442809791E-2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-35280.71</v>
      </c>
      <c r="X154" s="8">
        <f>IFERROR(W154/W444, "NA")</f>
        <v>-0.30035929161243929</v>
      </c>
      <c r="Y154" s="9"/>
      <c r="Z154" s="7">
        <v>30351.03</v>
      </c>
      <c r="AA154" s="8">
        <f>IFERROR(Z154/Z444, "NA")</f>
        <v>2.9190038823261457E-2</v>
      </c>
      <c r="AB154" s="9"/>
      <c r="AC154" s="10">
        <f t="shared" si="39"/>
        <v>-4929.68</v>
      </c>
      <c r="AD154" s="8">
        <f>IFERROR(AC154/AC444, "NA")</f>
        <v>-2.1271378313841717E-2</v>
      </c>
    </row>
    <row r="155" spans="1:30" ht="16.5" customHeight="1" x14ac:dyDescent="0.45">
      <c r="A155" s="12" t="s">
        <v>144</v>
      </c>
      <c r="B155" s="7">
        <v>1877.45</v>
      </c>
      <c r="C155" s="8">
        <f>IFERROR(B155/B444, "NA")</f>
        <v>1.2223377279850787E-2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-1877.45</v>
      </c>
      <c r="I155" s="8">
        <f>IFERROR(H155/H444, "NA")</f>
        <v>2.069590810882306</v>
      </c>
      <c r="J155" s="9"/>
      <c r="K155" s="7">
        <v>2332</v>
      </c>
      <c r="L155" s="8">
        <f>IFERROR(K155/K444, "NA")</f>
        <v>1.6602999290527925E-2</v>
      </c>
      <c r="M155" s="9"/>
      <c r="N155" s="10">
        <f t="shared" si="37"/>
        <v>454.54999999999995</v>
      </c>
      <c r="O155" s="8">
        <f>IFERROR(N155/N444, "NA")</f>
        <v>3.4596848341665064E-2</v>
      </c>
      <c r="P155" s="9"/>
      <c r="Q155" s="7">
        <v>18861.509999999998</v>
      </c>
      <c r="R155" s="8">
        <f>IFERROR(Q155/Q444, "NA")</f>
        <v>1.4833766622643685E-2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-18861.509999999998</v>
      </c>
      <c r="X155" s="8">
        <f>IFERROR(W155/W444, "NA")</f>
        <v>-0.16057584391983437</v>
      </c>
      <c r="Y155" s="9"/>
      <c r="Z155" s="7">
        <v>18730.009999999998</v>
      </c>
      <c r="AA155" s="8">
        <f>IFERROR(Z155/Z444, "NA")</f>
        <v>1.8013547449957226E-2</v>
      </c>
      <c r="AB155" s="9"/>
      <c r="AC155" s="10">
        <f t="shared" si="39"/>
        <v>-131.5</v>
      </c>
      <c r="AD155" s="8">
        <f>IFERROR(AC155/AC444, "NA")</f>
        <v>-5.6741740808129236E-4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255.66</v>
      </c>
      <c r="AA156" s="8">
        <f>IFERROR(Z156/Z444, "NA")</f>
        <v>2.458804635478606E-4</v>
      </c>
      <c r="AB156" s="9"/>
      <c r="AC156" s="10">
        <f t="shared" si="39"/>
        <v>255.66</v>
      </c>
      <c r="AD156" s="8">
        <f>IFERROR(AC156/AC444, "NA")</f>
        <v>1.1031630003807088E-3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6648.73</v>
      </c>
      <c r="C158" s="15">
        <f>IFERROR(B158/B444, "NA")</f>
        <v>4.3287403244753428E-2</v>
      </c>
      <c r="D158" s="2"/>
      <c r="E158" s="14">
        <f>IFERROR(E153+E154+E155+E156+E157, "NA")</f>
        <v>2626.54</v>
      </c>
      <c r="F158" s="15">
        <f>IFERROR(E158/E444, "NA")</f>
        <v>1.7000017928548456E-2</v>
      </c>
      <c r="G158" s="2"/>
      <c r="H158" s="14">
        <f t="shared" si="36"/>
        <v>-4022.1899999999996</v>
      </c>
      <c r="I158" s="15">
        <f>IFERROR(H158/H444, "NA")</f>
        <v>4.4338264473742051</v>
      </c>
      <c r="J158" s="2"/>
      <c r="K158" s="14">
        <f>IFERROR(K153+K154+K155+K156+K157, "NA")</f>
        <v>6116.4</v>
      </c>
      <c r="L158" s="15">
        <f>IFERROR(K158/K444, "NA")</f>
        <v>4.3546562976237137E-2</v>
      </c>
      <c r="M158" s="2"/>
      <c r="N158" s="14">
        <f t="shared" si="37"/>
        <v>-532.32999999999993</v>
      </c>
      <c r="O158" s="15">
        <f>IFERROR(N158/N444, "NA")</f>
        <v>-4.0516863442346417E-2</v>
      </c>
      <c r="P158" s="2"/>
      <c r="Q158" s="14">
        <f>IFERROR(Q153+Q154+Q155+Q156+Q157, "NA")</f>
        <v>54142.22</v>
      </c>
      <c r="R158" s="15">
        <f>IFERROR(Q158/Q444, "NA")</f>
        <v>4.2580528065453482E-2</v>
      </c>
      <c r="S158" s="2"/>
      <c r="T158" s="14">
        <f>IFERROR(T153+T154+T155+T156+T157, "NA")</f>
        <v>21357.17</v>
      </c>
      <c r="U158" s="15">
        <f>IFERROR(T158/T444, "NA")</f>
        <v>1.850605916325377E-2</v>
      </c>
      <c r="V158" s="2"/>
      <c r="W158" s="14">
        <f t="shared" si="38"/>
        <v>-32785.050000000003</v>
      </c>
      <c r="X158" s="15">
        <f>IFERROR(W158/W444, "NA")</f>
        <v>-0.27911270474654293</v>
      </c>
      <c r="Y158" s="2"/>
      <c r="Z158" s="14">
        <f>IFERROR(Z153+Z154+Z155+Z156+Z157, "NA")</f>
        <v>49336.7</v>
      </c>
      <c r="AA158" s="15">
        <f>IFERROR(Z158/Z444, "NA")</f>
        <v>4.7449466736766539E-2</v>
      </c>
      <c r="AB158" s="2"/>
      <c r="AC158" s="14">
        <f t="shared" si="39"/>
        <v>-4805.5200000000041</v>
      </c>
      <c r="AD158" s="15">
        <f>IFERROR(AC158/AC444, "NA")</f>
        <v>-2.0735632721542316E-2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151.83000000000001</v>
      </c>
      <c r="C161" s="8">
        <f>IFERROR(B161/B444, "NA")</f>
        <v>9.8850854744453646E-4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-151.83000000000001</v>
      </c>
      <c r="I161" s="8">
        <f>IFERROR(H161/H444, "NA")</f>
        <v>0.16736849067419135</v>
      </c>
      <c r="J161" s="9"/>
      <c r="K161" s="7">
        <v>177.04</v>
      </c>
      <c r="L161" s="8">
        <f>IFERROR(K161/K444, "NA")</f>
        <v>1.2604609752980549E-3</v>
      </c>
      <c r="M161" s="9"/>
      <c r="N161" s="10">
        <f t="shared" si="41"/>
        <v>25.20999999999998</v>
      </c>
      <c r="O161" s="8">
        <f>IFERROR(N161/N444, "NA")</f>
        <v>1.9187912148132783E-3</v>
      </c>
      <c r="P161" s="9"/>
      <c r="Q161" s="7">
        <v>1034.22</v>
      </c>
      <c r="R161" s="8">
        <f>IFERROR(Q161/Q444, "NA")</f>
        <v>8.1336956142273619E-4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-1034.22</v>
      </c>
      <c r="X161" s="8">
        <f>IFERROR(W161/W444, "NA")</f>
        <v>-8.8047430613334317E-3</v>
      </c>
      <c r="Y161" s="9"/>
      <c r="Z161" s="7">
        <v>2120.88</v>
      </c>
      <c r="AA161" s="8">
        <f>IFERROR(Z161/Z444, "NA")</f>
        <v>2.0397518482726537E-3</v>
      </c>
      <c r="AB161" s="9"/>
      <c r="AC161" s="10">
        <f t="shared" si="43"/>
        <v>1086.6600000000001</v>
      </c>
      <c r="AD161" s="8">
        <f>IFERROR(AC161/AC444, "NA")</f>
        <v>4.6888958225522227E-3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151.83000000000001</v>
      </c>
      <c r="C166" s="15">
        <f>IFERROR(B166/B444, "NA")</f>
        <v>9.8850854744453646E-4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-151.83000000000001</v>
      </c>
      <c r="I166" s="15">
        <f>IFERROR(H166/H444, "NA")</f>
        <v>0.16736849067419135</v>
      </c>
      <c r="J166" s="2"/>
      <c r="K166" s="14">
        <f>IFERROR(K160+K161+K162+K163+K164+K165, "NA")</f>
        <v>177.04</v>
      </c>
      <c r="L166" s="15">
        <f>IFERROR(K166/K444, "NA")</f>
        <v>1.2604609752980549E-3</v>
      </c>
      <c r="M166" s="2"/>
      <c r="N166" s="14">
        <f t="shared" si="41"/>
        <v>25.20999999999998</v>
      </c>
      <c r="O166" s="15">
        <f>IFERROR(N166/N444, "NA")</f>
        <v>1.9187912148132783E-3</v>
      </c>
      <c r="P166" s="2"/>
      <c r="Q166" s="14">
        <f>IFERROR(Q160+Q161+Q162+Q163+Q164+Q165, "NA")</f>
        <v>1034.22</v>
      </c>
      <c r="R166" s="15">
        <f>IFERROR(Q166/Q444, "NA")</f>
        <v>8.1336956142273619E-4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-1034.22</v>
      </c>
      <c r="X166" s="15">
        <f>IFERROR(W166/W444, "NA")</f>
        <v>-8.8047430613334317E-3</v>
      </c>
      <c r="Y166" s="2"/>
      <c r="Z166" s="14">
        <f>IFERROR(Z160+Z161+Z162+Z163+Z164+Z165, "NA")</f>
        <v>2120.88</v>
      </c>
      <c r="AA166" s="15">
        <f>IFERROR(Z166/Z444, "NA")</f>
        <v>2.0397518482726537E-3</v>
      </c>
      <c r="AB166" s="2"/>
      <c r="AC166" s="14">
        <f t="shared" si="43"/>
        <v>1086.6600000000001</v>
      </c>
      <c r="AD166" s="15">
        <f>IFERROR(AC166/AC444, "NA")</f>
        <v>4.6888958225522227E-3</v>
      </c>
    </row>
    <row r="167" spans="1:30" ht="16.5" customHeight="1" x14ac:dyDescent="0.45">
      <c r="A167" s="6" t="s">
        <v>155</v>
      </c>
      <c r="B167" s="7">
        <v>147.63</v>
      </c>
      <c r="C167" s="8">
        <f>IFERROR(B167/B444, "NA")</f>
        <v>9.6116391266045525E-4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-147.63</v>
      </c>
      <c r="I167" s="8">
        <f>IFERROR(H167/H444, "NA")</f>
        <v>0.16273865690727041</v>
      </c>
      <c r="J167" s="9"/>
      <c r="K167" s="7">
        <v>116.77</v>
      </c>
      <c r="L167" s="8">
        <f>IFERROR(K167/K444, "NA")</f>
        <v>8.3136030323968516E-4</v>
      </c>
      <c r="M167" s="9"/>
      <c r="N167" s="10">
        <f t="shared" si="41"/>
        <v>-30.86</v>
      </c>
      <c r="O167" s="8">
        <f>IFERROR(N167/N444, "NA")</f>
        <v>-2.3488257393549311E-3</v>
      </c>
      <c r="P167" s="9"/>
      <c r="Q167" s="7">
        <v>1057.67</v>
      </c>
      <c r="R167" s="8">
        <f>IFERROR(Q167/Q444, "NA")</f>
        <v>8.3181197813809971E-4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-1057.67</v>
      </c>
      <c r="X167" s="8">
        <f>IFERROR(W167/W444, "NA")</f>
        <v>-9.0043826204100966E-3</v>
      </c>
      <c r="Y167" s="9"/>
      <c r="Z167" s="7">
        <v>1162.46</v>
      </c>
      <c r="AA167" s="8">
        <f>IFERROR(Z167/Z444, "NA")</f>
        <v>1.1179934430722289E-3</v>
      </c>
      <c r="AB167" s="9"/>
      <c r="AC167" s="10">
        <f t="shared" si="43"/>
        <v>104.78999999999996</v>
      </c>
      <c r="AD167" s="8">
        <f>IFERROR(AC167/AC444, "NA")</f>
        <v>4.52164792340978E-4</v>
      </c>
    </row>
    <row r="168" spans="1:30" ht="16.5" customHeight="1" x14ac:dyDescent="0.45">
      <c r="A168" s="6" t="s">
        <v>156</v>
      </c>
      <c r="B168" s="7">
        <v>48.62</v>
      </c>
      <c r="C168" s="8">
        <f>IFERROR(B168/B444, "NA")</f>
        <v>3.1654670076238791E-4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-48.62</v>
      </c>
      <c r="I168" s="8">
        <f>IFERROR(H168/H444, "NA")</f>
        <v>5.3595837558975054E-2</v>
      </c>
      <c r="J168" s="9"/>
      <c r="K168" s="7">
        <v>41.6</v>
      </c>
      <c r="L168" s="8">
        <f>IFERROR(K168/K444, "NA")</f>
        <v>2.961770027812872E-4</v>
      </c>
      <c r="M168" s="9"/>
      <c r="N168" s="10">
        <f t="shared" si="41"/>
        <v>-7.019999999999996</v>
      </c>
      <c r="O168" s="8">
        <f>IFERROR(N168/N444, "NA")</f>
        <v>-5.343083827048479E-4</v>
      </c>
      <c r="P168" s="9"/>
      <c r="Q168" s="7">
        <v>385.53</v>
      </c>
      <c r="R168" s="8">
        <f>IFERROR(Q168/Q444, "NA")</f>
        <v>3.0320276828460816E-4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-385.53</v>
      </c>
      <c r="X168" s="8">
        <f>IFERROR(W168/W444, "NA")</f>
        <v>-3.2821765121887774E-3</v>
      </c>
      <c r="Y168" s="9"/>
      <c r="Z168" s="7">
        <v>383.9</v>
      </c>
      <c r="AA168" s="8">
        <f>IFERROR(Z168/Z444, "NA")</f>
        <v>3.6921501195346821E-4</v>
      </c>
      <c r="AB168" s="9"/>
      <c r="AC168" s="10">
        <f t="shared" si="43"/>
        <v>-1.6299999999999955</v>
      </c>
      <c r="AD168" s="8">
        <f>IFERROR(AC168/AC444, "NA")</f>
        <v>-7.0333868834410952E-6</v>
      </c>
    </row>
    <row r="169" spans="1:30" ht="16.5" customHeight="1" x14ac:dyDescent="0.45">
      <c r="A169" s="6" t="s">
        <v>157</v>
      </c>
      <c r="B169" s="7">
        <v>-1877.96</v>
      </c>
      <c r="C169" s="8">
        <f>IFERROR(B169/B444, "NA")</f>
        <v>-1.2226697699788854E-2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1877.96</v>
      </c>
      <c r="I169" s="8">
        <f>IFERROR(H169/H444, "NA")</f>
        <v>-2.0701530049825752</v>
      </c>
      <c r="J169" s="9"/>
      <c r="K169" s="7">
        <v>-3404.88</v>
      </c>
      <c r="L169" s="8">
        <f>IFERROR(K169/K444, "NA")</f>
        <v>-2.4241518106489161E-2</v>
      </c>
      <c r="M169" s="9"/>
      <c r="N169" s="10">
        <f t="shared" si="41"/>
        <v>-1526.92</v>
      </c>
      <c r="O169" s="8">
        <f>IFERROR(N169/N444, "NA")</f>
        <v>-0.11621740109967049</v>
      </c>
      <c r="P169" s="9"/>
      <c r="Q169" s="7">
        <v>-16218.26</v>
      </c>
      <c r="R169" s="8">
        <f>IFERROR(Q169/Q444, "NA")</f>
        <v>-1.2754964150026016E-2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16218.26</v>
      </c>
      <c r="X169" s="8">
        <f>IFERROR(W169/W444, "NA")</f>
        <v>0.13807276227678977</v>
      </c>
      <c r="Y169" s="9"/>
      <c r="Z169" s="7">
        <v>-16542.060000000001</v>
      </c>
      <c r="AA169" s="8">
        <f>IFERROR(Z169/Z444, "NA")</f>
        <v>-1.590929117122946E-2</v>
      </c>
      <c r="AB169" s="9"/>
      <c r="AC169" s="10">
        <f t="shared" si="43"/>
        <v>-323.80000000000109</v>
      </c>
      <c r="AD169" s="8">
        <f>IFERROR(AC169/AC444, "NA")</f>
        <v>-1.3971844618762212E-3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5118.8499999999995</v>
      </c>
      <c r="C170" s="15">
        <f>IFERROR(B170/B444, "NA")</f>
        <v>3.3326924705831949E-2</v>
      </c>
      <c r="D170" s="2"/>
      <c r="E170" s="14">
        <f>IFERROR(E151+E153+E154+E155+E156+E157+E160+E161+E162+E163+E164+E165+E167+E168+E169, "NA")</f>
        <v>2626.54</v>
      </c>
      <c r="F170" s="15">
        <f>IFERROR(E170/E444, "NA")</f>
        <v>1.7000017928548456E-2</v>
      </c>
      <c r="G170" s="2"/>
      <c r="H170" s="14">
        <f t="shared" si="40"/>
        <v>-2492.3099999999995</v>
      </c>
      <c r="I170" s="15">
        <f>IFERROR(H170/H444, "NA")</f>
        <v>2.7473764275320671</v>
      </c>
      <c r="J170" s="2"/>
      <c r="K170" s="14">
        <f>IFERROR(K151+K153+K154+K155+K156+K157+K160+K161+K162+K163+K164+K165+K167+K168+K169, "NA")</f>
        <v>3046.9300000000003</v>
      </c>
      <c r="L170" s="15">
        <f>IFERROR(K170/K444, "NA")</f>
        <v>2.1693043151067005E-2</v>
      </c>
      <c r="M170" s="2"/>
      <c r="N170" s="14">
        <f t="shared" si="41"/>
        <v>-2071.9199999999992</v>
      </c>
      <c r="O170" s="15">
        <f>IFERROR(N170/N444, "NA")</f>
        <v>-0.15769860744926334</v>
      </c>
      <c r="P170" s="2"/>
      <c r="Q170" s="14">
        <f>IFERROR(Q151+Q153+Q154+Q155+Q156+Q157+Q160+Q161+Q162+Q163+Q164+Q165+Q167+Q168+Q169, "NA")</f>
        <v>40401.379999999997</v>
      </c>
      <c r="R170" s="15">
        <f>IFERROR(Q170/Q444, "NA")</f>
        <v>3.1773948223272903E-2</v>
      </c>
      <c r="S170" s="2"/>
      <c r="T170" s="14">
        <f>IFERROR(T151+T153+T154+T155+T156+T157+T160+T161+T162+T163+T164+T165+T167+T168+T169, "NA")</f>
        <v>21357.17</v>
      </c>
      <c r="U170" s="15">
        <f>IFERROR(T170/T444, "NA")</f>
        <v>1.850605916325377E-2</v>
      </c>
      <c r="V170" s="2"/>
      <c r="W170" s="14">
        <f t="shared" si="42"/>
        <v>-19044.21</v>
      </c>
      <c r="X170" s="15">
        <f>IFERROR(W170/W444, "NA")</f>
        <v>-0.16213124466368542</v>
      </c>
      <c r="Y170" s="2"/>
      <c r="Z170" s="14">
        <f>IFERROR(Z151+Z153+Z154+Z155+Z156+Z157+Z160+Z161+Z162+Z163+Z164+Z165+Z167+Z168+Z169, "NA")</f>
        <v>36461.87999999999</v>
      </c>
      <c r="AA170" s="15">
        <f>IFERROR(Z170/Z444, "NA")</f>
        <v>3.5067135868835426E-2</v>
      </c>
      <c r="AB170" s="2"/>
      <c r="AC170" s="14">
        <f t="shared" si="43"/>
        <v>-3939.5000000000073</v>
      </c>
      <c r="AD170" s="15">
        <f>IFERROR(AC170/AC444, "NA")</f>
        <v>-1.6998789955408787E-2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44170.400000000001</v>
      </c>
      <c r="C171" s="15">
        <f>IFERROR(B171/B444, "NA")</f>
        <v>0.28757701339685277</v>
      </c>
      <c r="D171" s="2"/>
      <c r="E171" s="14">
        <f>IFERROR(E127+E129+E130+E131+E132+E133+E134+E135+E136+E137+E138+E139+E140+E143+E144+E145+E146+E147+E151+E153+E154+E155+E156+E157+E160+E161+E162+E163+E164+E165+E167+E168+E169, "NA")</f>
        <v>35844.51</v>
      </c>
      <c r="F171" s="15">
        <f>IFERROR(E171/E444, "NA")</f>
        <v>0.23200001242700832</v>
      </c>
      <c r="G171" s="2"/>
      <c r="H171" s="14">
        <f t="shared" si="40"/>
        <v>-8325.89</v>
      </c>
      <c r="I171" s="15">
        <f>IFERROR(H171/H444, "NA")</f>
        <v>9.1779730146831504</v>
      </c>
      <c r="J171" s="2"/>
      <c r="K171" s="14">
        <f>IFERROR(K127+K129+K130+K131+K132+K133+K134+K135+K136+K137+K138+K139+K140+K143+K144+K145+K146+K147+K151+K153+K154+K155+K156+K157+K160+K161+K162+K163+K164+K165+K167+K168+K169, "NA")</f>
        <v>36585.17</v>
      </c>
      <c r="L171" s="15">
        <f>IFERROR(K171/K444, "NA")</f>
        <v>0.26047322107797749</v>
      </c>
      <c r="M171" s="2"/>
      <c r="N171" s="14">
        <f t="shared" si="41"/>
        <v>-7585.2300000000032</v>
      </c>
      <c r="O171" s="15">
        <f>IFERROR(N171/N444, "NA")</f>
        <v>-0.57732934098921618</v>
      </c>
      <c r="P171" s="2"/>
      <c r="Q171" s="14">
        <f>IFERROR(Q127+Q129+Q130+Q131+Q132+Q133+Q134+Q135+Q136+Q137+Q138+Q139+Q140+Q143+Q144+Q145+Q146+Q147+Q151+Q153+Q154+Q155+Q156+Q157+Q160+Q161+Q162+Q163+Q164+Q165+Q167+Q168+Q169, "NA")</f>
        <v>346123.27</v>
      </c>
      <c r="R171" s="15">
        <f>IFERROR(Q171/Q444, "NA")</f>
        <v>0.27221106951915774</v>
      </c>
      <c r="S171" s="2"/>
      <c r="T171" s="14">
        <f>IFERROR(T127+T129+T130+T131+T132+T133+T134+T135+T136+T137+T138+T139+T140+T143+T144+T145+T146+T147+T151+T153+T154+T155+T156+T157+T160+T161+T162+T163+T164+T165+T167+T168+T169, "NA")</f>
        <v>277486.37</v>
      </c>
      <c r="U171" s="15">
        <f>IFERROR(T171/T444, "NA")</f>
        <v>0.24044286673826759</v>
      </c>
      <c r="V171" s="2"/>
      <c r="W171" s="14">
        <f t="shared" si="42"/>
        <v>-68636.900000000023</v>
      </c>
      <c r="X171" s="15">
        <f>IFERROR(W171/W444, "NA")</f>
        <v>-0.58433434764985859</v>
      </c>
      <c r="Y171" s="2"/>
      <c r="Z171" s="14">
        <f>IFERROR(Z127+Z129+Z130+Z131+Z132+Z133+Z134+Z135+Z136+Z137+Z138+Z139+Z140+Z143+Z144+Z145+Z146+Z147+Z151+Z153+Z154+Z155+Z156+Z157+Z160+Z161+Z162+Z163+Z164+Z165+Z167+Z168+Z169, "NA")</f>
        <v>288981.94</v>
      </c>
      <c r="AA171" s="15">
        <f>IFERROR(Z171/Z444, "NA")</f>
        <v>0.27792776877165004</v>
      </c>
      <c r="AB171" s="2"/>
      <c r="AC171" s="14">
        <f t="shared" si="43"/>
        <v>-57141.330000000016</v>
      </c>
      <c r="AD171" s="15">
        <f>IFERROR(AC171/AC444, "NA")</f>
        <v>-0.24656262633397572</v>
      </c>
    </row>
    <row r="172" spans="1:30" ht="16.5" customHeight="1" x14ac:dyDescent="0.45">
      <c r="A172" s="22" t="s">
        <v>160</v>
      </c>
      <c r="B172" s="23">
        <f>IFERROR(B124-B171, "NA")</f>
        <v>109424.63000000006</v>
      </c>
      <c r="C172" s="24">
        <f>IFERROR(B172/B444, "NA")</f>
        <v>0.71242298660314762</v>
      </c>
      <c r="D172" s="25"/>
      <c r="E172" s="23">
        <f>IFERROR(E124-E171, "NA")</f>
        <v>118657.68</v>
      </c>
      <c r="F172" s="24">
        <f>IFERROR(E172/E444, "NA")</f>
        <v>0.76799998757299159</v>
      </c>
      <c r="G172" s="25"/>
      <c r="H172" s="23">
        <f>IFERROR(B172-E172, "NA")</f>
        <v>-9233.0499999999302</v>
      </c>
      <c r="I172" s="24">
        <f>IFERROR(H172/H444, "NA")</f>
        <v>10.17797301468307</v>
      </c>
      <c r="J172" s="25"/>
      <c r="K172" s="23">
        <f>IFERROR(K124-K171, "NA")</f>
        <v>103871.37999999999</v>
      </c>
      <c r="L172" s="24">
        <f>IFERROR(K172/K444, "NA")</f>
        <v>0.73952677892202245</v>
      </c>
      <c r="M172" s="25"/>
      <c r="N172" s="23">
        <f>IFERROR(B172-K172, "NA")</f>
        <v>5553.2500000000728</v>
      </c>
      <c r="O172" s="24">
        <f>IFERROR(N172/N444, "NA")</f>
        <v>0.42267065901078882</v>
      </c>
      <c r="P172" s="25"/>
      <c r="Q172" s="23">
        <f>IFERROR(Q124-Q171, "NA")</f>
        <v>925402.05999999936</v>
      </c>
      <c r="R172" s="24">
        <f>IFERROR(Q172/Q444, "NA")</f>
        <v>0.7277889304808417</v>
      </c>
      <c r="S172" s="25"/>
      <c r="T172" s="23">
        <f>IFERROR(T124-T171, "NA")</f>
        <v>876577.27000000014</v>
      </c>
      <c r="U172" s="24">
        <f>IFERROR(T172/T444, "NA")</f>
        <v>0.75955713326173258</v>
      </c>
      <c r="V172" s="25"/>
      <c r="W172" s="23">
        <f>IFERROR(Q172-T172, "NA")</f>
        <v>48824.789999999222</v>
      </c>
      <c r="X172" s="24">
        <f>IFERROR(W172/W444, "NA")</f>
        <v>0.41566565235013347</v>
      </c>
      <c r="Y172" s="25"/>
      <c r="Z172" s="23">
        <f>IFERROR(Z124-Z171, "NA")</f>
        <v>750791.60000000009</v>
      </c>
      <c r="AA172" s="24">
        <f>IFERROR(Z172/Z444, "NA")</f>
        <v>0.72207223122835007</v>
      </c>
      <c r="AB172" s="25"/>
      <c r="AC172" s="23">
        <f>IFERROR(Q172-Z172, "NA")</f>
        <v>174610.45999999926</v>
      </c>
      <c r="AD172" s="24">
        <f>IFERROR(AC172/AC444, "NA")</f>
        <v>0.75343737366602104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6.5607070749619953E-2</v>
      </c>
      <c r="D178" s="9"/>
      <c r="E178" s="7">
        <v>10307.69</v>
      </c>
      <c r="F178" s="8">
        <f>IFERROR(E178/E444, "NA")</f>
        <v>6.671549445350905E-2</v>
      </c>
      <c r="G178" s="9"/>
      <c r="H178" s="10">
        <f t="shared" si="44"/>
        <v>230.77000000000044</v>
      </c>
      <c r="I178" s="8">
        <f>IFERROR(H178/H444, "NA")</f>
        <v>-0.25438731866484365</v>
      </c>
      <c r="J178" s="9"/>
      <c r="K178" s="7">
        <v>4423.08</v>
      </c>
      <c r="L178" s="8">
        <f>IFERROR(K178/K444, "NA")</f>
        <v>3.1490735035140764E-2</v>
      </c>
      <c r="M178" s="9"/>
      <c r="N178" s="10">
        <f t="shared" si="45"/>
        <v>-5653.84</v>
      </c>
      <c r="O178" s="8">
        <f>IFERROR(N178/N444, "NA")</f>
        <v>-0.43032679579372923</v>
      </c>
      <c r="P178" s="9"/>
      <c r="Q178" s="7">
        <v>75301.899999999994</v>
      </c>
      <c r="R178" s="8">
        <f>IFERROR(Q178/Q444, "NA")</f>
        <v>5.9221706578192972E-2</v>
      </c>
      <c r="S178" s="9"/>
      <c r="T178" s="7">
        <v>77307.69</v>
      </c>
      <c r="U178" s="8">
        <f>IFERROR(T178/T444, "NA")</f>
        <v>6.6987371684285979E-2</v>
      </c>
      <c r="V178" s="9"/>
      <c r="W178" s="10">
        <f t="shared" si="46"/>
        <v>2005.7900000000081</v>
      </c>
      <c r="X178" s="8">
        <f>IFERROR(W178/W444, "NA")</f>
        <v>1.7076120733491958E-2</v>
      </c>
      <c r="Y178" s="9"/>
      <c r="Z178" s="7">
        <v>33173.1</v>
      </c>
      <c r="AA178" s="8">
        <f>IFERROR(Z178/Z444, "NA")</f>
        <v>3.1904158669011716E-2</v>
      </c>
      <c r="AB178" s="9"/>
      <c r="AC178" s="10">
        <f t="shared" si="47"/>
        <v>-42128.799999999996</v>
      </c>
      <c r="AD178" s="8">
        <f>IFERROR(AC178/AC444, "NA")</f>
        <v>-0.18178414069638896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24982.58</v>
      </c>
      <c r="C180" s="8">
        <f>IFERROR(B180/B444, "NA")</f>
        <v>0.16265226811049813</v>
      </c>
      <c r="D180" s="9"/>
      <c r="E180" s="7">
        <v>24102.34</v>
      </c>
      <c r="F180" s="8">
        <f>IFERROR(E180/E444, "NA")</f>
        <v>0.15599998938526372</v>
      </c>
      <c r="G180" s="9"/>
      <c r="H180" s="10">
        <f t="shared" si="44"/>
        <v>-880.2400000000016</v>
      </c>
      <c r="I180" s="8">
        <f>IFERROR(H180/H444, "NA")</f>
        <v>0.97032497023678099</v>
      </c>
      <c r="J180" s="9"/>
      <c r="K180" s="7">
        <v>24684.14</v>
      </c>
      <c r="L180" s="8">
        <f>IFERROR(K180/K444, "NA")</f>
        <v>0.1757421779190789</v>
      </c>
      <c r="M180" s="9"/>
      <c r="N180" s="10">
        <f t="shared" si="45"/>
        <v>-298.44000000000233</v>
      </c>
      <c r="O180" s="8">
        <f>IFERROR(N180/N444, "NA")</f>
        <v>-2.2714956372426803E-2</v>
      </c>
      <c r="P180" s="9"/>
      <c r="Q180" s="7">
        <v>201340.11</v>
      </c>
      <c r="R180" s="8">
        <f>IFERROR(Q180/Q444, "NA")</f>
        <v>0.15834533945147594</v>
      </c>
      <c r="S180" s="9"/>
      <c r="T180" s="7">
        <v>187993.46</v>
      </c>
      <c r="U180" s="8">
        <f>IFERROR(T180/T444, "NA")</f>
        <v>0.16289696121090863</v>
      </c>
      <c r="V180" s="9"/>
      <c r="W180" s="10">
        <f t="shared" si="46"/>
        <v>-13346.649999999994</v>
      </c>
      <c r="X180" s="8">
        <f>IFERROR(W180/W444, "NA")</f>
        <v>-0.11362555740514182</v>
      </c>
      <c r="Y180" s="9"/>
      <c r="Z180" s="7">
        <v>191888.17</v>
      </c>
      <c r="AA180" s="8">
        <f>IFERROR(Z180/Z444, "NA")</f>
        <v>0.18454804110518142</v>
      </c>
      <c r="AB180" s="9"/>
      <c r="AC180" s="10">
        <f t="shared" si="47"/>
        <v>-9451.9399999999732</v>
      </c>
      <c r="AD180" s="8">
        <f>IFERROR(AC180/AC444, "NA")</f>
        <v>-4.0784755103725291E-2</v>
      </c>
    </row>
    <row r="181" spans="1:30" ht="16.5" customHeight="1" x14ac:dyDescent="0.45">
      <c r="A181" s="12" t="s">
        <v>166</v>
      </c>
      <c r="B181" s="7">
        <v>283.57</v>
      </c>
      <c r="C181" s="8">
        <f>IFERROR(B181/B444, "NA")</f>
        <v>1.846218591838551E-3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-283.57</v>
      </c>
      <c r="I181" s="8">
        <f>IFERROR(H181/H444, "NA")</f>
        <v>0.31259094316327757</v>
      </c>
      <c r="J181" s="9"/>
      <c r="K181" s="7">
        <v>270.38</v>
      </c>
      <c r="L181" s="8">
        <f>IFERROR(K181/K444, "NA")</f>
        <v>1.9250081252885681E-3</v>
      </c>
      <c r="M181" s="9"/>
      <c r="N181" s="10">
        <f t="shared" si="45"/>
        <v>-13.189999999999998</v>
      </c>
      <c r="O181" s="8">
        <f>IFERROR(N181/N444, "NA")</f>
        <v>-1.003921305965377E-3</v>
      </c>
      <c r="P181" s="9"/>
      <c r="Q181" s="7">
        <v>5130.6499999999996</v>
      </c>
      <c r="R181" s="8">
        <f>IFERROR(Q181/Q444, "NA")</f>
        <v>4.0350356213509327E-3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-5130.6499999999996</v>
      </c>
      <c r="X181" s="8">
        <f>IFERROR(W181/W444, "NA")</f>
        <v>-4.3679347709027441E-2</v>
      </c>
      <c r="Y181" s="9"/>
      <c r="Z181" s="7">
        <v>4480.18</v>
      </c>
      <c r="AA181" s="8">
        <f>IFERROR(Z181/Z444, "NA")</f>
        <v>4.3088036266050777E-3</v>
      </c>
      <c r="AB181" s="9"/>
      <c r="AC181" s="10">
        <f t="shared" si="47"/>
        <v>-650.46999999999935</v>
      </c>
      <c r="AD181" s="8">
        <f>IFERROR(AC181/AC444, "NA")</f>
        <v>-2.8067528626208203E-3</v>
      </c>
    </row>
    <row r="182" spans="1:30" ht="16.5" customHeight="1" x14ac:dyDescent="0.45">
      <c r="A182" s="13" t="s">
        <v>167</v>
      </c>
      <c r="B182" s="14">
        <f>IFERROR(B177+B178+B179+B180+B181, "NA")</f>
        <v>35343.07</v>
      </c>
      <c r="C182" s="15">
        <f>IFERROR(B182/B444, "NA")</f>
        <v>0.23010555745195663</v>
      </c>
      <c r="D182" s="2"/>
      <c r="E182" s="14">
        <f>IFERROR(E177+E178+E179+E180+E181, "NA")</f>
        <v>34410.03</v>
      </c>
      <c r="F182" s="15">
        <f>IFERROR(E182/E444, "NA")</f>
        <v>0.22271548383877277</v>
      </c>
      <c r="G182" s="2"/>
      <c r="H182" s="14">
        <f t="shared" si="44"/>
        <v>-933.04000000000087</v>
      </c>
      <c r="I182" s="15">
        <f>IFERROR(H182/H444, "NA")</f>
        <v>1.0285285947352145</v>
      </c>
      <c r="J182" s="2"/>
      <c r="K182" s="14">
        <f>IFERROR(K177+K178+K179+K180+K181, "NA")</f>
        <v>29377.600000000002</v>
      </c>
      <c r="L182" s="15">
        <f>IFERROR(K182/K444, "NA")</f>
        <v>0.20915792107950826</v>
      </c>
      <c r="M182" s="2"/>
      <c r="N182" s="14">
        <f t="shared" si="45"/>
        <v>-5965.4699999999975</v>
      </c>
      <c r="O182" s="15">
        <f>IFERROR(N182/N444, "NA")</f>
        <v>-0.45404567347212105</v>
      </c>
      <c r="P182" s="2"/>
      <c r="Q182" s="14">
        <f>IFERROR(Q177+Q178+Q179+Q180+Q181, "NA")</f>
        <v>281772.66000000003</v>
      </c>
      <c r="R182" s="15">
        <f>IFERROR(Q182/Q444, "NA")</f>
        <v>0.22160208165101988</v>
      </c>
      <c r="S182" s="2"/>
      <c r="T182" s="14">
        <f>IFERROR(T177+T178+T179+T180+T181, "NA")</f>
        <v>265301.15000000002</v>
      </c>
      <c r="U182" s="15">
        <f>IFERROR(T182/T444, "NA")</f>
        <v>0.22988433289519464</v>
      </c>
      <c r="V182" s="2"/>
      <c r="W182" s="14">
        <f t="shared" si="46"/>
        <v>-16471.510000000009</v>
      </c>
      <c r="X182" s="15">
        <f>IFERROR(W182/W444, "NA")</f>
        <v>-0.14022878438067751</v>
      </c>
      <c r="Y182" s="2"/>
      <c r="Z182" s="14">
        <f>IFERROR(Z177+Z178+Z179+Z180+Z181, "NA")</f>
        <v>229541.45</v>
      </c>
      <c r="AA182" s="15">
        <f>IFERROR(Z182/Z444, "NA")</f>
        <v>0.22076100340079821</v>
      </c>
      <c r="AB182" s="2"/>
      <c r="AC182" s="14">
        <f t="shared" si="47"/>
        <v>-52231.210000000021</v>
      </c>
      <c r="AD182" s="15">
        <f>IFERROR(AC182/AC444, "NA")</f>
        <v>-0.2253756486627353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-2300</v>
      </c>
      <c r="C184" s="8">
        <f>IFERROR(B184/B444, "NA")</f>
        <v>-1.4974442857949246E-2</v>
      </c>
      <c r="D184" s="9"/>
      <c r="E184" s="7">
        <v>1150</v>
      </c>
      <c r="F184" s="8">
        <f>IFERROR(E184/E444, "NA")</f>
        <v>7.4432601893863123E-3</v>
      </c>
      <c r="G184" s="9"/>
      <c r="H184" s="10">
        <f t="shared" si="44"/>
        <v>3450</v>
      </c>
      <c r="I184" s="8">
        <f>IFERROR(H184/H444, "NA")</f>
        <v>-3.8030777371136146</v>
      </c>
      <c r="J184" s="9"/>
      <c r="K184" s="7">
        <v>300</v>
      </c>
      <c r="L184" s="8">
        <f>IFERROR(K184/K444, "NA")</f>
        <v>2.1358918469804363E-3</v>
      </c>
      <c r="M184" s="9"/>
      <c r="N184" s="10">
        <f t="shared" si="45"/>
        <v>2600</v>
      </c>
      <c r="O184" s="8">
        <f>IFERROR(N184/N444, "NA")</f>
        <v>0.19789199359438822</v>
      </c>
      <c r="P184" s="9"/>
      <c r="Q184" s="7">
        <v>2950</v>
      </c>
      <c r="R184" s="8">
        <f>IFERROR(Q184/Q444, "NA")</f>
        <v>2.3200481582226914E-3</v>
      </c>
      <c r="S184" s="9"/>
      <c r="T184" s="7">
        <v>8050</v>
      </c>
      <c r="U184" s="8">
        <f>IFERROR(T184/T444, "NA")</f>
        <v>6.9753518965383924E-3</v>
      </c>
      <c r="V184" s="9"/>
      <c r="W184" s="10">
        <f t="shared" si="46"/>
        <v>5100</v>
      </c>
      <c r="X184" s="8">
        <f>IFERROR(W184/W444, "NA")</f>
        <v>4.3418411568912317E-2</v>
      </c>
      <c r="Y184" s="9"/>
      <c r="Z184" s="7">
        <v>1950</v>
      </c>
      <c r="AA184" s="8">
        <f>IFERROR(Z184/Z444, "NA")</f>
        <v>1.8754083701726051E-3</v>
      </c>
      <c r="AB184" s="9"/>
      <c r="AC184" s="10">
        <f t="shared" si="47"/>
        <v>-1000</v>
      </c>
      <c r="AD184" s="8">
        <f>IFERROR(AC184/AC444, "NA")</f>
        <v>-4.314961278184733E-3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3337.27</v>
      </c>
      <c r="C186" s="8">
        <f>IFERROR(B186/B444, "NA")</f>
        <v>2.1727721268064468E-2</v>
      </c>
      <c r="D186" s="9"/>
      <c r="E186" s="7">
        <v>3551.77</v>
      </c>
      <c r="F186" s="8">
        <f>IFERROR(E186/E444, "NA")</f>
        <v>2.2988476732918803E-2</v>
      </c>
      <c r="G186" s="9"/>
      <c r="H186" s="10">
        <f t="shared" ref="H186:H197" si="48">IFERROR(-(B186-E186), "NA")</f>
        <v>214.5</v>
      </c>
      <c r="I186" s="8">
        <f>IFERROR(H186/H444, "NA")</f>
        <v>-0.23645222452488995</v>
      </c>
      <c r="J186" s="9"/>
      <c r="K186" s="7">
        <v>2680.05</v>
      </c>
      <c r="L186" s="8">
        <f>IFERROR(K186/K444, "NA")</f>
        <v>1.908098981499973E-2</v>
      </c>
      <c r="M186" s="9"/>
      <c r="N186" s="10">
        <f t="shared" ref="N186:N197" si="49">IFERROR(-(B186-K186), "NA")</f>
        <v>-657.2199999999998</v>
      </c>
      <c r="O186" s="8">
        <f>IFERROR(N186/N444, "NA")</f>
        <v>-5.002252924234761E-2</v>
      </c>
      <c r="P186" s="9"/>
      <c r="Q186" s="7">
        <v>28536.99</v>
      </c>
      <c r="R186" s="8">
        <f>IFERROR(Q186/Q444, "NA")</f>
        <v>2.2443115623972665E-2</v>
      </c>
      <c r="S186" s="9"/>
      <c r="T186" s="7">
        <v>30520.799999999999</v>
      </c>
      <c r="U186" s="8">
        <f>IFERROR(T186/T444, "NA")</f>
        <v>2.6446375175635896E-2</v>
      </c>
      <c r="V186" s="9"/>
      <c r="W186" s="10">
        <f t="shared" ref="W186:W197" si="50">IFERROR(-(Q186-T186), "NA")</f>
        <v>1983.8099999999977</v>
      </c>
      <c r="X186" s="8">
        <f>IFERROR(W186/W444, "NA")</f>
        <v>1.6888995893043893E-2</v>
      </c>
      <c r="Y186" s="9"/>
      <c r="Z186" s="7">
        <v>23536.52</v>
      </c>
      <c r="AA186" s="8">
        <f>IFERROR(Z186/Z444, "NA")</f>
        <v>2.2636198262940985E-2</v>
      </c>
      <c r="AB186" s="9"/>
      <c r="AC186" s="10">
        <f t="shared" ref="AC186:AC197" si="51">IFERROR(-(Q186-Z186), "NA")</f>
        <v>-5000.4700000000012</v>
      </c>
      <c r="AD186" s="8">
        <f>IFERROR(AC186/AC444, "NA")</f>
        <v>-2.1576834422724418E-2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3.8469915285591898E-8</v>
      </c>
      <c r="AB187" s="9"/>
      <c r="AC187" s="10">
        <f t="shared" si="51"/>
        <v>0.04</v>
      </c>
      <c r="AD187" s="8">
        <f>IFERROR(AC187/AC444, "NA")</f>
        <v>1.7259845112738932E-7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3337.27</v>
      </c>
      <c r="C193" s="15">
        <f>IFERROR(B193/B444, "NA")</f>
        <v>2.1727721268064468E-2</v>
      </c>
      <c r="D193" s="2"/>
      <c r="E193" s="14">
        <f>IFERROR(E186+E187+E188+E189+E190+E191+E192, "NA")</f>
        <v>3551.77</v>
      </c>
      <c r="F193" s="15">
        <f>IFERROR(E193/E444, "NA")</f>
        <v>2.2988476732918803E-2</v>
      </c>
      <c r="G193" s="2"/>
      <c r="H193" s="14">
        <f t="shared" si="48"/>
        <v>214.5</v>
      </c>
      <c r="I193" s="15">
        <f>IFERROR(H193/H444, "NA")</f>
        <v>-0.23645222452488995</v>
      </c>
      <c r="J193" s="2"/>
      <c r="K193" s="14">
        <f>IFERROR(K186+K187+K188+K189+K190+K191+K192, "NA")</f>
        <v>2680.05</v>
      </c>
      <c r="L193" s="15">
        <f>IFERROR(K193/K444, "NA")</f>
        <v>1.908098981499973E-2</v>
      </c>
      <c r="M193" s="2"/>
      <c r="N193" s="14">
        <f t="shared" si="49"/>
        <v>-657.2199999999998</v>
      </c>
      <c r="O193" s="15">
        <f>IFERROR(N193/N444, "NA")</f>
        <v>-5.002252924234761E-2</v>
      </c>
      <c r="P193" s="2"/>
      <c r="Q193" s="14">
        <f>IFERROR(Q186+Q187+Q188+Q189+Q190+Q191+Q192, "NA")</f>
        <v>28536.99</v>
      </c>
      <c r="R193" s="15">
        <f>IFERROR(Q193/Q444, "NA")</f>
        <v>2.2443115623972665E-2</v>
      </c>
      <c r="S193" s="2"/>
      <c r="T193" s="14">
        <f>IFERROR(T186+T187+T188+T189+T190+T191+T192, "NA")</f>
        <v>30520.799999999999</v>
      </c>
      <c r="U193" s="15">
        <f>IFERROR(T193/T444, "NA")</f>
        <v>2.6446375175635896E-2</v>
      </c>
      <c r="V193" s="2"/>
      <c r="W193" s="14">
        <f t="shared" si="50"/>
        <v>1983.8099999999977</v>
      </c>
      <c r="X193" s="15">
        <f>IFERROR(W193/W444, "NA")</f>
        <v>1.6888995893043893E-2</v>
      </c>
      <c r="Y193" s="2"/>
      <c r="Z193" s="14">
        <f>IFERROR(Z186+Z187+Z188+Z189+Z190+Z191+Z192, "NA")</f>
        <v>23536.560000000001</v>
      </c>
      <c r="AA193" s="15">
        <f>IFERROR(Z193/Z444, "NA")</f>
        <v>2.2636236732856273E-2</v>
      </c>
      <c r="AB193" s="2"/>
      <c r="AC193" s="14">
        <f t="shared" si="51"/>
        <v>-5000.43</v>
      </c>
      <c r="AD193" s="15">
        <f>IFERROR(AC193/AC444, "NA")</f>
        <v>-2.1576661824273285E-2</v>
      </c>
    </row>
    <row r="194" spans="1:30" ht="16.5" customHeight="1" x14ac:dyDescent="0.45">
      <c r="A194" s="6" t="s">
        <v>178</v>
      </c>
      <c r="B194" s="7">
        <v>262.88</v>
      </c>
      <c r="C194" s="8">
        <f>IFERROR(B194/B444, "NA")</f>
        <v>1.7115137123903032E-3</v>
      </c>
      <c r="D194" s="9"/>
      <c r="E194" s="7">
        <v>284.48</v>
      </c>
      <c r="F194" s="8">
        <f>IFERROR(E194/E444, "NA")</f>
        <v>1.8412683988492332E-3</v>
      </c>
      <c r="G194" s="9"/>
      <c r="H194" s="10">
        <f t="shared" si="48"/>
        <v>21.600000000000023</v>
      </c>
      <c r="I194" s="8">
        <f>IFERROR(H194/H444, "NA")</f>
        <v>-2.3810573658450483E-2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-262.88</v>
      </c>
      <c r="O194" s="8">
        <f>IFERROR(N194/N444, "NA")</f>
        <v>-2.0008402798497221E-2</v>
      </c>
      <c r="P194" s="9"/>
      <c r="Q194" s="7">
        <v>1913.3</v>
      </c>
      <c r="R194" s="8">
        <f>IFERROR(Q194/Q444, "NA")</f>
        <v>1.5047281834330425E-3</v>
      </c>
      <c r="S194" s="9"/>
      <c r="T194" s="7">
        <v>2186.81</v>
      </c>
      <c r="U194" s="8">
        <f>IFERROR(T194/T444, "NA")</f>
        <v>1.8948781715365369E-3</v>
      </c>
      <c r="V194" s="9"/>
      <c r="W194" s="10">
        <f t="shared" si="50"/>
        <v>273.51</v>
      </c>
      <c r="X194" s="8">
        <f>IFERROR(W194/W444, "NA")</f>
        <v>2.3285038721986683E-3</v>
      </c>
      <c r="Y194" s="9"/>
      <c r="Z194" s="7">
        <v>1706.55</v>
      </c>
      <c r="AA194" s="8">
        <f>IFERROR(Z194/Z444, "NA")</f>
        <v>1.6412708482656713E-3</v>
      </c>
      <c r="AB194" s="9"/>
      <c r="AC194" s="10">
        <f t="shared" si="51"/>
        <v>-206.75</v>
      </c>
      <c r="AD194" s="8">
        <f>IFERROR(AC194/AC444, "NA")</f>
        <v>-8.9211824426469355E-4</v>
      </c>
    </row>
    <row r="195" spans="1:30" ht="16.5" customHeight="1" x14ac:dyDescent="0.45">
      <c r="A195" s="6" t="s">
        <v>179</v>
      </c>
      <c r="B195" s="7">
        <v>-936.45</v>
      </c>
      <c r="C195" s="8">
        <f>IFERROR(B195/B444, "NA")</f>
        <v>-6.0968769627506832E-3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936.45</v>
      </c>
      <c r="I195" s="8">
        <f>IFERROR(H195/H444, "NA")</f>
        <v>-1.0322875788174042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936.45</v>
      </c>
      <c r="O195" s="8">
        <f>IFERROR(N195/N444, "NA")</f>
        <v>7.1275368231332639E-2</v>
      </c>
      <c r="P195" s="9"/>
      <c r="Q195" s="7">
        <v>1354.65</v>
      </c>
      <c r="R195" s="8">
        <f>IFERROR(Q195/Q444, "NA")</f>
        <v>1.0653739788258878E-3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-1354.65</v>
      </c>
      <c r="X195" s="8">
        <f>IFERROR(W195/W444, "NA")</f>
        <v>-1.1532696319966094E-2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-1354.65</v>
      </c>
      <c r="AD195" s="8">
        <f>IFERROR(AC195/AC444, "NA")</f>
        <v>-5.8452622954929491E-3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35706.769999999997</v>
      </c>
      <c r="C196" s="15">
        <f>IFERROR(B196/B444, "NA")</f>
        <v>0.23247347261171145</v>
      </c>
      <c r="D196" s="2"/>
      <c r="E196" s="14">
        <f>IFERROR(E175+E177+E178+E179+E180+E181+E183+E184+E186+E187+E188+E189+E190+E191+E192+E194+E195, "NA")</f>
        <v>39396.28</v>
      </c>
      <c r="F196" s="15">
        <f>IFERROR(E196/E444, "NA")</f>
        <v>0.25498848915992711</v>
      </c>
      <c r="G196" s="2"/>
      <c r="H196" s="14">
        <f t="shared" si="48"/>
        <v>3689.510000000002</v>
      </c>
      <c r="I196" s="15">
        <f>IFERROR(H196/H444, "NA")</f>
        <v>-4.0670995193791475</v>
      </c>
      <c r="J196" s="2"/>
      <c r="K196" s="14">
        <f>IFERROR(K175+K177+K178+K179+K180+K181+K183+K184+K186+K187+K188+K189+K190+K191+K192+K194+K195, "NA")</f>
        <v>32357.65</v>
      </c>
      <c r="L196" s="15">
        <f>IFERROR(K196/K444, "NA")</f>
        <v>0.23037480274148842</v>
      </c>
      <c r="M196" s="2"/>
      <c r="N196" s="14">
        <f t="shared" si="49"/>
        <v>-3349.1199999999953</v>
      </c>
      <c r="O196" s="15">
        <f>IFERROR(N196/N444, "NA")</f>
        <v>-0.25490924368724482</v>
      </c>
      <c r="P196" s="2"/>
      <c r="Q196" s="14">
        <f>IFERROR(Q175+Q177+Q178+Q179+Q180+Q181+Q183+Q184+Q186+Q187+Q188+Q189+Q190+Q191+Q192+Q194+Q195, "NA")</f>
        <v>316527.60000000003</v>
      </c>
      <c r="R196" s="15">
        <f>IFERROR(Q196/Q444, "NA")</f>
        <v>0.24893534759547417</v>
      </c>
      <c r="S196" s="2"/>
      <c r="T196" s="14">
        <f>IFERROR(T175+T177+T178+T179+T180+T181+T183+T184+T186+T187+T188+T189+T190+T191+T192+T194+T195, "NA")</f>
        <v>306058.76</v>
      </c>
      <c r="U196" s="15">
        <f>IFERROR(T196/T444, "NA")</f>
        <v>0.26520093813890544</v>
      </c>
      <c r="V196" s="2"/>
      <c r="W196" s="14">
        <f t="shared" si="50"/>
        <v>-10468.840000000026</v>
      </c>
      <c r="X196" s="15">
        <f>IFERROR(W196/W444, "NA")</f>
        <v>-8.9125569366488855E-2</v>
      </c>
      <c r="Y196" s="2"/>
      <c r="Z196" s="14">
        <f>IFERROR(Z175+Z177+Z178+Z179+Z180+Z181+Z183+Z184+Z186+Z187+Z188+Z189+Z190+Z191+Z192+Z194+Z195, "NA")</f>
        <v>256734.56</v>
      </c>
      <c r="AA196" s="15">
        <f>IFERROR(Z196/Z444, "NA")</f>
        <v>0.24691391935209275</v>
      </c>
      <c r="AB196" s="2"/>
      <c r="AC196" s="14">
        <f t="shared" si="51"/>
        <v>-59793.040000000037</v>
      </c>
      <c r="AD196" s="15">
        <f>IFERROR(AC196/AC444, "NA")</f>
        <v>-0.25800465230495101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35706.769999999997</v>
      </c>
      <c r="C197" s="15">
        <f>IFERROR(B197/B444, "NA")</f>
        <v>0.23247347261171145</v>
      </c>
      <c r="D197" s="2"/>
      <c r="E197" s="14">
        <f>IFERROR(E175+E177+E178+E179+E180+E181+E183+E184+E186+E187+E188+E189+E190+E191+E192+E194+E195, "NA")</f>
        <v>39396.28</v>
      </c>
      <c r="F197" s="15">
        <f>IFERROR(E197/E444, "NA")</f>
        <v>0.25498848915992711</v>
      </c>
      <c r="G197" s="2"/>
      <c r="H197" s="14">
        <f t="shared" si="48"/>
        <v>3689.510000000002</v>
      </c>
      <c r="I197" s="15">
        <f>IFERROR(H197/H444, "NA")</f>
        <v>-4.0670995193791475</v>
      </c>
      <c r="J197" s="2"/>
      <c r="K197" s="14">
        <f>IFERROR(K175+K177+K178+K179+K180+K181+K183+K184+K186+K187+K188+K189+K190+K191+K192+K194+K195, "NA")</f>
        <v>32357.65</v>
      </c>
      <c r="L197" s="15">
        <f>IFERROR(K197/K444, "NA")</f>
        <v>0.23037480274148842</v>
      </c>
      <c r="M197" s="2"/>
      <c r="N197" s="14">
        <f t="shared" si="49"/>
        <v>-3349.1199999999953</v>
      </c>
      <c r="O197" s="15">
        <f>IFERROR(N197/N444, "NA")</f>
        <v>-0.25490924368724482</v>
      </c>
      <c r="P197" s="2"/>
      <c r="Q197" s="14">
        <f>IFERROR(Q175+Q177+Q178+Q179+Q180+Q181+Q183+Q184+Q186+Q187+Q188+Q189+Q190+Q191+Q192+Q194+Q195, "NA")</f>
        <v>316527.60000000003</v>
      </c>
      <c r="R197" s="15">
        <f>IFERROR(Q197/Q444, "NA")</f>
        <v>0.24893534759547417</v>
      </c>
      <c r="S197" s="2"/>
      <c r="T197" s="14">
        <f>IFERROR(T175+T177+T178+T179+T180+T181+T183+T184+T186+T187+T188+T189+T190+T191+T192+T194+T195, "NA")</f>
        <v>306058.76</v>
      </c>
      <c r="U197" s="15">
        <f>IFERROR(T197/T444, "NA")</f>
        <v>0.26520093813890544</v>
      </c>
      <c r="V197" s="2"/>
      <c r="W197" s="14">
        <f t="shared" si="50"/>
        <v>-10468.840000000026</v>
      </c>
      <c r="X197" s="15">
        <f>IFERROR(W197/W444, "NA")</f>
        <v>-8.9125569366488855E-2</v>
      </c>
      <c r="Y197" s="2"/>
      <c r="Z197" s="14">
        <f>IFERROR(Z175+Z177+Z178+Z179+Z180+Z181+Z183+Z184+Z186+Z187+Z188+Z189+Z190+Z191+Z192+Z194+Z195, "NA")</f>
        <v>256734.56</v>
      </c>
      <c r="AA197" s="15">
        <f>IFERROR(Z197/Z444, "NA")</f>
        <v>0.24691391935209275</v>
      </c>
      <c r="AB197" s="2"/>
      <c r="AC197" s="14">
        <f t="shared" si="51"/>
        <v>-59793.040000000037</v>
      </c>
      <c r="AD197" s="15">
        <f>IFERROR(AC197/AC444, "NA")</f>
        <v>-0.25800465230495101</v>
      </c>
    </row>
    <row r="198" spans="1:30" ht="16.5" customHeight="1" x14ac:dyDescent="0.45">
      <c r="A198" s="22" t="s">
        <v>181</v>
      </c>
      <c r="B198" s="23">
        <f>IFERROR(B172-B197, "NA")</f>
        <v>73717.860000000073</v>
      </c>
      <c r="C198" s="24">
        <f>IFERROR(B198/B444, "NA")</f>
        <v>0.47994951399143626</v>
      </c>
      <c r="D198" s="25"/>
      <c r="E198" s="23">
        <f>IFERROR(E172-E197, "NA")</f>
        <v>79261.399999999994</v>
      </c>
      <c r="F198" s="24">
        <f>IFERROR(E198/E444, "NA")</f>
        <v>0.51301149841306448</v>
      </c>
      <c r="G198" s="25"/>
      <c r="H198" s="23">
        <f>IFERROR(B198-E198, "NA")</f>
        <v>-5543.5399999999208</v>
      </c>
      <c r="I198" s="24">
        <f>IFERROR(H198/H444, "NA")</f>
        <v>6.110873495303915</v>
      </c>
      <c r="J198" s="25"/>
      <c r="K198" s="23">
        <f>IFERROR(K172-K197, "NA")</f>
        <v>71513.729999999981</v>
      </c>
      <c r="L198" s="24">
        <f>IFERROR(K198/K444, "NA")</f>
        <v>0.50915197618053398</v>
      </c>
      <c r="M198" s="25"/>
      <c r="N198" s="23">
        <f>IFERROR(B198-K198, "NA")</f>
        <v>2204.130000000092</v>
      </c>
      <c r="O198" s="24">
        <f>IFERROR(N198/N444, "NA")</f>
        <v>0.16776141532354505</v>
      </c>
      <c r="P198" s="25"/>
      <c r="Q198" s="23">
        <f>IFERROR(Q172-Q197, "NA")</f>
        <v>608874.45999999926</v>
      </c>
      <c r="R198" s="24">
        <f>IFERROR(Q198/Q444, "NA")</f>
        <v>0.47885358288536745</v>
      </c>
      <c r="S198" s="25"/>
      <c r="T198" s="23">
        <f>IFERROR(T172-T197, "NA")</f>
        <v>570518.51000000013</v>
      </c>
      <c r="U198" s="24">
        <f>IFERROR(T198/T444, "NA")</f>
        <v>0.49435619512282719</v>
      </c>
      <c r="V198" s="25"/>
      <c r="W198" s="23">
        <f>IFERROR(Q198-T198, "NA")</f>
        <v>38355.949999999139</v>
      </c>
      <c r="X198" s="24">
        <f>IFERROR(W198/W444, "NA")</f>
        <v>0.32654008298364412</v>
      </c>
      <c r="Y198" s="25"/>
      <c r="Z198" s="23">
        <f>IFERROR(Z172-Z197, "NA")</f>
        <v>494057.0400000001</v>
      </c>
      <c r="AA198" s="24">
        <f>IFERROR(Z198/Z444, "NA")</f>
        <v>0.47515831187625729</v>
      </c>
      <c r="AB198" s="25"/>
      <c r="AC198" s="23">
        <f>IFERROR(Q198-Z198, "NA")</f>
        <v>114817.41999999917</v>
      </c>
      <c r="AD198" s="24">
        <f>IFERROR(AC198/AC444, "NA")</f>
        <v>0.49543272136106975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2626.54</v>
      </c>
      <c r="F201" s="8">
        <f>IFERROR(E201/E444, "NA")</f>
        <v>1.7000017928548456E-2</v>
      </c>
      <c r="G201" s="9"/>
      <c r="H201" s="10">
        <f t="shared" ref="H201:H209" si="52">IFERROR(-(B201-E201), "NA")</f>
        <v>2626.54</v>
      </c>
      <c r="I201" s="8">
        <f>IFERROR(H201/H444, "NA")</f>
        <v>-2.8953437100401143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19867.39</v>
      </c>
      <c r="U201" s="8">
        <f>IFERROR(T201/T444, "NA")</f>
        <v>1.721515981562334E-2</v>
      </c>
      <c r="V201" s="9"/>
      <c r="W201" s="10">
        <f t="shared" ref="W201:W209" si="54">IFERROR(-(Q201-T201), "NA")</f>
        <v>19867.39</v>
      </c>
      <c r="X201" s="8">
        <f>IFERROR(W201/W444, "NA")</f>
        <v>0.16913931682746919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1590.67</v>
      </c>
      <c r="C202" s="8">
        <f>IFERROR(B202/B444, "NA")</f>
        <v>1.0356259574284403E-2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-1590.67</v>
      </c>
      <c r="I202" s="8">
        <f>IFERROR(H202/H444, "NA")</f>
        <v>1.7534613519114532</v>
      </c>
      <c r="J202" s="9"/>
      <c r="K202" s="7">
        <v>1285.08</v>
      </c>
      <c r="L202" s="8">
        <f>IFERROR(K202/K444, "NA")</f>
        <v>9.1493063157253966E-3</v>
      </c>
      <c r="M202" s="9"/>
      <c r="N202" s="10">
        <f t="shared" si="53"/>
        <v>-305.59000000000015</v>
      </c>
      <c r="O202" s="8">
        <f>IFERROR(N202/N444, "NA")</f>
        <v>-2.3259159354811203E-2</v>
      </c>
      <c r="P202" s="9"/>
      <c r="Q202" s="7">
        <v>10763.96</v>
      </c>
      <c r="R202" s="8">
        <f>IFERROR(Q202/Q444, "NA")</f>
        <v>8.4653917197229558E-3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-10763.96</v>
      </c>
      <c r="X202" s="8">
        <f>IFERROR(W202/W444, "NA")</f>
        <v>-9.1638048115943019E-2</v>
      </c>
      <c r="Y202" s="9"/>
      <c r="Z202" s="7">
        <v>8306.2000000000007</v>
      </c>
      <c r="AA202" s="8">
        <f>IFERROR(Z202/Z444, "NA")</f>
        <v>7.9884702586295857E-3</v>
      </c>
      <c r="AB202" s="9"/>
      <c r="AC202" s="10">
        <f t="shared" si="55"/>
        <v>-2457.7599999999984</v>
      </c>
      <c r="AD202" s="8">
        <f>IFERROR(AC202/AC444, "NA")</f>
        <v>-1.0605139231071302E-2</v>
      </c>
    </row>
    <row r="203" spans="1:30" ht="16.5" customHeight="1" x14ac:dyDescent="0.45">
      <c r="A203" s="6" t="s">
        <v>185</v>
      </c>
      <c r="B203" s="7">
        <v>1193.27</v>
      </c>
      <c r="C203" s="8">
        <f>IFERROR(B203/B444, "NA")</f>
        <v>7.7689362735239541E-3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-1193.27</v>
      </c>
      <c r="I203" s="8">
        <f>IFERROR(H203/H444, "NA")</f>
        <v>1.3153908902508877</v>
      </c>
      <c r="J203" s="9"/>
      <c r="K203" s="7">
        <v>767.23</v>
      </c>
      <c r="L203" s="8">
        <f>IFERROR(K203/K444, "NA")</f>
        <v>5.4624010058626675E-3</v>
      </c>
      <c r="M203" s="9"/>
      <c r="N203" s="10">
        <f t="shared" si="53"/>
        <v>-426.03999999999996</v>
      </c>
      <c r="O203" s="8">
        <f>IFERROR(N203/N444, "NA")</f>
        <v>-3.2426886519597367E-2</v>
      </c>
      <c r="P203" s="9"/>
      <c r="Q203" s="7">
        <v>10452.299999999999</v>
      </c>
      <c r="R203" s="8">
        <f>IFERROR(Q203/Q444, "NA")</f>
        <v>8.2202845302342484E-3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-10452.299999999999</v>
      </c>
      <c r="X203" s="8">
        <f>IFERROR(W203/W444, "NA")</f>
        <v>-8.898475749838082E-2</v>
      </c>
      <c r="Y203" s="9"/>
      <c r="Z203" s="7">
        <v>6298.47</v>
      </c>
      <c r="AA203" s="8">
        <f>IFERROR(Z203/Z444, "NA")</f>
        <v>6.0575401832210505E-3</v>
      </c>
      <c r="AB203" s="9"/>
      <c r="AC203" s="10">
        <f t="shared" si="55"/>
        <v>-4153.829999999999</v>
      </c>
      <c r="AD203" s="8">
        <f>IFERROR(AC203/AC444, "NA")</f>
        <v>-1.7923615606162086E-2</v>
      </c>
    </row>
    <row r="204" spans="1:30" ht="16.5" customHeight="1" x14ac:dyDescent="0.45">
      <c r="A204" s="6" t="s">
        <v>186</v>
      </c>
      <c r="B204" s="7">
        <v>367.01</v>
      </c>
      <c r="C204" s="8">
        <f>IFERROR(B204/B444, "NA")</f>
        <v>2.3894653362156316E-3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-367.01</v>
      </c>
      <c r="I204" s="8">
        <f>IFERROR(H204/H444, "NA")</f>
        <v>0.40457030733277327</v>
      </c>
      <c r="J204" s="9"/>
      <c r="K204" s="7">
        <v>16.8</v>
      </c>
      <c r="L204" s="8">
        <f>IFERROR(K204/K444, "NA")</f>
        <v>1.1960994343090444E-4</v>
      </c>
      <c r="M204" s="9"/>
      <c r="N204" s="10">
        <f t="shared" si="53"/>
        <v>-350.21</v>
      </c>
      <c r="O204" s="8">
        <f>IFERROR(N204/N444, "NA")</f>
        <v>-2.6655290414111809E-2</v>
      </c>
      <c r="P204" s="9"/>
      <c r="Q204" s="7">
        <v>1597.56</v>
      </c>
      <c r="R204" s="8">
        <f>IFERROR(Q204/Q444, "NA")</f>
        <v>1.2564122493729636E-3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-1597.56</v>
      </c>
      <c r="X204" s="8">
        <f>IFERROR(W204/W444, "NA")</f>
        <v>-1.3600689722751287E-2</v>
      </c>
      <c r="Y204" s="9"/>
      <c r="Z204" s="7">
        <v>1747.63</v>
      </c>
      <c r="AA204" s="8">
        <f>IFERROR(Z204/Z444, "NA")</f>
        <v>1.6807794512639744E-3</v>
      </c>
      <c r="AB204" s="9"/>
      <c r="AC204" s="10">
        <f t="shared" si="55"/>
        <v>150.07000000000016</v>
      </c>
      <c r="AD204" s="8">
        <f>IFERROR(AC204/AC444, "NA")</f>
        <v>6.4754623901718358E-4</v>
      </c>
    </row>
    <row r="205" spans="1:30" ht="16.5" customHeight="1" x14ac:dyDescent="0.45">
      <c r="A205" s="6" t="s">
        <v>187</v>
      </c>
      <c r="B205" s="7">
        <v>738.62</v>
      </c>
      <c r="C205" s="8">
        <f>IFERROR(B205/B444, "NA")</f>
        <v>4.8088795581471616E-3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-738.62</v>
      </c>
      <c r="I205" s="8">
        <f>IFERROR(H205/H444, "NA")</f>
        <v>0.81421138498169798</v>
      </c>
      <c r="J205" s="9"/>
      <c r="K205" s="7">
        <v>1105.78</v>
      </c>
      <c r="L205" s="8">
        <f>IFERROR(K205/K444, "NA")</f>
        <v>7.8727549551800904E-3</v>
      </c>
      <c r="M205" s="9"/>
      <c r="N205" s="10">
        <f t="shared" si="53"/>
        <v>367.15999999999997</v>
      </c>
      <c r="O205" s="8">
        <f>IFERROR(N205/N444, "NA")</f>
        <v>2.7945393987736759E-2</v>
      </c>
      <c r="P205" s="9"/>
      <c r="Q205" s="7">
        <v>5370.44</v>
      </c>
      <c r="R205" s="8">
        <f>IFERROR(Q205/Q444, "NA")</f>
        <v>4.2236201460493115E-3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-5370.44</v>
      </c>
      <c r="X205" s="8">
        <f>IFERROR(W205/W444, "NA")</f>
        <v>-4.5720779260029307E-2</v>
      </c>
      <c r="Y205" s="9"/>
      <c r="Z205" s="7">
        <v>3758.91</v>
      </c>
      <c r="AA205" s="8">
        <f>IFERROR(Z205/Z444, "NA")</f>
        <v>3.6151237316541058E-3</v>
      </c>
      <c r="AB205" s="9"/>
      <c r="AC205" s="10">
        <f t="shared" si="55"/>
        <v>-1611.5299999999997</v>
      </c>
      <c r="AD205" s="8">
        <f>IFERROR(AC205/AC444, "NA")</f>
        <v>-6.9536895486330417E-3</v>
      </c>
    </row>
    <row r="206" spans="1:30" ht="16.5" customHeight="1" x14ac:dyDescent="0.45">
      <c r="A206" s="6" t="s">
        <v>188</v>
      </c>
      <c r="B206" s="7">
        <v>165.3</v>
      </c>
      <c r="C206" s="8">
        <f>IFERROR(B206/B444, "NA")</f>
        <v>1.0762066975734828E-3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-165.3</v>
      </c>
      <c r="I206" s="8">
        <f>IFERROR(H206/H444, "NA")</f>
        <v>0.1822170289695306</v>
      </c>
      <c r="J206" s="9"/>
      <c r="K206" s="7">
        <v>39.82</v>
      </c>
      <c r="L206" s="8">
        <f>IFERROR(K206/K444, "NA")</f>
        <v>2.8350404448920324E-4</v>
      </c>
      <c r="M206" s="9"/>
      <c r="N206" s="10">
        <f t="shared" si="53"/>
        <v>-125.48000000000002</v>
      </c>
      <c r="O206" s="8">
        <f>IFERROR(N206/N444, "NA")</f>
        <v>-9.5505720600860926E-3</v>
      </c>
      <c r="P206" s="9"/>
      <c r="Q206" s="7">
        <v>1257.04</v>
      </c>
      <c r="R206" s="8">
        <f>IFERROR(Q206/Q444, "NA")</f>
        <v>9.8860791078381411E-4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-1257.04</v>
      </c>
      <c r="X206" s="8">
        <f>IFERROR(W206/W444, "NA")</f>
        <v>-1.0701701976193244E-2</v>
      </c>
      <c r="Y206" s="9"/>
      <c r="Z206" s="7">
        <v>473.75</v>
      </c>
      <c r="AA206" s="8">
        <f>IFERROR(Z206/Z444, "NA")</f>
        <v>4.5562805916372906E-4</v>
      </c>
      <c r="AB206" s="9"/>
      <c r="AC206" s="10">
        <f t="shared" si="55"/>
        <v>-783.29</v>
      </c>
      <c r="AD206" s="8">
        <f>IFERROR(AC206/AC444, "NA")</f>
        <v>-3.3798660195893193E-3</v>
      </c>
    </row>
    <row r="207" spans="1:30" ht="16.5" customHeight="1" x14ac:dyDescent="0.45">
      <c r="A207" s="6" t="s">
        <v>189</v>
      </c>
      <c r="B207" s="7">
        <v>174.68</v>
      </c>
      <c r="C207" s="8">
        <f>IFERROR(B207/B444, "NA")</f>
        <v>1.1372763819245974E-3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-174.68</v>
      </c>
      <c r="I207" s="8">
        <f>IFERROR(H207/H444, "NA")</f>
        <v>0.19255699104898732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-174.68</v>
      </c>
      <c r="O207" s="8">
        <f>IFERROR(N207/N444, "NA")</f>
        <v>-1.3295297477333745E-2</v>
      </c>
      <c r="P207" s="9"/>
      <c r="Q207" s="7">
        <v>762.98</v>
      </c>
      <c r="R207" s="8">
        <f>IFERROR(Q207/Q444, "NA")</f>
        <v>6.0005096398669459E-4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-6.4955646389899457E-3</v>
      </c>
      <c r="Y207" s="9"/>
      <c r="Z207" s="7">
        <v>308.3</v>
      </c>
      <c r="AA207" s="8">
        <f>IFERROR(Z207/Z444, "NA")</f>
        <v>2.9650687206369956E-4</v>
      </c>
      <c r="AB207" s="9"/>
      <c r="AC207" s="10">
        <f t="shared" si="55"/>
        <v>-454.68</v>
      </c>
      <c r="AD207" s="8">
        <f>IFERROR(AC207/AC444, "NA")</f>
        <v>-1.9619265939650344E-3</v>
      </c>
    </row>
    <row r="208" spans="1:30" ht="16.5" customHeight="1" x14ac:dyDescent="0.45">
      <c r="A208" s="6" t="s">
        <v>190</v>
      </c>
      <c r="B208" s="7">
        <v>228.75</v>
      </c>
      <c r="C208" s="8">
        <f>IFERROR(B208/B444, "NA")</f>
        <v>1.4893060016329955E-3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-228.75</v>
      </c>
      <c r="I208" s="8">
        <f>IFERROR(H208/H444, "NA")</f>
        <v>0.25216058909122879</v>
      </c>
      <c r="J208" s="9"/>
      <c r="K208" s="7">
        <v>634.05999999999995</v>
      </c>
      <c r="L208" s="8">
        <f>IFERROR(K208/K444, "NA")</f>
        <v>4.5142786149880518E-3</v>
      </c>
      <c r="M208" s="9"/>
      <c r="N208" s="10">
        <f t="shared" si="53"/>
        <v>405.30999999999995</v>
      </c>
      <c r="O208" s="8">
        <f>IFERROR(N208/N444, "NA")</f>
        <v>3.0849078432208264E-2</v>
      </c>
      <c r="P208" s="9"/>
      <c r="Q208" s="7">
        <v>1341.56</v>
      </c>
      <c r="R208" s="8">
        <f>IFERROR(Q208/Q444, "NA")</f>
        <v>1.0550792566594012E-3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-1341.56</v>
      </c>
      <c r="X208" s="8">
        <f>IFERROR(W208/W444, "NA")</f>
        <v>-1.1421255730272551E-2</v>
      </c>
      <c r="Y208" s="9"/>
      <c r="Z208" s="7">
        <v>1559.28</v>
      </c>
      <c r="AA208" s="8">
        <f>IFERROR(Z208/Z444, "NA")</f>
        <v>1.4996342376629433E-3</v>
      </c>
      <c r="AB208" s="9"/>
      <c r="AC208" s="10">
        <f t="shared" si="55"/>
        <v>217.72000000000003</v>
      </c>
      <c r="AD208" s="8">
        <f>IFERROR(AC208/AC444, "NA")</f>
        <v>9.3945336948638022E-4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4458.3</v>
      </c>
      <c r="C209" s="15">
        <f>IFERROR(B209/B444, "NA")</f>
        <v>2.9026329823302225E-2</v>
      </c>
      <c r="D209" s="2"/>
      <c r="E209" s="14">
        <f>IFERROR(E201+E202+E203+E204+E205+E206+E207+E208, "NA")</f>
        <v>2626.54</v>
      </c>
      <c r="F209" s="15">
        <f>IFERROR(E209/E444, "NA")</f>
        <v>1.7000017928548456E-2</v>
      </c>
      <c r="G209" s="2"/>
      <c r="H209" s="14">
        <f t="shared" si="52"/>
        <v>-1831.7600000000002</v>
      </c>
      <c r="I209" s="15">
        <f>IFERROR(H209/H444, "NA")</f>
        <v>2.0192248335464451</v>
      </c>
      <c r="J209" s="2"/>
      <c r="K209" s="14">
        <f>IFERROR(K201+K202+K203+K204+K205+K206+K207+K208, "NA")</f>
        <v>3848.7700000000004</v>
      </c>
      <c r="L209" s="15">
        <f>IFERROR(K209/K444, "NA")</f>
        <v>2.7401854879676318E-2</v>
      </c>
      <c r="M209" s="2"/>
      <c r="N209" s="14">
        <f t="shared" si="53"/>
        <v>-609.52999999999975</v>
      </c>
      <c r="O209" s="15">
        <f>IFERROR(N209/N444, "NA")</f>
        <v>-4.639273340599516E-2</v>
      </c>
      <c r="P209" s="2"/>
      <c r="Q209" s="14">
        <f>IFERROR(Q201+Q202+Q203+Q204+Q205+Q206+Q207+Q208, "NA")</f>
        <v>31545.84</v>
      </c>
      <c r="R209" s="15">
        <f>IFERROR(Q209/Q444, "NA")</f>
        <v>2.4809446776809393E-2</v>
      </c>
      <c r="S209" s="2"/>
      <c r="T209" s="14">
        <f>IFERROR(T201+T202+T203+T204+T205+T206+T207+T208, "NA")</f>
        <v>19867.39</v>
      </c>
      <c r="U209" s="15">
        <f>IFERROR(T209/T444, "NA")</f>
        <v>1.721515981562334E-2</v>
      </c>
      <c r="V209" s="2"/>
      <c r="W209" s="14">
        <f t="shared" si="54"/>
        <v>-11678.45</v>
      </c>
      <c r="X209" s="15">
        <f>IFERROR(W209/W444, "NA")</f>
        <v>-9.9423480115091001E-2</v>
      </c>
      <c r="Y209" s="2"/>
      <c r="Z209" s="14">
        <f>IFERROR(Z201+Z202+Z203+Z204+Z205+Z206+Z207+Z208, "NA")</f>
        <v>22452.54</v>
      </c>
      <c r="AA209" s="15">
        <f>IFERROR(Z209/Z444, "NA")</f>
        <v>2.1593682793659089E-2</v>
      </c>
      <c r="AB209" s="2"/>
      <c r="AC209" s="14">
        <f t="shared" si="55"/>
        <v>-9093.2999999999993</v>
      </c>
      <c r="AD209" s="15">
        <f>IFERROR(AC209/AC444, "NA")</f>
        <v>-3.923723739091723E-2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7202.51</v>
      </c>
      <c r="F213" s="8">
        <f>IFERROR(E213/E444, "NA")</f>
        <v>4.6617526910136355E-2</v>
      </c>
      <c r="G213" s="9"/>
      <c r="H213" s="10">
        <f t="shared" ref="H213:H227" si="56">IFERROR(-(B213-E213), "NA")</f>
        <v>7202.51</v>
      </c>
      <c r="I213" s="8">
        <f>IFERROR(H213/H444, "NA")</f>
        <v>-7.9396247629965746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53318.82</v>
      </c>
      <c r="U213" s="8">
        <f>IFERROR(T213/T444, "NA")</f>
        <v>4.6200935678035925E-2</v>
      </c>
      <c r="V213" s="9"/>
      <c r="W213" s="10">
        <f t="shared" ref="W213:W227" si="58">IFERROR(-(Q213-T213), "NA")</f>
        <v>53318.82</v>
      </c>
      <c r="X213" s="8">
        <f>IFERROR(W213/W444, "NA")</f>
        <v>0.45392519041740265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2779.52</v>
      </c>
      <c r="C214" s="8">
        <f>IFERROR(B214/B444, "NA")</f>
        <v>1.8096418875011778E-2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-2779.52</v>
      </c>
      <c r="I214" s="8">
        <f>IFERROR(H214/H444, "NA")</f>
        <v>3.0639798932933431</v>
      </c>
      <c r="J214" s="9"/>
      <c r="K214" s="7">
        <v>855</v>
      </c>
      <c r="L214" s="8">
        <f>IFERROR(K214/K444, "NA")</f>
        <v>6.0872917638942437E-3</v>
      </c>
      <c r="M214" s="9"/>
      <c r="N214" s="10">
        <f t="shared" si="57"/>
        <v>-1924.52</v>
      </c>
      <c r="O214" s="8">
        <f>IFERROR(N214/N444, "NA")</f>
        <v>-0.14647965365856616</v>
      </c>
      <c r="P214" s="9"/>
      <c r="Q214" s="7">
        <v>31902.87</v>
      </c>
      <c r="R214" s="8">
        <f>IFERROR(Q214/Q444, "NA")</f>
        <v>2.5090235520514561E-2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-31902.87</v>
      </c>
      <c r="X214" s="8">
        <f>IFERROR(W214/W444, "NA")</f>
        <v>-0.27160234115480503</v>
      </c>
      <c r="Y214" s="9"/>
      <c r="Z214" s="7">
        <v>5500.99</v>
      </c>
      <c r="AA214" s="8">
        <f>IFERROR(Z214/Z444, "NA")</f>
        <v>5.2905654821722038E-3</v>
      </c>
      <c r="AB214" s="9"/>
      <c r="AC214" s="10">
        <f t="shared" si="59"/>
        <v>-26401.879999999997</v>
      </c>
      <c r="AD214" s="8">
        <f>IFERROR(AC214/AC444, "NA")</f>
        <v>-0.11392308987127993</v>
      </c>
    </row>
    <row r="215" spans="1:30" ht="16.5" customHeight="1" x14ac:dyDescent="0.45">
      <c r="A215" s="12" t="s">
        <v>195</v>
      </c>
      <c r="B215" s="7">
        <v>170.66</v>
      </c>
      <c r="C215" s="8">
        <f>IFERROR(B215/B444, "NA")</f>
        <v>1.1111036600598341E-3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-170.66</v>
      </c>
      <c r="I215" s="8">
        <f>IFERROR(H215/H444, "NA")</f>
        <v>0.18812557872922014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-170.66</v>
      </c>
      <c r="O215" s="8">
        <f>IFERROR(N215/N444, "NA")</f>
        <v>-1.2989326010314729E-2</v>
      </c>
      <c r="P215" s="9"/>
      <c r="Q215" s="7">
        <v>170.66</v>
      </c>
      <c r="R215" s="8">
        <f>IFERROR(Q215/Q444, "NA")</f>
        <v>1.3421675209568967E-4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-170.66</v>
      </c>
      <c r="X215" s="8">
        <f>IFERROR(W215/W444, "NA")</f>
        <v>-1.4528992388922698E-3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-170.66</v>
      </c>
      <c r="AD215" s="8">
        <f>IFERROR(AC215/AC444, "NA")</f>
        <v>-7.3639129173500657E-4</v>
      </c>
    </row>
    <row r="216" spans="1:30" ht="16.5" customHeight="1" x14ac:dyDescent="0.45">
      <c r="A216" s="12" t="s">
        <v>196</v>
      </c>
      <c r="B216" s="7">
        <v>111</v>
      </c>
      <c r="C216" s="8">
        <f>IFERROR(B216/B444, "NA")</f>
        <v>7.2267963357928967E-4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-111</v>
      </c>
      <c r="I216" s="8">
        <f>IFERROR(H216/H444, "NA")</f>
        <v>0.12235989241148151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-111</v>
      </c>
      <c r="O216" s="8">
        <f>IFERROR(N216/N444, "NA")</f>
        <v>-8.4484658803758057E-3</v>
      </c>
      <c r="P216" s="9"/>
      <c r="Q216" s="7">
        <v>611.89</v>
      </c>
      <c r="R216" s="8">
        <f>IFERROR(Q216/Q444, "NA")</f>
        <v>4.812251754355534E-4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-611.89</v>
      </c>
      <c r="X216" s="8">
        <f>IFERROR(W216/W444, "NA")</f>
        <v>-5.2092729127258351E-3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-611.89</v>
      </c>
      <c r="AD216" s="8">
        <f>IFERROR(AC216/AC444, "NA")</f>
        <v>-2.6402816565084561E-3</v>
      </c>
    </row>
    <row r="217" spans="1:30" ht="16.5" customHeight="1" x14ac:dyDescent="0.45">
      <c r="A217" s="12" t="s">
        <v>197</v>
      </c>
      <c r="B217" s="7">
        <v>2500.4</v>
      </c>
      <c r="C217" s="8">
        <f>IFERROR(B217/B444, "NA")</f>
        <v>1.6279172574789693E-2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-2500.4</v>
      </c>
      <c r="I217" s="8">
        <f>IFERROR(H217/H444, "NA")</f>
        <v>2.7562943692402557</v>
      </c>
      <c r="J217" s="9"/>
      <c r="K217" s="7">
        <v>323</v>
      </c>
      <c r="L217" s="8">
        <f>IFERROR(K217/K444, "NA")</f>
        <v>2.2996435552489368E-3</v>
      </c>
      <c r="M217" s="9"/>
      <c r="N217" s="10">
        <f t="shared" si="57"/>
        <v>-2177.4</v>
      </c>
      <c r="O217" s="8">
        <f>IFERROR(N217/N444, "NA")</f>
        <v>-0.16572693340477729</v>
      </c>
      <c r="P217" s="9"/>
      <c r="Q217" s="7">
        <v>28840.14</v>
      </c>
      <c r="R217" s="8">
        <f>IFERROR(Q217/Q444, "NA")</f>
        <v>2.2681530064367652E-2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-28840.14</v>
      </c>
      <c r="X217" s="8">
        <f>IFERROR(W217/W444, "NA")</f>
        <v>-0.24552805259314722</v>
      </c>
      <c r="Y217" s="9"/>
      <c r="Z217" s="7">
        <v>2384.06</v>
      </c>
      <c r="AA217" s="8">
        <f>IFERROR(Z217/Z444, "NA")</f>
        <v>2.2928646558942056E-3</v>
      </c>
      <c r="AB217" s="9"/>
      <c r="AC217" s="10">
        <f t="shared" si="59"/>
        <v>-26456.079999999998</v>
      </c>
      <c r="AD217" s="8">
        <f>IFERROR(AC217/AC444, "NA")</f>
        <v>-0.11415696077255755</v>
      </c>
    </row>
    <row r="218" spans="1:30" ht="16.5" customHeight="1" x14ac:dyDescent="0.45">
      <c r="A218" s="13" t="s">
        <v>198</v>
      </c>
      <c r="B218" s="14">
        <f>IFERROR(B213+B214+B215+B216+B217, "NA")</f>
        <v>5561.58</v>
      </c>
      <c r="C218" s="15">
        <f>IFERROR(B218/B444, "NA")</f>
        <v>3.6209374743440589E-2</v>
      </c>
      <c r="D218" s="2"/>
      <c r="E218" s="14">
        <f>IFERROR(E213+E214+E215+E216+E217, "NA")</f>
        <v>7202.51</v>
      </c>
      <c r="F218" s="15">
        <f>IFERROR(E218/E444, "NA")</f>
        <v>4.6617526910136355E-2</v>
      </c>
      <c r="G218" s="2"/>
      <c r="H218" s="14">
        <f t="shared" si="56"/>
        <v>1640.9300000000003</v>
      </c>
      <c r="I218" s="15">
        <f>IFERROR(H218/H444, "NA")</f>
        <v>-1.8088650293222739</v>
      </c>
      <c r="J218" s="2"/>
      <c r="K218" s="14">
        <f>IFERROR(K213+K214+K215+K216+K217, "NA")</f>
        <v>1178</v>
      </c>
      <c r="L218" s="15">
        <f>IFERROR(K218/K444, "NA")</f>
        <v>8.3869353191431805E-3</v>
      </c>
      <c r="M218" s="2"/>
      <c r="N218" s="14">
        <f t="shared" si="57"/>
        <v>-4383.58</v>
      </c>
      <c r="O218" s="15">
        <f>IFERROR(N218/N444, "NA")</f>
        <v>-0.33364437895403398</v>
      </c>
      <c r="P218" s="2"/>
      <c r="Q218" s="14">
        <f>IFERROR(Q213+Q214+Q215+Q216+Q217, "NA")</f>
        <v>61525.56</v>
      </c>
      <c r="R218" s="15">
        <f>IFERROR(Q218/Q444, "NA")</f>
        <v>4.8387207512413453E-2</v>
      </c>
      <c r="S218" s="2"/>
      <c r="T218" s="14">
        <f>IFERROR(T213+T214+T215+T216+T217, "NA")</f>
        <v>53318.82</v>
      </c>
      <c r="U218" s="15">
        <f>IFERROR(T218/T444, "NA")</f>
        <v>4.6200935678035925E-2</v>
      </c>
      <c r="V218" s="2"/>
      <c r="W218" s="14">
        <f t="shared" si="58"/>
        <v>-8206.739999999998</v>
      </c>
      <c r="X218" s="15">
        <f>IFERROR(W218/W444, "NA")</f>
        <v>-6.9867375482167718E-2</v>
      </c>
      <c r="Y218" s="2"/>
      <c r="Z218" s="14">
        <f>IFERROR(Z213+Z214+Z215+Z216+Z217, "NA")</f>
        <v>7885.0499999999993</v>
      </c>
      <c r="AA218" s="15">
        <f>IFERROR(Z218/Z444, "NA")</f>
        <v>7.5834301380664094E-3</v>
      </c>
      <c r="AB218" s="2"/>
      <c r="AC218" s="14">
        <f t="shared" si="59"/>
        <v>-53640.509999999995</v>
      </c>
      <c r="AD218" s="15">
        <f>IFERROR(AC218/AC444, "NA")</f>
        <v>-0.23145672359208094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220.54</v>
      </c>
      <c r="C222" s="8">
        <f>IFERROR(B222/B444, "NA")</f>
        <v>1.4358537512574462E-3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-220.54</v>
      </c>
      <c r="I222" s="8">
        <f>IFERROR(H222/H444, "NA")</f>
        <v>0.24311036641827147</v>
      </c>
      <c r="J222" s="9"/>
      <c r="K222" s="7">
        <v>87.5</v>
      </c>
      <c r="L222" s="8">
        <f>IFERROR(K222/K444, "NA")</f>
        <v>6.2296845536929392E-4</v>
      </c>
      <c r="M222" s="9"/>
      <c r="N222" s="10">
        <f t="shared" si="57"/>
        <v>-133.04</v>
      </c>
      <c r="O222" s="8">
        <f>IFERROR(N222/N444, "NA")</f>
        <v>-1.0125981087614389E-2</v>
      </c>
      <c r="P222" s="9"/>
      <c r="Q222" s="7">
        <v>2179.65</v>
      </c>
      <c r="R222" s="8">
        <f>IFERROR(Q222/Q444, "NA")</f>
        <v>1.7142010061254541E-3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-2179.65</v>
      </c>
      <c r="X222" s="8">
        <f>IFERROR(W222/W444, "NA")</f>
        <v>-1.8556262897290145E-2</v>
      </c>
      <c r="Y222" s="9"/>
      <c r="Z222" s="7">
        <v>812.5</v>
      </c>
      <c r="AA222" s="8">
        <f>IFERROR(Z222/Z444, "NA")</f>
        <v>7.8142015423858545E-4</v>
      </c>
      <c r="AB222" s="9"/>
      <c r="AC222" s="10">
        <f t="shared" si="59"/>
        <v>-1367.15</v>
      </c>
      <c r="AD222" s="8">
        <f>IFERROR(AC222/AC444, "NA")</f>
        <v>-5.8991993114702584E-3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154.5</v>
      </c>
      <c r="F226" s="8">
        <f>IFERROR(E226/E444, "NA")</f>
        <v>9.9998582544363933E-4</v>
      </c>
      <c r="G226" s="9"/>
      <c r="H226" s="10">
        <f t="shared" si="56"/>
        <v>154.5</v>
      </c>
      <c r="I226" s="8">
        <f>IFERROR(H226/H444, "NA")</f>
        <v>-0.17031174214030537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1154.07</v>
      </c>
      <c r="U226" s="8">
        <f>IFERROR(T226/T444, "NA")</f>
        <v>1.0000055109612499E-3</v>
      </c>
      <c r="V226" s="9"/>
      <c r="W226" s="10">
        <f t="shared" si="58"/>
        <v>1154.07</v>
      </c>
      <c r="X226" s="8">
        <f>IFERROR(W226/W444, "NA")</f>
        <v>9.825075733202869E-3</v>
      </c>
      <c r="Y226" s="9"/>
      <c r="Z226" s="7">
        <v>1067.28</v>
      </c>
      <c r="AA226" s="8">
        <f>IFERROR(Z226/Z444, "NA")</f>
        <v>1.026454279650163E-3</v>
      </c>
      <c r="AB226" s="9"/>
      <c r="AC226" s="10">
        <f t="shared" si="59"/>
        <v>1067.28</v>
      </c>
      <c r="AD226" s="8">
        <f>IFERROR(AC226/AC444, "NA")</f>
        <v>4.6052718729810019E-3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5782.12</v>
      </c>
      <c r="C227" s="15">
        <f>IFERROR(B227/B444, "NA")</f>
        <v>3.7645228494698035E-2</v>
      </c>
      <c r="D227" s="2"/>
      <c r="E227" s="14">
        <f>IFERROR(E211+E213+E214+E215+E216+E217+E219+E220+E221+E222+E223+E224+E225+E226, "NA")</f>
        <v>7357.01</v>
      </c>
      <c r="F227" s="15">
        <f>IFERROR(E227/E444, "NA")</f>
        <v>4.7617512735579993E-2</v>
      </c>
      <c r="G227" s="2"/>
      <c r="H227" s="14">
        <f t="shared" si="56"/>
        <v>1574.8900000000003</v>
      </c>
      <c r="I227" s="15">
        <f>IFERROR(H227/H444, "NA")</f>
        <v>-1.7360664050443078</v>
      </c>
      <c r="J227" s="2"/>
      <c r="K227" s="14">
        <f>IFERROR(K211+K213+K214+K215+K216+K217+K219+K220+K221+K222+K223+K224+K225+K226, "NA")</f>
        <v>1265.5</v>
      </c>
      <c r="L227" s="15">
        <f>IFERROR(K227/K444, "NA")</f>
        <v>9.0099037745124747E-3</v>
      </c>
      <c r="M227" s="2"/>
      <c r="N227" s="14">
        <f t="shared" si="57"/>
        <v>-4516.62</v>
      </c>
      <c r="O227" s="15">
        <f>IFERROR(N227/N444, "NA")</f>
        <v>-0.34377036004164835</v>
      </c>
      <c r="P227" s="2"/>
      <c r="Q227" s="14">
        <f>IFERROR(Q211+Q213+Q214+Q215+Q216+Q217+Q219+Q220+Q221+Q222+Q223+Q224+Q225+Q226, "NA")</f>
        <v>63705.21</v>
      </c>
      <c r="R227" s="15">
        <f>IFERROR(Q227/Q444, "NA")</f>
        <v>5.0101408518538906E-2</v>
      </c>
      <c r="S227" s="2"/>
      <c r="T227" s="14">
        <f>IFERROR(T211+T213+T214+T215+T216+T217+T219+T220+T221+T222+T223+T224+T225+T226, "NA")</f>
        <v>54472.89</v>
      </c>
      <c r="U227" s="15">
        <f>IFERROR(T227/T444, "NA")</f>
        <v>4.7200941188997175E-2</v>
      </c>
      <c r="V227" s="2"/>
      <c r="W227" s="14">
        <f t="shared" si="58"/>
        <v>-9232.32</v>
      </c>
      <c r="X227" s="15">
        <f>IFERROR(W227/W444, "NA")</f>
        <v>-7.8598562646255005E-2</v>
      </c>
      <c r="Y227" s="2"/>
      <c r="Z227" s="14">
        <f>IFERROR(Z211+Z213+Z214+Z215+Z216+Z217+Z219+Z220+Z221+Z222+Z223+Z224+Z225+Z226, "NA")</f>
        <v>9764.83</v>
      </c>
      <c r="AA227" s="15">
        <f>IFERROR(Z227/Z444, "NA")</f>
        <v>9.3913045719551582E-3</v>
      </c>
      <c r="AB227" s="2"/>
      <c r="AC227" s="14">
        <f t="shared" si="59"/>
        <v>-53940.38</v>
      </c>
      <c r="AD227" s="15">
        <f>IFERROR(AC227/AC444, "NA")</f>
        <v>-0.23275065103057019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4596.4399999999996</v>
      </c>
      <c r="F229" s="8">
        <f>IFERROR(E229/E444, "NA")</f>
        <v>2.9749999012958973E-2</v>
      </c>
      <c r="G229" s="9"/>
      <c r="H229" s="10">
        <f t="shared" ref="H229:H236" si="60">IFERROR(-(B229-E229), "NA")</f>
        <v>4596.4399999999996</v>
      </c>
      <c r="I229" s="8">
        <f>IFERROR(H229/H444, "NA")</f>
        <v>-5.0668459808633335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34333.39</v>
      </c>
      <c r="U229" s="8">
        <f>IFERROR(T229/T444, "NA")</f>
        <v>2.9749997149204011E-2</v>
      </c>
      <c r="V229" s="9"/>
      <c r="W229" s="10">
        <f t="shared" ref="W229:W236" si="62">IFERROR(-(Q229-T229), "NA")</f>
        <v>34333.39</v>
      </c>
      <c r="X229" s="8">
        <f>IFERROR(W229/W444, "NA")</f>
        <v>0.29229436423058403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2.8852436464193923E-5</v>
      </c>
      <c r="AB230" s="9"/>
      <c r="AC230" s="10">
        <f t="shared" si="63"/>
        <v>30</v>
      </c>
      <c r="AD230" s="8">
        <f>IFERROR(AC230/AC444, "NA")</f>
        <v>1.2944883834554199E-4</v>
      </c>
    </row>
    <row r="231" spans="1:30" ht="16.5" customHeight="1" x14ac:dyDescent="0.45">
      <c r="A231" s="6" t="s">
        <v>210</v>
      </c>
      <c r="B231" s="7">
        <v>119</v>
      </c>
      <c r="C231" s="8">
        <f>IFERROR(B231/B444, "NA")</f>
        <v>7.7476465221563485E-4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-119</v>
      </c>
      <c r="I231" s="8">
        <f>IFERROR(H231/H444, "NA")</f>
        <v>0.13117862339609279</v>
      </c>
      <c r="J231" s="9"/>
      <c r="K231" s="7">
        <v>496.27</v>
      </c>
      <c r="L231" s="8">
        <f>IFERROR(K231/K444, "NA")</f>
        <v>3.5332634896699374E-3</v>
      </c>
      <c r="M231" s="9"/>
      <c r="N231" s="10">
        <f t="shared" si="61"/>
        <v>377.27</v>
      </c>
      <c r="O231" s="8">
        <f>IFERROR(N231/N444, "NA")</f>
        <v>2.8714889393598019E-2</v>
      </c>
      <c r="P231" s="9"/>
      <c r="Q231" s="7">
        <v>2465.81</v>
      </c>
      <c r="R231" s="8">
        <f>IFERROR(Q231/Q444, "NA")</f>
        <v>1.9392535420430829E-3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-2465.81</v>
      </c>
      <c r="X231" s="8">
        <f>IFERROR(W231/W444, "NA")</f>
        <v>-2.0992461457007779E-2</v>
      </c>
      <c r="Y231" s="9"/>
      <c r="Z231" s="7">
        <v>2897.86</v>
      </c>
      <c r="AA231" s="8">
        <f>IFERROR(Z231/Z444, "NA")</f>
        <v>2.7870107177376336E-3</v>
      </c>
      <c r="AB231" s="9"/>
      <c r="AC231" s="10">
        <f t="shared" si="63"/>
        <v>432.05000000000018</v>
      </c>
      <c r="AD231" s="8">
        <f>IFERROR(AC231/AC444, "NA")</f>
        <v>1.8642790202397148E-3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187.45</v>
      </c>
      <c r="C233" s="8">
        <f>IFERROR(B233/B444, "NA")</f>
        <v>1.2204170929228633E-3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-187.45</v>
      </c>
      <c r="I233" s="8">
        <f>IFERROR(H233/H444, "NA")</f>
        <v>0.20663389038317306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-187.45</v>
      </c>
      <c r="O233" s="8">
        <f>IFERROR(N233/N444, "NA")</f>
        <v>-1.4267251615103105E-2</v>
      </c>
      <c r="P233" s="9"/>
      <c r="Q233" s="7">
        <v>187.45</v>
      </c>
      <c r="R233" s="8">
        <f>IFERROR(Q233/Q444, "NA")</f>
        <v>1.4742136517248932E-4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-187.45</v>
      </c>
      <c r="X233" s="8">
        <f>IFERROR(W233/W444, "NA")</f>
        <v>-1.5958394605083556E-3</v>
      </c>
      <c r="Y233" s="9"/>
      <c r="Z233" s="7">
        <v>17</v>
      </c>
      <c r="AA233" s="8">
        <f>IFERROR(Z233/Z444, "NA")</f>
        <v>1.6349713996376558E-5</v>
      </c>
      <c r="AB233" s="9"/>
      <c r="AC233" s="10">
        <f t="shared" si="63"/>
        <v>-170.45</v>
      </c>
      <c r="AD233" s="8">
        <f>IFERROR(AC233/AC444, "NA")</f>
        <v>-7.354851498665877E-4</v>
      </c>
    </row>
    <row r="234" spans="1:30" ht="16.5" customHeight="1" x14ac:dyDescent="0.45">
      <c r="A234" s="6" t="s">
        <v>213</v>
      </c>
      <c r="B234" s="7">
        <v>2554.09</v>
      </c>
      <c r="C234" s="8">
        <f>IFERROR(B234/B444, "NA")</f>
        <v>1.6628728156112865E-2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-2554.09</v>
      </c>
      <c r="I234" s="8">
        <f>IFERROR(H234/H444, "NA")</f>
        <v>2.8154790775607283</v>
      </c>
      <c r="J234" s="9"/>
      <c r="K234" s="7">
        <v>3417.47</v>
      </c>
      <c r="L234" s="8">
        <f>IFERROR(K234/K444, "NA")</f>
        <v>2.4331154367667439E-2</v>
      </c>
      <c r="M234" s="9"/>
      <c r="N234" s="10">
        <f t="shared" si="61"/>
        <v>863.37999999999965</v>
      </c>
      <c r="O234" s="8">
        <f>IFERROR(N234/N444, "NA")</f>
        <v>6.5713842088278018E-2</v>
      </c>
      <c r="P234" s="9"/>
      <c r="Q234" s="7">
        <v>24553.39</v>
      </c>
      <c r="R234" s="8">
        <f>IFERROR(Q234/Q444, "NA")</f>
        <v>1.9310185507668966E-2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-24553.39</v>
      </c>
      <c r="X234" s="8">
        <f>IFERROR(W234/W444, "NA")</f>
        <v>-0.20903317498666979</v>
      </c>
      <c r="Y234" s="9"/>
      <c r="Z234" s="7">
        <v>26777.119999999999</v>
      </c>
      <c r="AA234" s="8">
        <f>IFERROR(Z234/Z444, "NA")</f>
        <v>2.5752838449803212E-2</v>
      </c>
      <c r="AB234" s="9"/>
      <c r="AC234" s="10">
        <f t="shared" si="63"/>
        <v>2223.7299999999996</v>
      </c>
      <c r="AD234" s="8">
        <f>IFERROR(AC234/AC444, "NA")</f>
        <v>9.5953088431377353E-3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2860.54</v>
      </c>
      <c r="C236" s="15">
        <f>IFERROR(B236/B444, "NA")</f>
        <v>1.8623909901251363E-2</v>
      </c>
      <c r="D236" s="2"/>
      <c r="E236" s="14">
        <f>IFERROR(E229+E230+E231+E232+E233+E234+E235, "NA")</f>
        <v>4596.4399999999996</v>
      </c>
      <c r="F236" s="15">
        <f>IFERROR(E236/E444, "NA")</f>
        <v>2.9749999012958973E-2</v>
      </c>
      <c r="G236" s="2"/>
      <c r="H236" s="14">
        <f t="shared" si="60"/>
        <v>1735.8999999999996</v>
      </c>
      <c r="I236" s="15">
        <f>IFERROR(H236/H444, "NA")</f>
        <v>-1.9135543895233398</v>
      </c>
      <c r="J236" s="2"/>
      <c r="K236" s="14">
        <f>IFERROR(K229+K230+K231+K232+K233+K234+K235, "NA")</f>
        <v>3913.74</v>
      </c>
      <c r="L236" s="15">
        <f>IFERROR(K236/K444, "NA")</f>
        <v>2.7864417857337377E-2</v>
      </c>
      <c r="M236" s="2"/>
      <c r="N236" s="14">
        <f t="shared" si="61"/>
        <v>1053.1999999999998</v>
      </c>
      <c r="O236" s="15">
        <f>IFERROR(N236/N444, "NA")</f>
        <v>8.0161479866772939E-2</v>
      </c>
      <c r="P236" s="2"/>
      <c r="Q236" s="14">
        <f>IFERROR(Q229+Q230+Q231+Q232+Q233+Q234+Q235, "NA")</f>
        <v>27206.649999999998</v>
      </c>
      <c r="R236" s="15">
        <f>IFERROR(Q236/Q444, "NA")</f>
        <v>2.1396860414884537E-2</v>
      </c>
      <c r="S236" s="2"/>
      <c r="T236" s="14">
        <f>IFERROR(T229+T230+T231+T232+T233+T234+T235, "NA")</f>
        <v>34333.39</v>
      </c>
      <c r="U236" s="15">
        <f>IFERROR(T236/T444, "NA")</f>
        <v>2.9749997149204011E-2</v>
      </c>
      <c r="V236" s="2"/>
      <c r="W236" s="14">
        <f t="shared" si="62"/>
        <v>7126.7400000000016</v>
      </c>
      <c r="X236" s="15">
        <f>IFERROR(W236/W444, "NA")</f>
        <v>6.0672888326398083E-2</v>
      </c>
      <c r="Y236" s="2"/>
      <c r="Z236" s="14">
        <f>IFERROR(Z229+Z230+Z231+Z232+Z233+Z234+Z235, "NA")</f>
        <v>29721.98</v>
      </c>
      <c r="AA236" s="15">
        <f>IFERROR(Z236/Z444, "NA")</f>
        <v>2.8585051318001417E-2</v>
      </c>
      <c r="AB236" s="2"/>
      <c r="AC236" s="14">
        <f t="shared" si="63"/>
        <v>2515.3300000000017</v>
      </c>
      <c r="AD236" s="15">
        <f>IFERROR(AC236/AC444, "NA")</f>
        <v>1.0853551551856412E-2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14101.42</v>
      </c>
      <c r="F240" s="8">
        <f>IFERROR(E240/E444, "NA")</f>
        <v>9.1270033130274722E-2</v>
      </c>
      <c r="G240" s="9"/>
      <c r="H240" s="10">
        <f t="shared" ref="H240:H263" si="64">IFERROR(-(B240-E240), "NA")</f>
        <v>14101.42</v>
      </c>
      <c r="I240" s="8">
        <f>IFERROR(H240/H444, "NA")</f>
        <v>-15.544578685127151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106183.84</v>
      </c>
      <c r="U240" s="8">
        <f>IFERROR(T240/T444, "NA")</f>
        <v>9.2008652139842134E-2</v>
      </c>
      <c r="V240" s="9"/>
      <c r="W240" s="10">
        <f t="shared" ref="W240:W263" si="66">IFERROR(-(Q240-T240), "NA")</f>
        <v>106183.84</v>
      </c>
      <c r="X240" s="8">
        <f>IFERROR(W240/W444, "NA")</f>
        <v>0.90398699354657541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2944.22</v>
      </c>
      <c r="C242" s="8">
        <f>IFERROR(B242/B444, "NA")</f>
        <v>1.9168719196187532E-2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-2944.22</v>
      </c>
      <c r="I242" s="8">
        <f>IFERROR(H242/H444, "NA")</f>
        <v>3.2455355174390279</v>
      </c>
      <c r="J242" s="9"/>
      <c r="K242" s="7">
        <v>1945.96</v>
      </c>
      <c r="L242" s="8">
        <f>IFERROR(K242/K444, "NA")</f>
        <v>1.3854533661833502E-2</v>
      </c>
      <c r="M242" s="9"/>
      <c r="N242" s="10">
        <f t="shared" si="65"/>
        <v>-998.25999999999976</v>
      </c>
      <c r="O242" s="8">
        <f>IFERROR(N242/N444, "NA")</f>
        <v>-7.5979869817513063E-2</v>
      </c>
      <c r="P242" s="9"/>
      <c r="Q242" s="7">
        <v>19590</v>
      </c>
      <c r="R242" s="8">
        <f>IFERROR(Q242/Q444, "NA")</f>
        <v>1.5406692684604244E-2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-19590</v>
      </c>
      <c r="X242" s="8">
        <f>IFERROR(W242/W444, "NA")</f>
        <v>-0.16677778090882203</v>
      </c>
      <c r="Y242" s="9"/>
      <c r="Z242" s="7">
        <v>13818.25</v>
      </c>
      <c r="AA242" s="8">
        <f>IFERROR(Z242/Z444, "NA")</f>
        <v>1.3289672672378256E-2</v>
      </c>
      <c r="AB242" s="9"/>
      <c r="AC242" s="10">
        <f t="shared" si="67"/>
        <v>-5771.75</v>
      </c>
      <c r="AD242" s="8">
        <f>IFERROR(AC242/AC444, "NA")</f>
        <v>-2.4904877757362734E-2</v>
      </c>
    </row>
    <row r="243" spans="1:30" ht="16.5" customHeight="1" x14ac:dyDescent="0.45">
      <c r="A243" s="12" t="s">
        <v>220</v>
      </c>
      <c r="B243" s="7">
        <v>5081.1899999999996</v>
      </c>
      <c r="C243" s="8">
        <f>IFERROR(B243/B444, "NA")</f>
        <v>3.3081734480601359E-2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-5081.1899999999996</v>
      </c>
      <c r="I243" s="8">
        <f>IFERROR(H243/H444, "NA")</f>
        <v>5.6012059614621235</v>
      </c>
      <c r="J243" s="9"/>
      <c r="K243" s="7">
        <v>5772.51</v>
      </c>
      <c r="L243" s="8">
        <f>IFERROR(K243/K444, "NA")</f>
        <v>4.1098190152043468E-2</v>
      </c>
      <c r="M243" s="9"/>
      <c r="N243" s="10">
        <f t="shared" si="65"/>
        <v>691.32000000000062</v>
      </c>
      <c r="O243" s="8">
        <f>IFERROR(N243/N444, "NA")</f>
        <v>5.2617958850643305E-2</v>
      </c>
      <c r="P243" s="9"/>
      <c r="Q243" s="7">
        <v>45204.28</v>
      </c>
      <c r="R243" s="8">
        <f>IFERROR(Q243/Q444, "NA")</f>
        <v>3.5551222561960284E-2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-45204.28</v>
      </c>
      <c r="X243" s="8">
        <f>IFERROR(W243/W444, "NA")</f>
        <v>-0.38484275170908855</v>
      </c>
      <c r="Y243" s="9"/>
      <c r="Z243" s="7">
        <v>46260.49</v>
      </c>
      <c r="AA243" s="8">
        <f>IFERROR(Z243/Z444, "NA")</f>
        <v>4.4490928284249276E-2</v>
      </c>
      <c r="AB243" s="9"/>
      <c r="AC243" s="10">
        <f t="shared" si="67"/>
        <v>1056.2099999999991</v>
      </c>
      <c r="AD243" s="8">
        <f>IFERROR(AC243/AC444, "NA")</f>
        <v>4.5575052516314933E-3</v>
      </c>
    </row>
    <row r="244" spans="1:30" ht="16.5" customHeight="1" x14ac:dyDescent="0.45">
      <c r="A244" s="12" t="s">
        <v>221</v>
      </c>
      <c r="B244" s="7">
        <v>155</v>
      </c>
      <c r="C244" s="8">
        <f>IFERROR(B244/B444, "NA")</f>
        <v>1.0091472360791883E-3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-155</v>
      </c>
      <c r="I244" s="8">
        <f>IFERROR(H244/H444, "NA")</f>
        <v>0.17086291282684357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-155</v>
      </c>
      <c r="O244" s="8">
        <f>IFERROR(N244/N444, "NA")</f>
        <v>-1.1797407310434683E-2</v>
      </c>
      <c r="P244" s="9"/>
      <c r="Q244" s="7">
        <v>745</v>
      </c>
      <c r="R244" s="8">
        <f>IFERROR(Q244/Q444, "NA")</f>
        <v>5.8591046707657797E-4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-745</v>
      </c>
      <c r="X244" s="8">
        <f>IFERROR(W244/W444, "NA")</f>
        <v>-6.3424934546744468E-3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-745</v>
      </c>
      <c r="AD244" s="8">
        <f>IFERROR(AC244/AC444, "NA")</f>
        <v>-3.2146461522476262E-3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509.26</v>
      </c>
      <c r="C246" s="8">
        <f>IFERROR(B246/B444, "NA")</f>
        <v>3.3156020738431447E-3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-509.26</v>
      </c>
      <c r="I246" s="8">
        <f>IFERROR(H246/H444, "NA")</f>
        <v>0.56137836765289262</v>
      </c>
      <c r="J246" s="9"/>
      <c r="K246" s="7">
        <v>161.55000000000001</v>
      </c>
      <c r="L246" s="8">
        <f>IFERROR(K246/K444, "NA")</f>
        <v>1.1501777595989652E-3</v>
      </c>
      <c r="M246" s="9"/>
      <c r="N246" s="10">
        <f t="shared" si="65"/>
        <v>-347.71</v>
      </c>
      <c r="O246" s="8">
        <f>IFERROR(N246/N444, "NA")</f>
        <v>-2.6465009651040282E-2</v>
      </c>
      <c r="P246" s="9"/>
      <c r="Q246" s="7">
        <v>4687.3900000000003</v>
      </c>
      <c r="R246" s="8">
        <f>IFERROR(Q246/Q444, "NA")</f>
        <v>3.6864306902954108E-3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-4687.3900000000003</v>
      </c>
      <c r="X246" s="8">
        <f>IFERROR(W246/W444, "NA")</f>
        <v>-3.9905691804706649E-2</v>
      </c>
      <c r="Y246" s="9"/>
      <c r="Z246" s="7">
        <v>161.55000000000001</v>
      </c>
      <c r="AA246" s="8">
        <f>IFERROR(Z246/Z444, "NA")</f>
        <v>1.553703703596843E-4</v>
      </c>
      <c r="AB246" s="9"/>
      <c r="AC246" s="10">
        <f t="shared" si="67"/>
        <v>-4525.84</v>
      </c>
      <c r="AD246" s="8">
        <f>IFERROR(AC246/AC444, "NA")</f>
        <v>-1.9528824351259595E-2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3.72</v>
      </c>
      <c r="L247" s="8">
        <f>IFERROR(K247/K444, "NA")</f>
        <v>2.6485058902557414E-5</v>
      </c>
      <c r="M247" s="9"/>
      <c r="N247" s="10">
        <f t="shared" si="65"/>
        <v>3.72</v>
      </c>
      <c r="O247" s="8">
        <f>IFERROR(N247/N444, "NA")</f>
        <v>2.8313777545043242E-4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12.66</v>
      </c>
      <c r="AA247" s="8">
        <f>IFERROR(Z247/Z444, "NA")</f>
        <v>1.2175728187889835E-5</v>
      </c>
      <c r="AB247" s="9"/>
      <c r="AC247" s="10">
        <f t="shared" si="67"/>
        <v>12.66</v>
      </c>
      <c r="AD247" s="8">
        <f>IFERROR(AC247/AC444, "NA")</f>
        <v>5.4627409781818718E-5</v>
      </c>
    </row>
    <row r="248" spans="1:30" ht="16.5" customHeight="1" x14ac:dyDescent="0.45">
      <c r="A248" s="12" t="s">
        <v>225</v>
      </c>
      <c r="B248" s="7">
        <v>204.33</v>
      </c>
      <c r="C248" s="8">
        <f>IFERROR(B248/B444, "NA")</f>
        <v>1.3303164822455519E-3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-204.33</v>
      </c>
      <c r="I248" s="8">
        <f>IFERROR(H248/H444, "NA")</f>
        <v>0.22524141276070289</v>
      </c>
      <c r="J248" s="9"/>
      <c r="K248" s="7">
        <v>154.29</v>
      </c>
      <c r="L248" s="8">
        <f>IFERROR(K248/K444, "NA")</f>
        <v>1.0984891769020384E-3</v>
      </c>
      <c r="M248" s="9"/>
      <c r="N248" s="10">
        <f t="shared" si="65"/>
        <v>-50.04000000000002</v>
      </c>
      <c r="O248" s="8">
        <f>IFERROR(N248/N444, "NA")</f>
        <v>-3.8086597536396891E-3</v>
      </c>
      <c r="P248" s="9"/>
      <c r="Q248" s="7">
        <v>1383.67</v>
      </c>
      <c r="R248" s="8">
        <f>IFERROR(Q248/Q444, "NA")</f>
        <v>1.0881969610467767E-3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-1383.67</v>
      </c>
      <c r="X248" s="8">
        <f>IFERROR(W248/W444, "NA")</f>
        <v>-1.1779755595207237E-2</v>
      </c>
      <c r="Y248" s="9"/>
      <c r="Z248" s="7">
        <v>1282.26</v>
      </c>
      <c r="AA248" s="8">
        <f>IFERROR(Z248/Z444, "NA")</f>
        <v>1.2332108393525766E-3</v>
      </c>
      <c r="AB248" s="9"/>
      <c r="AC248" s="10">
        <f t="shared" si="67"/>
        <v>-101.41000000000008</v>
      </c>
      <c r="AD248" s="8">
        <f>IFERROR(AC248/AC444, "NA")</f>
        <v>-4.3758022322071412E-4</v>
      </c>
    </row>
    <row r="249" spans="1:30" ht="16.5" customHeight="1" x14ac:dyDescent="0.45">
      <c r="A249" s="12" t="s">
        <v>226</v>
      </c>
      <c r="B249" s="7">
        <v>2542.69</v>
      </c>
      <c r="C249" s="8">
        <f>IFERROR(B249/B444, "NA")</f>
        <v>1.6554507004556074E-2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-2542.69</v>
      </c>
      <c r="I249" s="8">
        <f>IFERROR(H249/H444, "NA")</f>
        <v>2.802912385907657</v>
      </c>
      <c r="J249" s="9"/>
      <c r="K249" s="7">
        <v>2391.7800000000002</v>
      </c>
      <c r="L249" s="8">
        <f>IFERROR(K249/K444, "NA")</f>
        <v>1.7028611339236228E-2</v>
      </c>
      <c r="M249" s="9"/>
      <c r="N249" s="10">
        <f t="shared" si="65"/>
        <v>-150.90999999999985</v>
      </c>
      <c r="O249" s="8">
        <f>IFERROR(N249/N444, "NA")</f>
        <v>-1.1486107982049654E-2</v>
      </c>
      <c r="P249" s="9"/>
      <c r="Q249" s="7">
        <v>23999.040000000001</v>
      </c>
      <c r="R249" s="8">
        <f>IFERROR(Q249/Q444, "NA")</f>
        <v>1.8874213068173797E-2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-23999.040000000001</v>
      </c>
      <c r="X249" s="8">
        <f>IFERROR(W249/W444, "NA")</f>
        <v>-0.20431376391740971</v>
      </c>
      <c r="Y249" s="9"/>
      <c r="Z249" s="7">
        <v>19878.2</v>
      </c>
      <c r="AA249" s="8">
        <f>IFERROR(Z249/Z444, "NA")</f>
        <v>1.9117816750751322E-2</v>
      </c>
      <c r="AB249" s="9"/>
      <c r="AC249" s="10">
        <f t="shared" si="67"/>
        <v>-4120.84</v>
      </c>
      <c r="AD249" s="8">
        <f>IFERROR(AC249/AC444, "NA")</f>
        <v>-1.7781265033594777E-2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252.83</v>
      </c>
      <c r="AA252" s="8">
        <f>IFERROR(Z252/Z444, "NA")</f>
        <v>2.43158717041405E-4</v>
      </c>
      <c r="AB252" s="9"/>
      <c r="AC252" s="10">
        <f t="shared" si="67"/>
        <v>252.83</v>
      </c>
      <c r="AD252" s="8">
        <f>IFERROR(AC252/AC444, "NA")</f>
        <v>1.090951659963446E-3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2340.16</v>
      </c>
      <c r="C254" s="8">
        <f>IFERROR(B254/B444, "NA")</f>
        <v>1.5235909651503697E-2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-2340.16</v>
      </c>
      <c r="I254" s="8">
        <f>IFERROR(H254/H444, "NA")</f>
        <v>2.5796551876184917</v>
      </c>
      <c r="J254" s="9"/>
      <c r="K254" s="7">
        <v>4176.84</v>
      </c>
      <c r="L254" s="8">
        <f>IFERROR(K254/K444, "NA")</f>
        <v>2.9737595007139222E-2</v>
      </c>
      <c r="M254" s="9"/>
      <c r="N254" s="10">
        <f t="shared" si="65"/>
        <v>1836.6800000000003</v>
      </c>
      <c r="O254" s="8">
        <f>IFERROR(N254/N444, "NA")</f>
        <v>0.13979394876728501</v>
      </c>
      <c r="P254" s="9"/>
      <c r="Q254" s="7">
        <v>18330.86</v>
      </c>
      <c r="R254" s="8">
        <f>IFERROR(Q254/Q444, "NA")</f>
        <v>1.4416433214114578E-2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-18330.86</v>
      </c>
      <c r="X254" s="8">
        <f>IFERROR(W254/W444, "NA")</f>
        <v>-0.15605820076315924</v>
      </c>
      <c r="Y254" s="9"/>
      <c r="Z254" s="7">
        <v>16915.97</v>
      </c>
      <c r="AA254" s="8">
        <f>IFERROR(Z254/Z444, "NA")</f>
        <v>1.626889832184035E-2</v>
      </c>
      <c r="AB254" s="9"/>
      <c r="AC254" s="10">
        <f t="shared" si="67"/>
        <v>-1414.8899999999994</v>
      </c>
      <c r="AD254" s="8">
        <f>IFERROR(AC254/AC444, "NA")</f>
        <v>-6.1051955628907946E-3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2.5860279165653739E-4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-2.7993808023705387E-3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-1.4188455674927038E-3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13776.85</v>
      </c>
      <c r="C262" s="15">
        <f>IFERROR(B262/B444, "NA")</f>
        <v>8.9695936125016543E-2</v>
      </c>
      <c r="D262" s="2"/>
      <c r="E262" s="14">
        <f>IFERROR(E240+E241+E242+E243+E244+E245+E246+E247+E248+E249+E250+E251+E252+E253+E254+E255+E256+E257+E258+E259+E260+E261, "NA")</f>
        <v>14101.42</v>
      </c>
      <c r="F262" s="15">
        <f>IFERROR(E262/E444, "NA")</f>
        <v>9.1270033130274722E-2</v>
      </c>
      <c r="G262" s="2"/>
      <c r="H262" s="14">
        <f t="shared" si="64"/>
        <v>324.56999999999971</v>
      </c>
      <c r="I262" s="15">
        <f>IFERROR(H262/H444, "NA")</f>
        <v>-0.35778693945941009</v>
      </c>
      <c r="J262" s="2"/>
      <c r="K262" s="14">
        <f>IFERROR(K240+K241+K242+K243+K244+K245+K246+K247+K248+K249+K250+K251+K252+K253+K254+K255+K256+K257+K258+K259+K260+K261, "NA")</f>
        <v>14606.650000000001</v>
      </c>
      <c r="L262" s="15">
        <f>IFERROR(K262/K444, "NA")</f>
        <v>0.10399408215565599</v>
      </c>
      <c r="M262" s="2"/>
      <c r="N262" s="14">
        <f t="shared" si="65"/>
        <v>829.80000000000109</v>
      </c>
      <c r="O262" s="15">
        <f>IFERROR(N262/N444, "NA")</f>
        <v>6.3157990878701373E-2</v>
      </c>
      <c r="P262" s="2"/>
      <c r="Q262" s="14">
        <f>IFERROR(Q240+Q241+Q242+Q243+Q244+Q245+Q246+Q247+Q248+Q249+Q250+Q251+Q252+Q253+Q254+Q255+Q256+Q257+Q258+Q259+Q260+Q261, "NA")</f>
        <v>114269.06000000001</v>
      </c>
      <c r="R262" s="15">
        <f>IFERROR(Q262/Q444, "NA")</f>
        <v>8.9867702438928221E-2</v>
      </c>
      <c r="S262" s="2"/>
      <c r="T262" s="14">
        <f>IFERROR(T240+T241+T242+T243+T244+T245+T246+T247+T248+T249+T250+T251+T252+T253+T254+T255+T256+T257+T258+T259+T260+T261, "NA")</f>
        <v>106183.84</v>
      </c>
      <c r="U262" s="15">
        <f>IFERROR(T262/T444, "NA")</f>
        <v>9.2008652139842134E-2</v>
      </c>
      <c r="V262" s="2"/>
      <c r="W262" s="14">
        <f t="shared" si="66"/>
        <v>-8085.2200000000157</v>
      </c>
      <c r="X262" s="15">
        <f>IFERROR(W262/W444, "NA")</f>
        <v>-6.8832825408863124E-2</v>
      </c>
      <c r="Y262" s="2"/>
      <c r="Z262" s="14">
        <f>IFERROR(Z240+Z241+Z242+Z243+Z244+Z245+Z246+Z247+Z248+Z249+Z250+Z251+Z252+Z253+Z254+Z255+Z256+Z257+Z258+Z259+Z260+Z261, "NA")</f>
        <v>98582.21</v>
      </c>
      <c r="AA262" s="15">
        <f>IFERROR(Z262/Z444, "NA")</f>
        <v>9.4811231684160766E-2</v>
      </c>
      <c r="AB262" s="2"/>
      <c r="AC262" s="14">
        <f t="shared" si="67"/>
        <v>-15686.850000000006</v>
      </c>
      <c r="AD262" s="15">
        <f>IFERROR(AC262/AC444, "NA")</f>
        <v>-6.7688150326692204E-2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13776.85</v>
      </c>
      <c r="C263" s="15">
        <f>IFERROR(B263/B444, "NA")</f>
        <v>8.9695936125016543E-2</v>
      </c>
      <c r="D263" s="2"/>
      <c r="E263" s="14">
        <f>IFERROR(E238+E240+E241+E242+E243+E244+E245+E246+E247+E248+E249+E250+E251+E252+E253+E254+E255+E256+E257+E258+E259+E260+E261, "NA")</f>
        <v>14101.42</v>
      </c>
      <c r="F263" s="15">
        <f>IFERROR(E263/E444, "NA")</f>
        <v>9.1270033130274722E-2</v>
      </c>
      <c r="G263" s="2"/>
      <c r="H263" s="14">
        <f t="shared" si="64"/>
        <v>324.56999999999971</v>
      </c>
      <c r="I263" s="15">
        <f>IFERROR(H263/H444, "NA")</f>
        <v>-0.35778693945941009</v>
      </c>
      <c r="J263" s="2"/>
      <c r="K263" s="14">
        <f>IFERROR(K238+K240+K241+K242+K243+K244+K245+K246+K247+K248+K249+K250+K251+K252+K253+K254+K255+K256+K257+K258+K259+K260+K261, "NA")</f>
        <v>14606.650000000001</v>
      </c>
      <c r="L263" s="15">
        <f>IFERROR(K263/K444, "NA")</f>
        <v>0.10399408215565599</v>
      </c>
      <c r="M263" s="2"/>
      <c r="N263" s="14">
        <f t="shared" si="65"/>
        <v>829.80000000000109</v>
      </c>
      <c r="O263" s="15">
        <f>IFERROR(N263/N444, "NA")</f>
        <v>6.3157990878701373E-2</v>
      </c>
      <c r="P263" s="2"/>
      <c r="Q263" s="14">
        <f>IFERROR(Q238+Q240+Q241+Q242+Q243+Q244+Q245+Q246+Q247+Q248+Q249+Q250+Q251+Q252+Q253+Q254+Q255+Q256+Q257+Q258+Q259+Q260+Q261, "NA")</f>
        <v>114269.06000000001</v>
      </c>
      <c r="R263" s="15">
        <f>IFERROR(Q263/Q444, "NA")</f>
        <v>8.9867702438928221E-2</v>
      </c>
      <c r="S263" s="2"/>
      <c r="T263" s="14">
        <f>IFERROR(T238+T240+T241+T242+T243+T244+T245+T246+T247+T248+T249+T250+T251+T252+T253+T254+T255+T256+T257+T258+T259+T260+T261, "NA")</f>
        <v>106183.84</v>
      </c>
      <c r="U263" s="15">
        <f>IFERROR(T263/T444, "NA")</f>
        <v>9.2008652139842134E-2</v>
      </c>
      <c r="V263" s="2"/>
      <c r="W263" s="14">
        <f t="shared" si="66"/>
        <v>-8085.2200000000157</v>
      </c>
      <c r="X263" s="15">
        <f>IFERROR(W263/W444, "NA")</f>
        <v>-6.8832825408863124E-2</v>
      </c>
      <c r="Y263" s="2"/>
      <c r="Z263" s="14">
        <f>IFERROR(Z238+Z240+Z241+Z242+Z243+Z244+Z245+Z246+Z247+Z248+Z249+Z250+Z251+Z252+Z253+Z254+Z255+Z256+Z257+Z258+Z259+Z260+Z261, "NA")</f>
        <v>98582.21</v>
      </c>
      <c r="AA263" s="15">
        <f>IFERROR(Z263/Z444, "NA")</f>
        <v>9.4811231684160766E-2</v>
      </c>
      <c r="AB263" s="2"/>
      <c r="AC263" s="14">
        <f t="shared" si="67"/>
        <v>-15686.850000000006</v>
      </c>
      <c r="AD263" s="15">
        <f>IFERROR(AC263/AC444, "NA")</f>
        <v>-6.7688150326692204E-2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3899.89</v>
      </c>
      <c r="C265" s="8">
        <f>IFERROR(B265/B444, "NA")</f>
        <v>2.5390730416212034E-2</v>
      </c>
      <c r="D265" s="9"/>
      <c r="E265" s="7">
        <v>3862.56</v>
      </c>
      <c r="F265" s="8">
        <f>IFERROR(E265/E444, "NA")</f>
        <v>2.5000033980100863E-2</v>
      </c>
      <c r="G265" s="9"/>
      <c r="H265" s="10">
        <f>IFERROR(-(B265-E265), "NA")</f>
        <v>-37.329999999999927</v>
      </c>
      <c r="I265" s="8">
        <f>IFERROR(H265/H444, "NA")</f>
        <v>4.1150403456942306E-2</v>
      </c>
      <c r="J265" s="9"/>
      <c r="K265" s="7">
        <v>3659.36</v>
      </c>
      <c r="L265" s="8">
        <f>IFERROR(K265/K444, "NA")</f>
        <v>2.6053323963887768E-2</v>
      </c>
      <c r="M265" s="9"/>
      <c r="N265" s="10">
        <f>IFERROR(-(B265-K265), "NA")</f>
        <v>-240.52999999999975</v>
      </c>
      <c r="O265" s="8">
        <f>IFERROR(N265/N444, "NA")</f>
        <v>-1.830729277663775E-2</v>
      </c>
      <c r="P265" s="9"/>
      <c r="Q265" s="7">
        <v>30773.95</v>
      </c>
      <c r="R265" s="8">
        <f>IFERROR(Q265/Q444, "NA")</f>
        <v>2.4202388480927862E-2</v>
      </c>
      <c r="S265" s="9"/>
      <c r="T265" s="7">
        <v>29099.9</v>
      </c>
      <c r="U265" s="8">
        <f>IFERROR(T265/T444, "NA")</f>
        <v>2.5215160578146285E-2</v>
      </c>
      <c r="V265" s="9"/>
      <c r="W265" s="10">
        <f>IFERROR(-(Q265-T265), "NA")</f>
        <v>-1674.0499999999993</v>
      </c>
      <c r="X265" s="8">
        <f>IFERROR(W265/W444, "NA")</f>
        <v>-1.4251880762144634E-2</v>
      </c>
      <c r="Y265" s="9"/>
      <c r="Z265" s="7">
        <v>26721.759999999998</v>
      </c>
      <c r="AA265" s="8">
        <f>IFERROR(Z265/Z444, "NA")</f>
        <v>2.5699596087047954E-2</v>
      </c>
      <c r="AB265" s="9"/>
      <c r="AC265" s="10">
        <f>IFERROR(-(Q265-Z265), "NA")</f>
        <v>-4052.1900000000023</v>
      </c>
      <c r="AD265" s="8">
        <f>IFERROR(AC265/AC444, "NA")</f>
        <v>-1.7485042941847405E-2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83.47</v>
      </c>
      <c r="L266" s="8">
        <f>IFERROR(K266/K444, "NA")</f>
        <v>5.942763082248568E-4</v>
      </c>
      <c r="M266" s="9"/>
      <c r="N266" s="10">
        <f>IFERROR(-(B266-K266), "NA")</f>
        <v>83.47</v>
      </c>
      <c r="O266" s="8">
        <f>IFERROR(N266/N444, "NA")</f>
        <v>6.3530941174321483E-3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98.02</v>
      </c>
      <c r="AA266" s="8">
        <f>IFERROR(Z266/Z444, "NA")</f>
        <v>9.4270527407342941E-5</v>
      </c>
      <c r="AB266" s="9"/>
      <c r="AC266" s="10">
        <f>IFERROR(-(Q266-Z266), "NA")</f>
        <v>98.02</v>
      </c>
      <c r="AD266" s="8">
        <f>IFERROR(AC266/AC444, "NA")</f>
        <v>4.229525044876675E-4</v>
      </c>
    </row>
    <row r="267" spans="1:30" ht="16.5" customHeight="1" x14ac:dyDescent="0.45">
      <c r="A267" s="19" t="s">
        <v>243</v>
      </c>
      <c r="B267" s="14">
        <f>IFERROR(B265+B266, "NA")</f>
        <v>3899.89</v>
      </c>
      <c r="C267" s="15">
        <f>IFERROR(B267/B444, "NA")</f>
        <v>2.5390730416212034E-2</v>
      </c>
      <c r="D267" s="2"/>
      <c r="E267" s="14">
        <f>IFERROR(E265+E266, "NA")</f>
        <v>3862.56</v>
      </c>
      <c r="F267" s="15">
        <f>IFERROR(E267/E444, "NA")</f>
        <v>2.5000033980100863E-2</v>
      </c>
      <c r="G267" s="2"/>
      <c r="H267" s="14">
        <f>IFERROR(-(B267-E267), "NA")</f>
        <v>-37.329999999999927</v>
      </c>
      <c r="I267" s="15">
        <f>IFERROR(H267/H444, "NA")</f>
        <v>4.1150403456942306E-2</v>
      </c>
      <c r="J267" s="2"/>
      <c r="K267" s="14">
        <f>IFERROR(K265+K266, "NA")</f>
        <v>3742.83</v>
      </c>
      <c r="L267" s="15">
        <f>IFERROR(K267/K444, "NA")</f>
        <v>2.6647600272112625E-2</v>
      </c>
      <c r="M267" s="2"/>
      <c r="N267" s="14">
        <f>IFERROR(-(B267-K267), "NA")</f>
        <v>-157.05999999999995</v>
      </c>
      <c r="O267" s="15">
        <f>IFERROR(N267/N444, "NA")</f>
        <v>-1.1954198659205618E-2</v>
      </c>
      <c r="P267" s="2"/>
      <c r="Q267" s="14">
        <f>IFERROR(Q265+Q266, "NA")</f>
        <v>30773.95</v>
      </c>
      <c r="R267" s="15">
        <f>IFERROR(Q267/Q444, "NA")</f>
        <v>2.4202388480927862E-2</v>
      </c>
      <c r="S267" s="2"/>
      <c r="T267" s="14">
        <f>IFERROR(T265+T266, "NA")</f>
        <v>29099.9</v>
      </c>
      <c r="U267" s="15">
        <f>IFERROR(T267/T444, "NA")</f>
        <v>2.5215160578146285E-2</v>
      </c>
      <c r="V267" s="2"/>
      <c r="W267" s="14">
        <f>IFERROR(-(Q267-T267), "NA")</f>
        <v>-1674.0499999999993</v>
      </c>
      <c r="X267" s="15">
        <f>IFERROR(W267/W444, "NA")</f>
        <v>-1.4251880762144634E-2</v>
      </c>
      <c r="Y267" s="2"/>
      <c r="Z267" s="14">
        <f>IFERROR(Z265+Z266, "NA")</f>
        <v>26819.78</v>
      </c>
      <c r="AA267" s="15">
        <f>IFERROR(Z267/Z444, "NA")</f>
        <v>2.5793866614455294E-2</v>
      </c>
      <c r="AB267" s="2"/>
      <c r="AC267" s="14">
        <f>IFERROR(-(Q267-Z267), "NA")</f>
        <v>-3954.1700000000019</v>
      </c>
      <c r="AD267" s="15">
        <f>IFERROR(AC267/AC444, "NA")</f>
        <v>-1.7062090437359734E-2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1.5723165000846708E-3</v>
      </c>
      <c r="D270" s="9"/>
      <c r="E270" s="7">
        <v>213.36</v>
      </c>
      <c r="F270" s="8">
        <f>IFERROR(E270/E444, "NA")</f>
        <v>1.3809512991369249E-3</v>
      </c>
      <c r="G270" s="9"/>
      <c r="H270" s="10">
        <f>IFERROR(-(B270-E270), "NA")</f>
        <v>-28.139999999999986</v>
      </c>
      <c r="I270" s="8">
        <f>IFERROR(H270/H444, "NA")</f>
        <v>3.1019886238370164E-2</v>
      </c>
      <c r="J270" s="9"/>
      <c r="K270" s="7">
        <v>211.5</v>
      </c>
      <c r="L270" s="8">
        <f>IFERROR(K270/K444, "NA")</f>
        <v>1.5058037521212078E-3</v>
      </c>
      <c r="M270" s="9"/>
      <c r="N270" s="10">
        <f>IFERROR(-(B270-K270), "NA")</f>
        <v>-30</v>
      </c>
      <c r="O270" s="8">
        <f>IFERROR(N270/N444, "NA")</f>
        <v>-2.2833691568583257E-3</v>
      </c>
      <c r="P270" s="9"/>
      <c r="Q270" s="7">
        <v>1631.5</v>
      </c>
      <c r="R270" s="8">
        <f>IFERROR(Q270/Q444, "NA")</f>
        <v>1.2831046000475665E-3</v>
      </c>
      <c r="S270" s="9"/>
      <c r="T270" s="7">
        <v>1864.6</v>
      </c>
      <c r="U270" s="8">
        <f>IFERROR(T270/T444, "NA")</f>
        <v>1.6156821299733524E-3</v>
      </c>
      <c r="V270" s="9"/>
      <c r="W270" s="10">
        <f>IFERROR(-(Q270-T270), "NA")</f>
        <v>233.09999999999991</v>
      </c>
      <c r="X270" s="8">
        <f>IFERROR(W270/W444, "NA")</f>
        <v>1.9844768111202857E-3</v>
      </c>
      <c r="Y270" s="9"/>
      <c r="Z270" s="7">
        <v>1239.6099999999999</v>
      </c>
      <c r="AA270" s="8">
        <f>IFERROR(Z270/Z444, "NA")</f>
        <v>1.1921922921793143E-3</v>
      </c>
      <c r="AB270" s="9"/>
      <c r="AC270" s="10">
        <f>IFERROR(-(Q270-Z270), "NA")</f>
        <v>-391.8900000000001</v>
      </c>
      <c r="AD270" s="8">
        <f>IFERROR(AC270/AC444, "NA")</f>
        <v>-1.6909901753078154E-3</v>
      </c>
    </row>
    <row r="271" spans="1:30" ht="16.5" customHeight="1" x14ac:dyDescent="0.45">
      <c r="A271" s="6" t="s">
        <v>246</v>
      </c>
      <c r="B271" s="7">
        <v>938.5</v>
      </c>
      <c r="C271" s="8">
        <f>IFERROR(B271/B444, "NA")</f>
        <v>6.1102237487762464E-3</v>
      </c>
      <c r="D271" s="9"/>
      <c r="E271" s="7">
        <v>618.01</v>
      </c>
      <c r="F271" s="8">
        <f>IFERROR(E271/E444, "NA")</f>
        <v>4.0000080257762043E-3</v>
      </c>
      <c r="G271" s="9"/>
      <c r="H271" s="10">
        <f>IFERROR(-(B271-E271), "NA")</f>
        <v>-320.49</v>
      </c>
      <c r="I271" s="8">
        <f>IFERROR(H271/H444, "NA")</f>
        <v>0.35328938665725867</v>
      </c>
      <c r="J271" s="9"/>
      <c r="K271" s="7">
        <v>801.04</v>
      </c>
      <c r="L271" s="8">
        <f>IFERROR(K271/K444, "NA")</f>
        <v>5.7031160170173626E-3</v>
      </c>
      <c r="M271" s="9"/>
      <c r="N271" s="10">
        <f>IFERROR(-(B271-K271), "NA")</f>
        <v>-137.46000000000004</v>
      </c>
      <c r="O271" s="8">
        <f>IFERROR(N271/N444, "NA")</f>
        <v>-1.0462397476724852E-2</v>
      </c>
      <c r="P271" s="9"/>
      <c r="Q271" s="7">
        <v>6141</v>
      </c>
      <c r="R271" s="8">
        <f>IFERROR(Q271/Q444, "NA")</f>
        <v>4.8296324541171349E-3</v>
      </c>
      <c r="S271" s="9"/>
      <c r="T271" s="7">
        <v>4616.25</v>
      </c>
      <c r="U271" s="8">
        <f>IFERROR(T271/T444, "NA")</f>
        <v>3.9999960487447648E-3</v>
      </c>
      <c r="V271" s="9"/>
      <c r="W271" s="10">
        <f>IFERROR(-(Q271-T271), "NA")</f>
        <v>-1524.75</v>
      </c>
      <c r="X271" s="8">
        <f>IFERROR(W271/W444, "NA")</f>
        <v>-1.2980828046999815E-2</v>
      </c>
      <c r="Y271" s="9"/>
      <c r="Z271" s="7">
        <v>4494.55</v>
      </c>
      <c r="AA271" s="8">
        <f>IFERROR(Z271/Z444, "NA")</f>
        <v>4.3226239436714269E-3</v>
      </c>
      <c r="AB271" s="9"/>
      <c r="AC271" s="10">
        <f>IFERROR(-(Q271-Z271), "NA")</f>
        <v>-1646.4499999999998</v>
      </c>
      <c r="AD271" s="8">
        <f>IFERROR(AC271/AC444, "NA")</f>
        <v>-7.1043679964672528E-3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1180</v>
      </c>
      <c r="C273" s="15">
        <f>IFERROR(B273/B444, "NA")</f>
        <v>7.682540248860917E-3</v>
      </c>
      <c r="D273" s="2"/>
      <c r="E273" s="14">
        <f>IFERROR(E269+E270+E271+E272, "NA")</f>
        <v>831.37</v>
      </c>
      <c r="F273" s="15">
        <f>IFERROR(E273/E444, "NA")</f>
        <v>5.3809593249131288E-3</v>
      </c>
      <c r="G273" s="2"/>
      <c r="H273" s="14">
        <f>IFERROR(-(B273-E273), "NA")</f>
        <v>-348.63</v>
      </c>
      <c r="I273" s="15">
        <f>IFERROR(H273/H444, "NA")</f>
        <v>0.38430927289562883</v>
      </c>
      <c r="J273" s="2"/>
      <c r="K273" s="14">
        <f>IFERROR(K269+K270+K271+K272, "NA")</f>
        <v>1012.54</v>
      </c>
      <c r="L273" s="15">
        <f>IFERROR(K273/K444, "NA")</f>
        <v>7.2089197691385699E-3</v>
      </c>
      <c r="M273" s="2"/>
      <c r="N273" s="14">
        <f>IFERROR(-(B273-K273), "NA")</f>
        <v>-167.46000000000004</v>
      </c>
      <c r="O273" s="15">
        <f>IFERROR(N273/N444, "NA")</f>
        <v>-1.2745766633583178E-2</v>
      </c>
      <c r="P273" s="2"/>
      <c r="Q273" s="14">
        <f>IFERROR(Q269+Q270+Q271+Q272, "NA")</f>
        <v>7772.5</v>
      </c>
      <c r="R273" s="15">
        <f>IFERROR(Q273/Q444, "NA")</f>
        <v>6.1127370541647014E-3</v>
      </c>
      <c r="S273" s="2"/>
      <c r="T273" s="14">
        <f>IFERROR(T269+T270+T271+T272, "NA")</f>
        <v>6480.85</v>
      </c>
      <c r="U273" s="15">
        <f>IFERROR(T273/T444, "NA")</f>
        <v>5.6156781787181174E-3</v>
      </c>
      <c r="V273" s="2"/>
      <c r="W273" s="14">
        <f>IFERROR(-(Q273-T273), "NA")</f>
        <v>-1291.6499999999996</v>
      </c>
      <c r="X273" s="15">
        <f>IFERROR(W273/W444, "NA")</f>
        <v>-1.0996351235879526E-2</v>
      </c>
      <c r="Y273" s="2"/>
      <c r="Z273" s="14">
        <f>IFERROR(Z269+Z270+Z271+Z272, "NA")</f>
        <v>5734.16</v>
      </c>
      <c r="AA273" s="15">
        <f>IFERROR(Z273/Z444, "NA")</f>
        <v>5.5148162358507405E-3</v>
      </c>
      <c r="AB273" s="2"/>
      <c r="AC273" s="14">
        <f>IFERROR(-(Q273-Z273), "NA")</f>
        <v>-2038.3400000000001</v>
      </c>
      <c r="AD273" s="15">
        <f>IFERROR(AC273/AC444, "NA")</f>
        <v>-8.7953581717750695E-3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2.3624260601095687E-3</v>
      </c>
      <c r="G287" s="9"/>
      <c r="H287" s="10">
        <f t="shared" si="72"/>
        <v>365</v>
      </c>
      <c r="I287" s="8">
        <f>IFERROR(H287/H444, "NA")</f>
        <v>-0.40235460117288968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2555</v>
      </c>
      <c r="U287" s="8">
        <f>IFERROR(T287/T444, "NA")</f>
        <v>2.213916036727403E-3</v>
      </c>
      <c r="V287" s="9"/>
      <c r="W287" s="10">
        <f t="shared" si="74"/>
        <v>2555</v>
      </c>
      <c r="X287" s="8">
        <f>IFERROR(W287/W444, "NA")</f>
        <v>2.1751772854621758E-2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144.65</v>
      </c>
      <c r="C288" s="8">
        <f>IFERROR(B288/B444, "NA")</f>
        <v>9.4176224321841672E-4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-144.65</v>
      </c>
      <c r="I288" s="8">
        <f>IFERROR(H288/H444, "NA")</f>
        <v>0.15945367961550272</v>
      </c>
      <c r="J288" s="9"/>
      <c r="K288" s="7">
        <v>144.65</v>
      </c>
      <c r="L288" s="8">
        <f>IFERROR(K288/K444, "NA")</f>
        <v>1.0298558522190671E-3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1019.15</v>
      </c>
      <c r="R288" s="8">
        <f>IFERROR(Q288/Q444, "NA")</f>
        <v>8.015176543907308E-4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-1019.15</v>
      </c>
      <c r="X288" s="8">
        <f>IFERROR(W288/W444, "NA")</f>
        <v>-8.6764459118543122E-3</v>
      </c>
      <c r="Y288" s="9"/>
      <c r="Z288" s="7">
        <v>1019.15</v>
      </c>
      <c r="AA288" s="8">
        <f>IFERROR(Z288/Z444, "NA")</f>
        <v>9.8016535408277446E-4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228.98</v>
      </c>
      <c r="C289" s="8">
        <f>IFERROR(B289/B444, "NA")</f>
        <v>1.4908034459187904E-3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-228.98</v>
      </c>
      <c r="I289" s="8">
        <f>IFERROR(H289/H444, "NA")</f>
        <v>0.25241412760703635</v>
      </c>
      <c r="J289" s="9"/>
      <c r="K289" s="7">
        <v>210.6</v>
      </c>
      <c r="L289" s="8">
        <f>IFERROR(K289/K444, "NA")</f>
        <v>1.4993960765802663E-3</v>
      </c>
      <c r="M289" s="9"/>
      <c r="N289" s="10">
        <f t="shared" si="73"/>
        <v>-18.379999999999995</v>
      </c>
      <c r="O289" s="8">
        <f>IFERROR(N289/N444, "NA")</f>
        <v>-1.3989441701018673E-3</v>
      </c>
      <c r="P289" s="9"/>
      <c r="Q289" s="7">
        <v>1565.06</v>
      </c>
      <c r="R289" s="8">
        <f>IFERROR(Q289/Q444, "NA")</f>
        <v>1.2308523967823747E-3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-1565.06</v>
      </c>
      <c r="X289" s="8">
        <f>IFERROR(W289/W444, "NA")</f>
        <v>-1.3324003766674884E-2</v>
      </c>
      <c r="Y289" s="9"/>
      <c r="Z289" s="7">
        <v>1507.42</v>
      </c>
      <c r="AA289" s="8">
        <f>IFERROR(Z289/Z444, "NA")</f>
        <v>1.4497579924951736E-3</v>
      </c>
      <c r="AB289" s="9"/>
      <c r="AC289" s="10">
        <f t="shared" si="75"/>
        <v>-57.639999999999873</v>
      </c>
      <c r="AD289" s="8">
        <f>IFERROR(AC289/AC444, "NA")</f>
        <v>-2.4871436807456744E-4</v>
      </c>
    </row>
    <row r="290" spans="1:30" ht="16.5" customHeight="1" x14ac:dyDescent="0.45">
      <c r="A290" s="6" t="s">
        <v>263</v>
      </c>
      <c r="B290" s="7">
        <v>750</v>
      </c>
      <c r="C290" s="8">
        <f>IFERROR(B290/B444, "NA")</f>
        <v>4.8829704971573625E-3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-750</v>
      </c>
      <c r="I290" s="8">
        <f>IFERROR(H290/H444, "NA")</f>
        <v>0.82675602980730756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-750</v>
      </c>
      <c r="O290" s="8">
        <f>IFERROR(N290/N444, "NA")</f>
        <v>-5.7084228921458147E-2</v>
      </c>
      <c r="P290" s="9"/>
      <c r="Q290" s="7">
        <v>7575.04</v>
      </c>
      <c r="R290" s="8">
        <f>IFERROR(Q290/Q444, "NA")</f>
        <v>5.9574432543943101E-3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-7575.04</v>
      </c>
      <c r="X290" s="8">
        <f>IFERROR(W290/W444, "NA")</f>
        <v>-6.4489451837445796E-2</v>
      </c>
      <c r="Y290" s="9"/>
      <c r="Z290" s="7">
        <v>872.14</v>
      </c>
      <c r="AA290" s="8">
        <f>IFERROR(Z290/Z444, "NA")</f>
        <v>8.3877879792940298E-4</v>
      </c>
      <c r="AB290" s="9"/>
      <c r="AC290" s="10">
        <f t="shared" si="75"/>
        <v>-6702.9</v>
      </c>
      <c r="AD290" s="8">
        <f>IFERROR(AC290/AC444, "NA")</f>
        <v>-2.8922753951544446E-2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2008.53</v>
      </c>
      <c r="F291" s="8">
        <f>IFERROR(E291/E444, "NA")</f>
        <v>1.3000009902772251E-2</v>
      </c>
      <c r="G291" s="9"/>
      <c r="H291" s="10">
        <f t="shared" si="72"/>
        <v>2008.53</v>
      </c>
      <c r="I291" s="8">
        <f>IFERROR(H291/H444, "NA")</f>
        <v>-2.2140857180651619</v>
      </c>
      <c r="J291" s="9"/>
      <c r="K291" s="7">
        <v>1232.26</v>
      </c>
      <c r="L291" s="8">
        <f>IFERROR(K291/K444, "NA")</f>
        <v>8.7732469578670428E-3</v>
      </c>
      <c r="M291" s="9"/>
      <c r="N291" s="10">
        <f t="shared" si="73"/>
        <v>1232.26</v>
      </c>
      <c r="O291" s="8">
        <f>IFERROR(N291/N444, "NA")</f>
        <v>9.3790149241008022E-2</v>
      </c>
      <c r="P291" s="9"/>
      <c r="Q291" s="7">
        <v>9426.99</v>
      </c>
      <c r="R291" s="8">
        <f>IFERROR(Q291/Q444, "NA")</f>
        <v>7.4139223007063486E-3</v>
      </c>
      <c r="S291" s="9"/>
      <c r="T291" s="7">
        <v>15002.82</v>
      </c>
      <c r="U291" s="8">
        <f>IFERROR(T291/T444, "NA")</f>
        <v>1.2999993657195544E-2</v>
      </c>
      <c r="V291" s="9"/>
      <c r="W291" s="10">
        <f t="shared" si="74"/>
        <v>5575.83</v>
      </c>
      <c r="X291" s="8">
        <f>IFERROR(W291/W444, "NA")</f>
        <v>4.7469349368291835E-2</v>
      </c>
      <c r="Y291" s="9"/>
      <c r="Z291" s="7">
        <v>6106.98</v>
      </c>
      <c r="AA291" s="8">
        <f>IFERROR(Z291/Z444, "NA")</f>
        <v>5.8733750812701001E-3</v>
      </c>
      <c r="AB291" s="9"/>
      <c r="AC291" s="10">
        <f t="shared" si="75"/>
        <v>-3320.01</v>
      </c>
      <c r="AD291" s="8">
        <f>IFERROR(AC291/AC444, "NA")</f>
        <v>-1.4325714593186097E-2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375</v>
      </c>
      <c r="L292" s="8">
        <f>IFERROR(K292/K444, "NA")</f>
        <v>2.6698648087255454E-3</v>
      </c>
      <c r="M292" s="9"/>
      <c r="N292" s="10">
        <f t="shared" si="73"/>
        <v>375</v>
      </c>
      <c r="O292" s="8">
        <f>IFERROR(N292/N444, "NA")</f>
        <v>2.8542114460729073E-2</v>
      </c>
      <c r="P292" s="9"/>
      <c r="Q292" s="7">
        <v>681.63</v>
      </c>
      <c r="R292" s="8">
        <f>IFERROR(Q292/Q444, "NA")</f>
        <v>5.360726868099434E-4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-5.8029984073956278E-3</v>
      </c>
      <c r="Y292" s="9"/>
      <c r="Z292" s="7">
        <v>1338.98</v>
      </c>
      <c r="AA292" s="8">
        <f>IFERROR(Z292/Z444, "NA")</f>
        <v>1.2877611792275459E-3</v>
      </c>
      <c r="AB292" s="9"/>
      <c r="AC292" s="10">
        <f t="shared" si="75"/>
        <v>657.35</v>
      </c>
      <c r="AD292" s="8">
        <f>IFERROR(AC292/AC444, "NA")</f>
        <v>2.8364397962147344E-3</v>
      </c>
    </row>
    <row r="293" spans="1:30" ht="16.5" customHeight="1" x14ac:dyDescent="0.45">
      <c r="A293" s="6" t="s">
        <v>266</v>
      </c>
      <c r="B293" s="7">
        <v>204.96</v>
      </c>
      <c r="C293" s="8">
        <f>IFERROR(B293/B444, "NA")</f>
        <v>1.3344181774631641E-3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-204.96</v>
      </c>
      <c r="I293" s="8">
        <f>IFERROR(H293/H444, "NA")</f>
        <v>0.22593588782574101</v>
      </c>
      <c r="J293" s="9"/>
      <c r="K293" s="7">
        <v>3125.98</v>
      </c>
      <c r="L293" s="8">
        <f>IFERROR(K293/K444, "NA")</f>
        <v>2.2255850652746351E-2</v>
      </c>
      <c r="M293" s="9"/>
      <c r="N293" s="10">
        <f t="shared" si="73"/>
        <v>2921.02</v>
      </c>
      <c r="O293" s="8">
        <f>IFERROR(N293/N444, "NA")</f>
        <v>0.22232556581887689</v>
      </c>
      <c r="P293" s="9"/>
      <c r="Q293" s="7">
        <v>1740.55</v>
      </c>
      <c r="R293" s="8">
        <f>IFERROR(Q293/Q444, "NA")</f>
        <v>1.3688677362015272E-3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-1740.55</v>
      </c>
      <c r="X293" s="8">
        <f>IFERROR(W293/W444, "NA")</f>
        <v>-1.4818022795347123E-2</v>
      </c>
      <c r="Y293" s="9"/>
      <c r="Z293" s="7">
        <v>5272.29</v>
      </c>
      <c r="AA293" s="8">
        <f>IFERROR(Z293/Z444, "NA")</f>
        <v>5.0706137415268328E-3</v>
      </c>
      <c r="AB293" s="9"/>
      <c r="AC293" s="10">
        <f t="shared" si="75"/>
        <v>3531.74</v>
      </c>
      <c r="AD293" s="8">
        <f>IFERROR(AC293/AC444, "NA")</f>
        <v>1.5239321344616148E-2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2.1158887758282283E-3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0.35824992283610252</v>
      </c>
      <c r="J294" s="9"/>
      <c r="K294" s="7">
        <v>-1946</v>
      </c>
      <c r="L294" s="8">
        <f>IFERROR(K294/K444, "NA")</f>
        <v>-1.3854818447413098E-2</v>
      </c>
      <c r="M294" s="9"/>
      <c r="N294" s="10">
        <f t="shared" si="73"/>
        <v>-2270.9899999999998</v>
      </c>
      <c r="O294" s="8">
        <f>IFERROR(N294/N444, "NA")</f>
        <v>-0.17285028405112296</v>
      </c>
      <c r="P294" s="9"/>
      <c r="Q294" s="7">
        <v>2488.96</v>
      </c>
      <c r="R294" s="8">
        <f>IFERROR(Q294/Q444, "NA")</f>
        <v>1.95746002165761E-3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-2488.96</v>
      </c>
      <c r="X294" s="8">
        <f>IFERROR(W294/W444, "NA")</f>
        <v>-2.118954699187451E-2</v>
      </c>
      <c r="Y294" s="9"/>
      <c r="Z294" s="7">
        <v>-482</v>
      </c>
      <c r="AA294" s="8">
        <f>IFERROR(Z294/Z444, "NA")</f>
        <v>-4.6356247919138237E-4</v>
      </c>
      <c r="AB294" s="9"/>
      <c r="AC294" s="10">
        <f t="shared" si="75"/>
        <v>-2970.96</v>
      </c>
      <c r="AD294" s="8">
        <f>IFERROR(AC294/AC444, "NA")</f>
        <v>-1.2819577359035715E-2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1653.5800000000002</v>
      </c>
      <c r="C295" s="15">
        <f>IFERROR(B295/B444, "NA")</f>
        <v>1.0765843139585963E-2</v>
      </c>
      <c r="D295" s="2"/>
      <c r="E295" s="14">
        <f>IFERROR(E286+E287+E288+E289+E290+E291+E292+E293+E294, "NA")</f>
        <v>2373.5299999999997</v>
      </c>
      <c r="F295" s="15">
        <f>IFERROR(E295/E444, "NA")</f>
        <v>1.5362435962881818E-2</v>
      </c>
      <c r="G295" s="2"/>
      <c r="H295" s="14">
        <f t="shared" si="72"/>
        <v>719.94999999999959</v>
      </c>
      <c r="I295" s="15">
        <f>IFERROR(H295/H444, "NA")</f>
        <v>-0.79363067154636102</v>
      </c>
      <c r="J295" s="2"/>
      <c r="K295" s="14">
        <f>IFERROR(K286+K287+K288+K289+K290+K291+K292+K293+K294, "NA")</f>
        <v>3142.49</v>
      </c>
      <c r="L295" s="15">
        <f>IFERROR(K295/K444, "NA")</f>
        <v>2.2373395900725172E-2</v>
      </c>
      <c r="M295" s="2"/>
      <c r="N295" s="14">
        <f t="shared" si="73"/>
        <v>1488.9099999999996</v>
      </c>
      <c r="O295" s="15">
        <f>IFERROR(N295/N444, "NA")</f>
        <v>0.11332437237793097</v>
      </c>
      <c r="P295" s="2"/>
      <c r="Q295" s="14">
        <f>IFERROR(Q286+Q287+Q288+Q289+Q290+Q291+Q292+Q293+Q294, "NA")</f>
        <v>24497.379999999997</v>
      </c>
      <c r="R295" s="15">
        <f>IFERROR(Q295/Q444, "NA")</f>
        <v>1.9266136050942843E-2</v>
      </c>
      <c r="S295" s="2"/>
      <c r="T295" s="14">
        <f>IFERROR(T286+T287+T288+T289+T290+T291+T292+T293+T294, "NA")</f>
        <v>17557.82</v>
      </c>
      <c r="U295" s="15">
        <f>IFERROR(T295/T444, "NA")</f>
        <v>1.5213909693922946E-2</v>
      </c>
      <c r="V295" s="2"/>
      <c r="W295" s="14">
        <f t="shared" si="74"/>
        <v>-6939.5599999999977</v>
      </c>
      <c r="X295" s="15">
        <f>IFERROR(W295/W444, "NA")</f>
        <v>-5.9079347487678638E-2</v>
      </c>
      <c r="Y295" s="2"/>
      <c r="Z295" s="14">
        <f>IFERROR(Z286+Z287+Z288+Z289+Z290+Z291+Z292+Z293+Z294, "NA")</f>
        <v>15634.96</v>
      </c>
      <c r="AA295" s="15">
        <f>IFERROR(Z295/Z444, "NA")</f>
        <v>1.5036889667340446E-2</v>
      </c>
      <c r="AB295" s="2"/>
      <c r="AC295" s="14">
        <f t="shared" si="75"/>
        <v>-8862.4199999999983</v>
      </c>
      <c r="AD295" s="15">
        <f>IFERROR(AC295/AC444, "NA")</f>
        <v>-3.8240999131009937E-2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2008.53</v>
      </c>
      <c r="F297" s="8">
        <f>IFERROR(E297/E444, "NA")</f>
        <v>1.3000009902772251E-2</v>
      </c>
      <c r="G297" s="9"/>
      <c r="H297" s="10">
        <f t="shared" ref="H297:H325" si="76">IFERROR(-(B297-E297), "NA")</f>
        <v>2008.53</v>
      </c>
      <c r="I297" s="8">
        <f>IFERROR(H297/H444, "NA")</f>
        <v>-2.2140857180651619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15002.82</v>
      </c>
      <c r="U297" s="8">
        <f>IFERROR(T297/T444, "NA")</f>
        <v>1.2999993657195544E-2</v>
      </c>
      <c r="V297" s="9"/>
      <c r="W297" s="10">
        <f t="shared" ref="W297:W325" si="78">IFERROR(-(Q297-T297), "NA")</f>
        <v>15002.82</v>
      </c>
      <c r="X297" s="8">
        <f>IFERROR(W297/W444, "NA")</f>
        <v>0.12772521832437433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2534.14</v>
      </c>
      <c r="C299" s="8">
        <f>IFERROR(B299/B444, "NA")</f>
        <v>1.6498841140888478E-2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-2534.14</v>
      </c>
      <c r="I299" s="8">
        <f>IFERROR(H299/H444, "NA")</f>
        <v>2.7934873671678537</v>
      </c>
      <c r="J299" s="9"/>
      <c r="K299" s="7">
        <v>1074.72</v>
      </c>
      <c r="L299" s="8">
        <f>IFERROR(K299/K444, "NA")</f>
        <v>7.6516189526227157E-3</v>
      </c>
      <c r="M299" s="9"/>
      <c r="N299" s="10">
        <f t="shared" si="77"/>
        <v>-1459.4199999999998</v>
      </c>
      <c r="O299" s="8">
        <f>IFERROR(N299/N444, "NA")</f>
        <v>-0.11107982049673924</v>
      </c>
      <c r="P299" s="9"/>
      <c r="Q299" s="7">
        <v>7376.83</v>
      </c>
      <c r="R299" s="8">
        <f>IFERROR(Q299/Q444, "NA")</f>
        <v>5.8015596118718288E-3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-7376.83</v>
      </c>
      <c r="X299" s="8">
        <f>IFERROR(W299/W444, "NA")</f>
        <v>-6.2802008041941068E-2</v>
      </c>
      <c r="Y299" s="9"/>
      <c r="Z299" s="7">
        <v>3167.34</v>
      </c>
      <c r="AA299" s="8">
        <f>IFERROR(Z299/Z444, "NA")</f>
        <v>3.0461825370166661E-3</v>
      </c>
      <c r="AB299" s="9"/>
      <c r="AC299" s="10">
        <f t="shared" si="79"/>
        <v>-4209.49</v>
      </c>
      <c r="AD299" s="8">
        <f>IFERROR(AC299/AC444, "NA")</f>
        <v>-1.8163786350905851E-2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600</v>
      </c>
      <c r="C310" s="8">
        <f>IFERROR(B310/B444, "NA")</f>
        <v>3.90637639772589E-3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-600</v>
      </c>
      <c r="I310" s="8">
        <f>IFERROR(H310/H444, "NA")</f>
        <v>0.66140482384584609</v>
      </c>
      <c r="J310" s="9"/>
      <c r="K310" s="7">
        <v>78.5</v>
      </c>
      <c r="L310" s="8">
        <f>IFERROR(K310/K444, "NA")</f>
        <v>5.5889169995988091E-4</v>
      </c>
      <c r="M310" s="9"/>
      <c r="N310" s="10">
        <f t="shared" si="77"/>
        <v>-521.5</v>
      </c>
      <c r="O310" s="8">
        <f>IFERROR(N310/N444, "NA")</f>
        <v>-3.969256717672056E-2</v>
      </c>
      <c r="P310" s="9"/>
      <c r="Q310" s="7">
        <v>1126.8900000000001</v>
      </c>
      <c r="R310" s="8">
        <f>IFERROR(Q310/Q444, "NA")</f>
        <v>8.8625053187104026E-4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-1126.8900000000001</v>
      </c>
      <c r="X310" s="8">
        <f>IFERROR(W310/W444, "NA")</f>
        <v>-9.5936811397826678E-3</v>
      </c>
      <c r="Y310" s="9"/>
      <c r="Z310" s="7">
        <v>301.43</v>
      </c>
      <c r="AA310" s="8">
        <f>IFERROR(Z310/Z444, "NA")</f>
        <v>2.8989966411339913E-4</v>
      </c>
      <c r="AB310" s="9"/>
      <c r="AC310" s="10">
        <f t="shared" si="79"/>
        <v>-825.46</v>
      </c>
      <c r="AD310" s="8">
        <f>IFERROR(AC310/AC444, "NA")</f>
        <v>-3.5618279366903698E-3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2.1021995684505945E-5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-2.2756355710529927E-4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-1.1533891496587791E-4</v>
      </c>
    </row>
    <row r="312" spans="1:30" ht="16.5" customHeight="1" x14ac:dyDescent="0.45">
      <c r="A312" s="6" t="s">
        <v>284</v>
      </c>
      <c r="B312" s="7">
        <v>503.47</v>
      </c>
      <c r="C312" s="8">
        <f>IFERROR(B312/B444, "NA")</f>
        <v>3.27790554160509E-3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-503.47</v>
      </c>
      <c r="I312" s="8">
        <f>IFERROR(H312/H444, "NA")</f>
        <v>0.55499581110278018</v>
      </c>
      <c r="J312" s="9"/>
      <c r="K312" s="7">
        <v>204.6</v>
      </c>
      <c r="L312" s="8">
        <f>IFERROR(K312/K444, "NA")</f>
        <v>1.4566782396406577E-3</v>
      </c>
      <c r="M312" s="9"/>
      <c r="N312" s="10">
        <f t="shared" si="77"/>
        <v>-298.87</v>
      </c>
      <c r="O312" s="8">
        <f>IFERROR(N312/N444, "NA")</f>
        <v>-2.2747684663674928E-2</v>
      </c>
      <c r="P312" s="9"/>
      <c r="Q312" s="7">
        <v>3497.44</v>
      </c>
      <c r="R312" s="8">
        <f>IFERROR(Q312/Q444, "NA")</f>
        <v>2.7505861798286001E-3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-3497.44</v>
      </c>
      <c r="X312" s="8">
        <f>IFERROR(W312/W444, "NA")</f>
        <v>-2.9775154775995433E-2</v>
      </c>
      <c r="Y312" s="9"/>
      <c r="Z312" s="7">
        <v>2249.6799999999998</v>
      </c>
      <c r="AA312" s="8">
        <f>IFERROR(Z312/Z444, "NA")</f>
        <v>2.1636249754922593E-3</v>
      </c>
      <c r="AB312" s="9"/>
      <c r="AC312" s="10">
        <f t="shared" si="79"/>
        <v>-1247.7600000000002</v>
      </c>
      <c r="AD312" s="8">
        <f>IFERROR(AC312/AC444, "NA")</f>
        <v>-5.3840360844677835E-3</v>
      </c>
    </row>
    <row r="313" spans="1:30" ht="16.5" customHeight="1" x14ac:dyDescent="0.45">
      <c r="A313" s="6" t="s">
        <v>285</v>
      </c>
      <c r="B313" s="7">
        <v>268</v>
      </c>
      <c r="C313" s="8">
        <f>IFERROR(B313/B444, "NA")</f>
        <v>1.7448481243175643E-3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-268</v>
      </c>
      <c r="I313" s="8">
        <f>IFERROR(H313/H444, "NA")</f>
        <v>0.29542748798447788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-268</v>
      </c>
      <c r="O313" s="8">
        <f>IFERROR(N313/N444, "NA")</f>
        <v>-2.0398097801267709E-2</v>
      </c>
      <c r="P313" s="9"/>
      <c r="Q313" s="7">
        <v>2028.6</v>
      </c>
      <c r="R313" s="8">
        <f>IFERROR(Q313/Q444, "NA")</f>
        <v>1.5954066758544242E-3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-2028.6</v>
      </c>
      <c r="X313" s="8">
        <f>IFERROR(W313/W444, "NA")</f>
        <v>-1.7270311707587357E-2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-2028.6</v>
      </c>
      <c r="AD313" s="8">
        <f>IFERROR(AC313/AC444, "NA")</f>
        <v>-8.7533304489255497E-3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4.4853733141258382E-3</v>
      </c>
      <c r="G318" s="9"/>
      <c r="H318" s="10">
        <f t="shared" si="76"/>
        <v>693</v>
      </c>
      <c r="I318" s="8">
        <f>IFERROR(H318/H444, "NA")</f>
        <v>-0.7639225715419522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4851</v>
      </c>
      <c r="U318" s="8">
        <f>IFERROR(T318/T444, "NA")</f>
        <v>4.2034077080879183E-3</v>
      </c>
      <c r="V318" s="9"/>
      <c r="W318" s="10">
        <f t="shared" si="78"/>
        <v>4851</v>
      </c>
      <c r="X318" s="8">
        <f>IFERROR(W318/W444, "NA")</f>
        <v>4.1298571474665424E-2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310.66000000000003</v>
      </c>
      <c r="C319" s="8">
        <f>IFERROR(B319/B444, "NA")</f>
        <v>2.022591486195875E-3</v>
      </c>
      <c r="D319" s="9"/>
      <c r="E319" s="7">
        <v>294</v>
      </c>
      <c r="F319" s="8">
        <f>IFERROR(E319/E444, "NA")</f>
        <v>1.9028856484170223E-3</v>
      </c>
      <c r="G319" s="9"/>
      <c r="H319" s="10">
        <f t="shared" si="76"/>
        <v>-16.660000000000025</v>
      </c>
      <c r="I319" s="8">
        <f>IFERROR(H319/H444, "NA")</f>
        <v>1.8365007275453021E-2</v>
      </c>
      <c r="J319" s="9"/>
      <c r="K319" s="7">
        <v>293.61</v>
      </c>
      <c r="L319" s="8">
        <f>IFERROR(K319/K444, "NA")</f>
        <v>2.0903973506397533E-3</v>
      </c>
      <c r="M319" s="9"/>
      <c r="N319" s="10">
        <f t="shared" si="77"/>
        <v>-17.050000000000011</v>
      </c>
      <c r="O319" s="8">
        <f>IFERROR(N319/N444, "NA")</f>
        <v>-1.297714804147816E-3</v>
      </c>
      <c r="P319" s="9"/>
      <c r="Q319" s="7">
        <v>2197.7199999999998</v>
      </c>
      <c r="R319" s="8">
        <f>IFERROR(Q319/Q444, "NA")</f>
        <v>1.7284122841658212E-3</v>
      </c>
      <c r="S319" s="9"/>
      <c r="T319" s="7">
        <v>2058</v>
      </c>
      <c r="U319" s="8">
        <f>IFERROR(T319/T444, "NA")</f>
        <v>1.7832638761585108E-3</v>
      </c>
      <c r="V319" s="9"/>
      <c r="W319" s="10">
        <f t="shared" si="78"/>
        <v>-139.7199999999998</v>
      </c>
      <c r="X319" s="8">
        <f>IFERROR(W319/W444, "NA")</f>
        <v>-1.1894942087075334E-3</v>
      </c>
      <c r="Y319" s="9"/>
      <c r="Z319" s="7">
        <v>2013.06</v>
      </c>
      <c r="AA319" s="8">
        <f>IFERROR(Z319/Z444, "NA")</f>
        <v>1.9360561916203405E-3</v>
      </c>
      <c r="AB319" s="9"/>
      <c r="AC319" s="10">
        <f t="shared" si="79"/>
        <v>-184.65999999999985</v>
      </c>
      <c r="AD319" s="8">
        <f>IFERROR(AC319/AC444, "NA")</f>
        <v>-7.9680074962959219E-4</v>
      </c>
    </row>
    <row r="320" spans="1:30" ht="16.5" customHeight="1" x14ac:dyDescent="0.45">
      <c r="A320" s="6" t="s">
        <v>292</v>
      </c>
      <c r="B320" s="7">
        <v>1090.98</v>
      </c>
      <c r="C320" s="8">
        <f>IFERROR(B320/B444, "NA")</f>
        <v>7.1029642039849858E-3</v>
      </c>
      <c r="D320" s="9"/>
      <c r="E320" s="7">
        <v>833</v>
      </c>
      <c r="F320" s="8">
        <f>IFERROR(E320/E444, "NA")</f>
        <v>5.3915093371815631E-3</v>
      </c>
      <c r="G320" s="9"/>
      <c r="H320" s="10">
        <f t="shared" si="76"/>
        <v>-257.98</v>
      </c>
      <c r="I320" s="8">
        <f>IFERROR(H320/H444, "NA")</f>
        <v>0.28438202742625229</v>
      </c>
      <c r="J320" s="9"/>
      <c r="K320" s="7">
        <v>656.9</v>
      </c>
      <c r="L320" s="8">
        <f>IFERROR(K320/K444, "NA")</f>
        <v>4.6768911809381619E-3</v>
      </c>
      <c r="M320" s="9"/>
      <c r="N320" s="10">
        <f t="shared" si="77"/>
        <v>-434.08000000000004</v>
      </c>
      <c r="O320" s="8">
        <f>IFERROR(N320/N444, "NA")</f>
        <v>-3.3038829453635406E-2</v>
      </c>
      <c r="P320" s="9"/>
      <c r="Q320" s="7">
        <v>7448.63</v>
      </c>
      <c r="R320" s="8">
        <f>IFERROR(Q320/Q444, "NA")</f>
        <v>5.8580272246719616E-3</v>
      </c>
      <c r="S320" s="9"/>
      <c r="T320" s="7">
        <v>5831</v>
      </c>
      <c r="U320" s="8">
        <f>IFERROR(T320/T444, "NA")</f>
        <v>5.0525809824491143E-3</v>
      </c>
      <c r="V320" s="9"/>
      <c r="W320" s="10">
        <f t="shared" si="78"/>
        <v>-1617.63</v>
      </c>
      <c r="X320" s="8">
        <f>IFERROR(W320/W444, "NA")</f>
        <v>-1.3771553942396007E-2</v>
      </c>
      <c r="Y320" s="9"/>
      <c r="Z320" s="7">
        <v>5424.64</v>
      </c>
      <c r="AA320" s="8">
        <f>IFERROR(Z320/Z444, "NA")</f>
        <v>5.2171360313708311E-3</v>
      </c>
      <c r="AB320" s="9"/>
      <c r="AC320" s="10">
        <f t="shared" si="79"/>
        <v>-2023.9899999999998</v>
      </c>
      <c r="AD320" s="8">
        <f>IFERROR(AC320/AC444, "NA")</f>
        <v>-8.733438477433117E-3</v>
      </c>
    </row>
    <row r="321" spans="1:30" ht="16.5" customHeight="1" x14ac:dyDescent="0.45">
      <c r="A321" s="6" t="s">
        <v>293</v>
      </c>
      <c r="B321" s="7">
        <v>1877.96</v>
      </c>
      <c r="C321" s="8">
        <f>IFERROR(B321/B444, "NA")</f>
        <v>1.2226697699788854E-2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-1877.96</v>
      </c>
      <c r="I321" s="8">
        <f>IFERROR(H321/H444, "NA")</f>
        <v>2.0701530049825752</v>
      </c>
      <c r="J321" s="9"/>
      <c r="K321" s="7">
        <v>2870.12</v>
      </c>
      <c r="L321" s="8">
        <f>IFERROR(K321/K444, "NA")</f>
        <v>2.0434219692851634E-2</v>
      </c>
      <c r="M321" s="9"/>
      <c r="N321" s="10">
        <f t="shared" si="77"/>
        <v>992.15999999999985</v>
      </c>
      <c r="O321" s="8">
        <f>IFERROR(N321/N444, "NA")</f>
        <v>7.5515584755618537E-2</v>
      </c>
      <c r="P321" s="9"/>
      <c r="Q321" s="7">
        <v>16218.26</v>
      </c>
      <c r="R321" s="8">
        <f>IFERROR(Q321/Q444, "NA")</f>
        <v>1.2754964150026016E-2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-16218.26</v>
      </c>
      <c r="X321" s="8">
        <f>IFERROR(W321/W444, "NA")</f>
        <v>-0.13807276227678977</v>
      </c>
      <c r="Y321" s="9"/>
      <c r="Z321" s="7">
        <v>13173.27</v>
      </c>
      <c r="AA321" s="8">
        <f>IFERROR(Z321/Z444, "NA")</f>
        <v>1.2669364523355729E-2</v>
      </c>
      <c r="AB321" s="9"/>
      <c r="AC321" s="10">
        <f t="shared" si="79"/>
        <v>-3044.99</v>
      </c>
      <c r="AD321" s="8">
        <f>IFERROR(AC321/AC444, "NA")</f>
        <v>-1.313901394245973E-2</v>
      </c>
    </row>
    <row r="322" spans="1:30" ht="16.5" customHeight="1" x14ac:dyDescent="0.45">
      <c r="A322" s="6" t="s">
        <v>294</v>
      </c>
      <c r="B322" s="7">
        <v>187.43</v>
      </c>
      <c r="C322" s="8">
        <f>IFERROR(B322/B444, "NA")</f>
        <v>1.2202868803762726E-3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-187.43</v>
      </c>
      <c r="I322" s="8">
        <f>IFERROR(H322/H444, "NA")</f>
        <v>0.20661184355571155</v>
      </c>
      <c r="J322" s="9"/>
      <c r="K322" s="7">
        <v>508.5</v>
      </c>
      <c r="L322" s="8">
        <f>IFERROR(K322/K444, "NA")</f>
        <v>3.62033668063184E-3</v>
      </c>
      <c r="M322" s="9"/>
      <c r="N322" s="10">
        <f t="shared" si="77"/>
        <v>321.07</v>
      </c>
      <c r="O322" s="8">
        <f>IFERROR(N322/N444, "NA")</f>
        <v>2.4437377839750089E-2</v>
      </c>
      <c r="P322" s="9"/>
      <c r="Q322" s="7">
        <v>1344.8</v>
      </c>
      <c r="R322" s="8">
        <f>IFERROR(Q322/Q444, "NA")</f>
        <v>1.0576273773484322E-3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-1344.8</v>
      </c>
      <c r="X322" s="8">
        <f>IFERROR(W322/W444, "NA")</f>
        <v>-1.1448839191739859E-2</v>
      </c>
      <c r="Y322" s="9"/>
      <c r="Z322" s="7">
        <v>1521.21</v>
      </c>
      <c r="AA322" s="8">
        <f>IFERROR(Z322/Z444, "NA")</f>
        <v>1.4630204957898814E-3</v>
      </c>
      <c r="AB322" s="9"/>
      <c r="AC322" s="10">
        <f t="shared" si="79"/>
        <v>176.41000000000008</v>
      </c>
      <c r="AD322" s="8">
        <f>IFERROR(AC322/AC444, "NA")</f>
        <v>7.6120231908456909E-4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-3.0093091232154262E-5</v>
      </c>
      <c r="AB323" s="9"/>
      <c r="AC323" s="10">
        <f t="shared" si="79"/>
        <v>-31.29</v>
      </c>
      <c r="AD323" s="8">
        <f>IFERROR(AC323/AC444, "NA")</f>
        <v>-1.3501513839440029E-4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7372.64</v>
      </c>
      <c r="C324" s="15">
        <f>IFERROR(B324/B444, "NA")</f>
        <v>4.8000511474883011E-2</v>
      </c>
      <c r="D324" s="2"/>
      <c r="E324" s="14">
        <f>IFERROR(E297+E298+E299+E300+E301+E302+E303+E304+E305+E306+E307+E308+E309+E310+E311+E312+E313+E314+E315+E316+E317+E318+E319+E320+E321+E322+E323, "NA")</f>
        <v>3828.5299999999997</v>
      </c>
      <c r="F324" s="15">
        <f>IFERROR(E324/E444, "NA")</f>
        <v>2.4779778202496675E-2</v>
      </c>
      <c r="G324" s="2"/>
      <c r="H324" s="14">
        <f t="shared" si="76"/>
        <v>-3544.1100000000006</v>
      </c>
      <c r="I324" s="15">
        <f>IFERROR(H324/H444, "NA")</f>
        <v>3.9068190837338364</v>
      </c>
      <c r="J324" s="2"/>
      <c r="K324" s="14">
        <f>IFERROR(K297+K298+K299+K300+K301+K302+K303+K304+K305+K306+K307+K308+K309+K310+K311+K312+K313+K314+K315+K316+K317+K318+K319+K320+K321+K322+K323, "NA")</f>
        <v>5686.95</v>
      </c>
      <c r="L324" s="15">
        <f>IFERROR(K324/K444, "NA")</f>
        <v>4.0489033797284642E-2</v>
      </c>
      <c r="M324" s="2"/>
      <c r="N324" s="14">
        <f t="shared" si="77"/>
        <v>-1685.6900000000005</v>
      </c>
      <c r="O324" s="15">
        <f>IFERROR(N324/N444, "NA")</f>
        <v>-0.12830175180081707</v>
      </c>
      <c r="P324" s="2"/>
      <c r="Q324" s="14">
        <f>IFERROR(Q297+Q298+Q299+Q300+Q301+Q302+Q303+Q304+Q305+Q306+Q307+Q308+Q309+Q310+Q311+Q312+Q313+Q314+Q315+Q316+Q317+Q318+Q319+Q320+Q321+Q322+Q323, "NA")</f>
        <v>41265.9</v>
      </c>
      <c r="R324" s="15">
        <f>IFERROR(Q324/Q444, "NA")</f>
        <v>3.2453856031322628E-2</v>
      </c>
      <c r="S324" s="2"/>
      <c r="T324" s="14">
        <f>IFERROR(T297+T298+T299+T300+T301+T302+T303+T304+T305+T306+T307+T308+T309+T310+T311+T312+T313+T314+T315+T316+T317+T318+T319+T320+T321+T322+T323, "NA")</f>
        <v>27742.82</v>
      </c>
      <c r="U324" s="15">
        <f>IFERROR(T324/T444, "NA")</f>
        <v>2.4039246223891086E-2</v>
      </c>
      <c r="V324" s="2"/>
      <c r="W324" s="14">
        <f t="shared" si="78"/>
        <v>-13523.080000000002</v>
      </c>
      <c r="X324" s="15">
        <f>IFERROR(W324/W444, "NA")</f>
        <v>-0.11512757904300527</v>
      </c>
      <c r="Y324" s="2"/>
      <c r="Z324" s="14">
        <f>IFERROR(Z297+Z298+Z299+Z300+Z301+Z302+Z303+Z304+Z305+Z306+Z307+Z308+Z309+Z310+Z311+Z312+Z313+Z314+Z315+Z316+Z317+Z318+Z319+Z320+Z321+Z322+Z323, "NA")</f>
        <v>27819.34</v>
      </c>
      <c r="AA324" s="15">
        <f>IFERROR(Z324/Z444, "NA")</f>
        <v>2.6755191327526951E-2</v>
      </c>
      <c r="AB324" s="2"/>
      <c r="AC324" s="14">
        <f t="shared" si="79"/>
        <v>-13446.560000000001</v>
      </c>
      <c r="AD324" s="15">
        <f>IFERROR(AC324/AC444, "NA")</f>
        <v>-5.8021385724787711E-2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40983.920000000006</v>
      </c>
      <c r="C325" s="15">
        <f>IFERROR(B325/B444, "NA")</f>
        <v>0.26683102962381011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39577.399999999994</v>
      </c>
      <c r="F325" s="15">
        <f>IFERROR(E325/E444, "NA")</f>
        <v>0.25616077027775458</v>
      </c>
      <c r="G325" s="2"/>
      <c r="H325" s="14">
        <f t="shared" si="76"/>
        <v>-1406.5200000000114</v>
      </c>
      <c r="I325" s="15">
        <f>IFERROR(H325/H444, "NA")</f>
        <v>1.5504651880594449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37219.470000000008</v>
      </c>
      <c r="L325" s="15">
        <f>IFERROR(K325/K444, "NA")</f>
        <v>0.26498920840644319</v>
      </c>
      <c r="M325" s="2"/>
      <c r="N325" s="14">
        <f t="shared" si="77"/>
        <v>-3764.4499999999971</v>
      </c>
      <c r="O325" s="15">
        <f>IFERROR(N325/N444, "NA")</f>
        <v>-0.28652096741784394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341036.49</v>
      </c>
      <c r="R325" s="15">
        <f>IFERROR(Q325/Q444, "NA")</f>
        <v>0.2682105357665191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295738.90000000002</v>
      </c>
      <c r="U325" s="15">
        <f>IFERROR(T325/T444, "NA")</f>
        <v>0.25625874496834511</v>
      </c>
      <c r="V325" s="2"/>
      <c r="W325" s="14">
        <f t="shared" si="78"/>
        <v>-45297.589999999967</v>
      </c>
      <c r="X325" s="15">
        <f>IFERROR(W325/W444, "NA")</f>
        <v>-0.38563713837251873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236529.8</v>
      </c>
      <c r="AA325" s="15">
        <f>IFERROR(Z325/Z444, "NA")</f>
        <v>0.22748203421294985</v>
      </c>
      <c r="AB325" s="2"/>
      <c r="AC325" s="14">
        <f t="shared" si="79"/>
        <v>-104506.69</v>
      </c>
      <c r="AD325" s="15">
        <f>IFERROR(AC325/AC444, "NA")</f>
        <v>-0.45094232066125567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6.5994322863181187E-2</v>
      </c>
      <c r="D329" s="9"/>
      <c r="E329" s="7">
        <v>9355</v>
      </c>
      <c r="F329" s="8">
        <f>IFERROR(E329/E444, "NA")</f>
        <v>6.0549303540616481E-2</v>
      </c>
      <c r="G329" s="9"/>
      <c r="H329" s="10">
        <f t="shared" si="80"/>
        <v>-781.39999999999964</v>
      </c>
      <c r="I329" s="8">
        <f>IFERROR(H329/H444, "NA")</f>
        <v>0.86136954892190642</v>
      </c>
      <c r="J329" s="9"/>
      <c r="K329" s="7">
        <v>9841.17</v>
      </c>
      <c r="L329" s="8">
        <f>IFERROR(K329/K444, "NA")</f>
        <v>7.0065582559161538E-2</v>
      </c>
      <c r="M329" s="9"/>
      <c r="N329" s="10">
        <f t="shared" si="81"/>
        <v>-295.22999999999956</v>
      </c>
      <c r="O329" s="8">
        <f>IFERROR(N329/N444, "NA")</f>
        <v>-2.2470635872642752E-2</v>
      </c>
      <c r="P329" s="9"/>
      <c r="Q329" s="7">
        <v>70954.8</v>
      </c>
      <c r="R329" s="8">
        <f>IFERROR(Q329/Q444, "NA")</f>
        <v>5.5802899341376076E-2</v>
      </c>
      <c r="S329" s="9"/>
      <c r="T329" s="7">
        <v>70169</v>
      </c>
      <c r="U329" s="8">
        <f>IFERROR(T329/T444, "NA")</f>
        <v>6.0801672947602789E-2</v>
      </c>
      <c r="V329" s="9"/>
      <c r="W329" s="10">
        <f t="shared" si="82"/>
        <v>-785.80000000000291</v>
      </c>
      <c r="X329" s="8">
        <f>IFERROR(W329/W444, "NA")</f>
        <v>-6.6898407472257698E-3</v>
      </c>
      <c r="Y329" s="9"/>
      <c r="Z329" s="7">
        <v>68888.19</v>
      </c>
      <c r="AA329" s="8">
        <f>IFERROR(Z329/Z444, "NA")</f>
        <v>6.625307083694397E-2</v>
      </c>
      <c r="AB329" s="9"/>
      <c r="AC329" s="10">
        <f t="shared" si="83"/>
        <v>-2066.6100000000006</v>
      </c>
      <c r="AD329" s="8">
        <f>IFERROR(AC329/AC444, "NA")</f>
        <v>-8.9173421271093543E-3</v>
      </c>
    </row>
    <row r="330" spans="1:30" ht="16.5" customHeight="1" x14ac:dyDescent="0.45">
      <c r="A330" s="6" t="s">
        <v>301</v>
      </c>
      <c r="B330" s="7">
        <v>788.34</v>
      </c>
      <c r="C330" s="8">
        <f>IFERROR(B330/B444, "NA")</f>
        <v>5.1325879489720469E-3</v>
      </c>
      <c r="D330" s="9"/>
      <c r="E330" s="7">
        <v>728</v>
      </c>
      <c r="F330" s="8">
        <f>IFERROR(E330/E444, "NA")</f>
        <v>4.7119073198897696E-3</v>
      </c>
      <c r="G330" s="9"/>
      <c r="H330" s="10">
        <f t="shared" si="80"/>
        <v>-60.340000000000032</v>
      </c>
      <c r="I330" s="8">
        <f>IFERROR(H330/H444, "NA")</f>
        <v>6.6515278451430612E-2</v>
      </c>
      <c r="J330" s="9"/>
      <c r="K330" s="7">
        <v>844.12</v>
      </c>
      <c r="L330" s="8">
        <f>IFERROR(K330/K444, "NA")</f>
        <v>6.0098300862437533E-3</v>
      </c>
      <c r="M330" s="9"/>
      <c r="N330" s="10">
        <f t="shared" si="81"/>
        <v>55.779999999999973</v>
      </c>
      <c r="O330" s="8">
        <f>IFERROR(N330/N444, "NA")</f>
        <v>4.2455443856519118E-3</v>
      </c>
      <c r="P330" s="9"/>
      <c r="Q330" s="7">
        <v>4186.82</v>
      </c>
      <c r="R330" s="8">
        <f>IFERROR(Q330/Q444, "NA")</f>
        <v>3.2927539084101451E-3</v>
      </c>
      <c r="S330" s="9"/>
      <c r="T330" s="7">
        <v>5096</v>
      </c>
      <c r="U330" s="8">
        <f>IFERROR(T330/T444, "NA")</f>
        <v>4.4157010266782171E-3</v>
      </c>
      <c r="V330" s="9"/>
      <c r="W330" s="10">
        <f t="shared" si="82"/>
        <v>909.18000000000029</v>
      </c>
      <c r="X330" s="8">
        <f>IFERROR(W330/W444, "NA")</f>
        <v>7.7402257706321006E-3</v>
      </c>
      <c r="Y330" s="9"/>
      <c r="Z330" s="7">
        <v>5331.49</v>
      </c>
      <c r="AA330" s="8">
        <f>IFERROR(Z330/Z444, "NA")</f>
        <v>5.1275492161495084E-3</v>
      </c>
      <c r="AB330" s="9"/>
      <c r="AC330" s="10">
        <f t="shared" si="83"/>
        <v>1144.67</v>
      </c>
      <c r="AD330" s="8">
        <f>IFERROR(AC330/AC444, "NA")</f>
        <v>4.939206726299719E-3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9.8701110315874155E-5</v>
      </c>
      <c r="D332" s="9"/>
      <c r="E332" s="7">
        <v>15</v>
      </c>
      <c r="F332" s="8">
        <f>IFERROR(E332/E444, "NA")</f>
        <v>9.7086002470256244E-5</v>
      </c>
      <c r="G332" s="9"/>
      <c r="H332" s="10">
        <f t="shared" si="80"/>
        <v>-0.16000000000000014</v>
      </c>
      <c r="I332" s="8">
        <f>IFERROR(H332/H444, "NA")</f>
        <v>1.7637461969222576E-4</v>
      </c>
      <c r="J332" s="9"/>
      <c r="K332" s="7">
        <v>15.16</v>
      </c>
      <c r="L332" s="8">
        <f>IFERROR(K332/K444, "NA")</f>
        <v>1.0793373466741139E-4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1401.36</v>
      </c>
      <c r="R332" s="8">
        <f>IFERROR(Q332/Q444, "NA")</f>
        <v>1.1021093854260849E-3</v>
      </c>
      <c r="S332" s="9"/>
      <c r="T332" s="7">
        <v>105</v>
      </c>
      <c r="U332" s="8">
        <f>IFERROR(T332/T444, "NA")</f>
        <v>9.0982850824413816E-5</v>
      </c>
      <c r="V332" s="9"/>
      <c r="W332" s="10">
        <f t="shared" si="82"/>
        <v>-1296.3599999999999</v>
      </c>
      <c r="X332" s="8">
        <f>IFERROR(W332/W444, "NA")</f>
        <v>-1.1036449415975523E-2</v>
      </c>
      <c r="Y332" s="9"/>
      <c r="Z332" s="7">
        <v>106.12</v>
      </c>
      <c r="AA332" s="8">
        <f>IFERROR(Z332/Z444, "NA")</f>
        <v>1.020606852526753E-4</v>
      </c>
      <c r="AB332" s="9"/>
      <c r="AC332" s="10">
        <f t="shared" si="83"/>
        <v>-1295.2399999999998</v>
      </c>
      <c r="AD332" s="8">
        <f>IFERROR(AC332/AC444, "NA")</f>
        <v>-5.5889104459559925E-3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6.2771562335057329E-3</v>
      </c>
      <c r="D333" s="9"/>
      <c r="E333" s="7">
        <v>728</v>
      </c>
      <c r="F333" s="8">
        <f>IFERROR(E333/E444, "NA")</f>
        <v>4.7119073198897696E-3</v>
      </c>
      <c r="G333" s="9"/>
      <c r="H333" s="10">
        <f t="shared" si="80"/>
        <v>-236.14</v>
      </c>
      <c r="I333" s="8">
        <f>IFERROR(H333/H444, "NA")</f>
        <v>0.26030689183826344</v>
      </c>
      <c r="J333" s="9"/>
      <c r="K333" s="7">
        <v>964.14</v>
      </c>
      <c r="L333" s="8">
        <f>IFERROR(K333/K444, "NA")</f>
        <v>6.8643292178257268E-3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6748.98</v>
      </c>
      <c r="R333" s="8">
        <f>IFERROR(Q333/Q444, "NA")</f>
        <v>5.3077825826717889E-3</v>
      </c>
      <c r="S333" s="9"/>
      <c r="T333" s="7">
        <v>5096</v>
      </c>
      <c r="U333" s="8">
        <f>IFERROR(T333/T444, "NA")</f>
        <v>4.4157010266782171E-3</v>
      </c>
      <c r="V333" s="9"/>
      <c r="W333" s="10">
        <f t="shared" si="82"/>
        <v>-1652.9799999999996</v>
      </c>
      <c r="X333" s="8">
        <f>IFERROR(W333/W444, "NA")</f>
        <v>-1.4072503128466796E-2</v>
      </c>
      <c r="Y333" s="9"/>
      <c r="Z333" s="7">
        <v>6748.98</v>
      </c>
      <c r="AA333" s="8">
        <f>IFERROR(Z333/Z444, "NA")</f>
        <v>6.4908172216038501E-3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-5.0815446307084285E-3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-0.86037744168613806</v>
      </c>
      <c r="J334" s="9"/>
      <c r="K334" s="7">
        <v>-757.77</v>
      </c>
      <c r="L334" s="8">
        <f>IFERROR(K334/K444, "NA")</f>
        <v>-5.3950492162878842E-3</v>
      </c>
      <c r="M334" s="9"/>
      <c r="N334" s="10">
        <f t="shared" si="81"/>
        <v>22.730000000000018</v>
      </c>
      <c r="O334" s="8">
        <f>IFERROR(N334/N444, "NA")</f>
        <v>1.7300326978463261E-3</v>
      </c>
      <c r="P334" s="9"/>
      <c r="Q334" s="7">
        <v>-780.5</v>
      </c>
      <c r="R334" s="8">
        <f>IFERROR(Q334/Q444, "NA")</f>
        <v>-6.1382969067552901E-4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780.5</v>
      </c>
      <c r="X334" s="8">
        <f>IFERROR(W334/W444, "NA")</f>
        <v>6.6447196528502082E-3</v>
      </c>
      <c r="Y334" s="9"/>
      <c r="Z334" s="7">
        <v>-757.77</v>
      </c>
      <c r="AA334" s="8">
        <f>IFERROR(Z334/Z444, "NA")</f>
        <v>-7.2878369264907426E-4</v>
      </c>
      <c r="AB334" s="9"/>
      <c r="AC334" s="10">
        <f t="shared" si="83"/>
        <v>22.730000000000018</v>
      </c>
      <c r="AD334" s="8">
        <f>IFERROR(AC334/AC444, "NA")</f>
        <v>9.8079069853139055E-5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2.6028738255650793E-3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-2.8176165352294821E-2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-1.4280882145505755E-2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5126.74</v>
      </c>
      <c r="F337" s="8">
        <f>IFERROR(E337/E444, "NA")</f>
        <v>3.3182312820290764E-2</v>
      </c>
      <c r="G337" s="9"/>
      <c r="H337" s="10">
        <f t="shared" ref="H337:H344" si="84">IFERROR(-(B337-E337), "NA")</f>
        <v>5126.74</v>
      </c>
      <c r="I337" s="8">
        <f>IFERROR(H337/H444, "NA")</f>
        <v>-5.6514176110057539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27706.97</v>
      </c>
      <c r="U337" s="8">
        <f>IFERROR(T337/T444, "NA")</f>
        <v>2.4008182079109611E-2</v>
      </c>
      <c r="V337" s="9"/>
      <c r="W337" s="10">
        <f t="shared" ref="W337:W344" si="86">IFERROR(-(Q337-T337), "NA")</f>
        <v>27706.97</v>
      </c>
      <c r="X337" s="8">
        <f>IFERROR(W337/W444, "NA")</f>
        <v>0.2358809072132366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3852.84</v>
      </c>
      <c r="C338" s="8">
        <f>IFERROR(B338/B444, "NA")</f>
        <v>2.5084405400357029E-2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-3852.84</v>
      </c>
      <c r="I338" s="8">
        <f>IFERROR(H338/H444, "NA")</f>
        <v>4.2471449358437159</v>
      </c>
      <c r="J338" s="9"/>
      <c r="K338" s="7">
        <v>3026.22</v>
      </c>
      <c r="L338" s="8">
        <f>IFERROR(K338/K444, "NA")</f>
        <v>2.1545595417230452E-2</v>
      </c>
      <c r="M338" s="9"/>
      <c r="N338" s="10">
        <f t="shared" si="85"/>
        <v>-826.62000000000035</v>
      </c>
      <c r="O338" s="8">
        <f>IFERROR(N338/N444, "NA")</f>
        <v>-6.2915953748074335E-2</v>
      </c>
      <c r="P338" s="9"/>
      <c r="Q338" s="7">
        <v>26755.59</v>
      </c>
      <c r="R338" s="8">
        <f>IFERROR(Q338/Q444, "NA")</f>
        <v>2.1042121119207273E-2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-26755.59</v>
      </c>
      <c r="X338" s="8">
        <f>IFERROR(W338/W444, "NA")</f>
        <v>-0.2277814153704068</v>
      </c>
      <c r="Y338" s="9"/>
      <c r="Z338" s="7">
        <v>18027.169999999998</v>
      </c>
      <c r="AA338" s="8">
        <f>IFERROR(Z338/Z444, "NA")</f>
        <v>1.733759256847409E-2</v>
      </c>
      <c r="AB338" s="9"/>
      <c r="AC338" s="10">
        <f t="shared" si="87"/>
        <v>-8728.4200000000019</v>
      </c>
      <c r="AD338" s="8">
        <f>IFERROR(AC338/AC444, "NA")</f>
        <v>-3.7662794319733198E-2</v>
      </c>
    </row>
    <row r="339" spans="1:30" ht="16.5" customHeight="1" x14ac:dyDescent="0.45">
      <c r="A339" s="12" t="s">
        <v>309</v>
      </c>
      <c r="B339" s="7">
        <v>347.06</v>
      </c>
      <c r="C339" s="8">
        <f>IFERROR(B339/B444, "NA")</f>
        <v>2.2595783209912457E-3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-347.06</v>
      </c>
      <c r="I339" s="8">
        <f>IFERROR(H339/H444, "NA")</f>
        <v>0.38257859693989887</v>
      </c>
      <c r="J339" s="9"/>
      <c r="K339" s="7">
        <v>297.72000000000003</v>
      </c>
      <c r="L339" s="8">
        <f>IFERROR(K339/K444, "NA")</f>
        <v>2.1196590689433852E-3</v>
      </c>
      <c r="M339" s="9"/>
      <c r="N339" s="10">
        <f t="shared" si="85"/>
        <v>-49.339999999999975</v>
      </c>
      <c r="O339" s="8">
        <f>IFERROR(N339/N444, "NA")</f>
        <v>-3.755381139979658E-3</v>
      </c>
      <c r="P339" s="9"/>
      <c r="Q339" s="7">
        <v>2408.1799999999998</v>
      </c>
      <c r="R339" s="8">
        <f>IFERROR(Q339/Q444, "NA")</f>
        <v>1.8939300249724476E-3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-2408.1799999999998</v>
      </c>
      <c r="X339" s="8">
        <f>IFERROR(W339/W444, "NA")</f>
        <v>-2.050183340627907E-2</v>
      </c>
      <c r="Y339" s="9"/>
      <c r="Z339" s="7">
        <v>2936.64</v>
      </c>
      <c r="AA339" s="8">
        <f>IFERROR(Z339/Z444, "NA")</f>
        <v>2.8243073006070148E-3</v>
      </c>
      <c r="AB339" s="9"/>
      <c r="AC339" s="10">
        <f t="shared" si="87"/>
        <v>528.46</v>
      </c>
      <c r="AD339" s="8">
        <f>IFERROR(AC339/AC444, "NA")</f>
        <v>2.2802844370695043E-3</v>
      </c>
    </row>
    <row r="340" spans="1:30" ht="16.5" customHeight="1" x14ac:dyDescent="0.45">
      <c r="A340" s="12" t="s">
        <v>310</v>
      </c>
      <c r="B340" s="7">
        <v>630</v>
      </c>
      <c r="C340" s="8">
        <f>IFERROR(B340/B444, "NA")</f>
        <v>4.1016952176121842E-3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-630</v>
      </c>
      <c r="I340" s="8">
        <f>IFERROR(H340/H444, "NA")</f>
        <v>0.69447506503813838</v>
      </c>
      <c r="J340" s="9"/>
      <c r="K340" s="7">
        <v>396.31</v>
      </c>
      <c r="L340" s="8">
        <f>IFERROR(K340/K444, "NA")</f>
        <v>2.8215843262560558E-3</v>
      </c>
      <c r="M340" s="9"/>
      <c r="N340" s="10">
        <f t="shared" si="85"/>
        <v>-233.69</v>
      </c>
      <c r="O340" s="8">
        <f>IFERROR(N340/N444, "NA")</f>
        <v>-1.7786684608874073E-2</v>
      </c>
      <c r="P340" s="9"/>
      <c r="Q340" s="7">
        <v>4147.84</v>
      </c>
      <c r="R340" s="8">
        <f>IFERROR(Q340/Q444, "NA")</f>
        <v>3.2620978144414945E-3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-4147.84</v>
      </c>
      <c r="X340" s="8">
        <f>IFERROR(W340/W444, "NA")</f>
        <v>-3.5312279263136723E-2</v>
      </c>
      <c r="Y340" s="9"/>
      <c r="Z340" s="7">
        <v>3025.79</v>
      </c>
      <c r="AA340" s="8">
        <f>IFERROR(Z340/Z444, "NA")</f>
        <v>2.9100471242997777E-3</v>
      </c>
      <c r="AB340" s="9"/>
      <c r="AC340" s="10">
        <f t="shared" si="87"/>
        <v>-1122.0500000000002</v>
      </c>
      <c r="AD340" s="8">
        <f>IFERROR(AC340/AC444, "NA")</f>
        <v>-4.8416023021871802E-3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2.4751451918724196E-3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0.41907711980245882</v>
      </c>
      <c r="J341" s="9"/>
      <c r="K341" s="7">
        <v>351.45</v>
      </c>
      <c r="L341" s="8">
        <f>IFERROR(K341/K444, "NA")</f>
        <v>2.5021972987375814E-3</v>
      </c>
      <c r="M341" s="9"/>
      <c r="N341" s="10">
        <f t="shared" si="85"/>
        <v>-28.720000000000027</v>
      </c>
      <c r="O341" s="8">
        <f>IFERROR(N341/N444, "NA")</f>
        <v>-2.185945406165706E-3</v>
      </c>
      <c r="P341" s="9"/>
      <c r="Q341" s="7">
        <v>2661.19</v>
      </c>
      <c r="R341" s="8">
        <f>IFERROR(Q341/Q444, "NA")</f>
        <v>2.092911511247676E-3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-2661.19</v>
      </c>
      <c r="X341" s="8">
        <f>IFERROR(W341/W444, "NA")</f>
        <v>-2.2655812290798778E-2</v>
      </c>
      <c r="Y341" s="9"/>
      <c r="Z341" s="7">
        <v>2460.15</v>
      </c>
      <c r="AA341" s="8">
        <f>IFERROR(Z341/Z444, "NA")</f>
        <v>2.3660440522462228E-3</v>
      </c>
      <c r="AB341" s="9"/>
      <c r="AC341" s="10">
        <f t="shared" si="87"/>
        <v>-201.03999999999996</v>
      </c>
      <c r="AD341" s="8">
        <f>IFERROR(AC341/AC444, "NA")</f>
        <v>-8.6747981536625855E-4</v>
      </c>
    </row>
    <row r="342" spans="1:30" ht="16.5" customHeight="1" x14ac:dyDescent="0.45">
      <c r="A342" s="13" t="s">
        <v>312</v>
      </c>
      <c r="B342" s="14">
        <f>IFERROR(B337+B338+B339+B340+B341, "NA")</f>
        <v>5210.0700000000006</v>
      </c>
      <c r="C342" s="15">
        <f>IFERROR(B342/B444, "NA")</f>
        <v>3.3920824130832881E-2</v>
      </c>
      <c r="D342" s="2"/>
      <c r="E342" s="14">
        <f>IFERROR(E337+E338+E339+E340+E341, "NA")</f>
        <v>5126.74</v>
      </c>
      <c r="F342" s="15">
        <f>IFERROR(E342/E444, "NA")</f>
        <v>3.3182312820290764E-2</v>
      </c>
      <c r="G342" s="2"/>
      <c r="H342" s="14">
        <f t="shared" si="84"/>
        <v>-83.330000000000837</v>
      </c>
      <c r="I342" s="15">
        <f>IFERROR(H342/H444, "NA")</f>
        <v>9.1858106618458168E-2</v>
      </c>
      <c r="J342" s="2"/>
      <c r="K342" s="14">
        <f>IFERROR(K337+K338+K339+K340+K341, "NA")</f>
        <v>4071.6999999999994</v>
      </c>
      <c r="L342" s="15">
        <f>IFERROR(K342/K444, "NA")</f>
        <v>2.8989036111167474E-2</v>
      </c>
      <c r="M342" s="2"/>
      <c r="N342" s="14">
        <f t="shared" si="85"/>
        <v>-1138.3700000000013</v>
      </c>
      <c r="O342" s="15">
        <f>IFERROR(N342/N444, "NA")</f>
        <v>-8.664396490309384E-2</v>
      </c>
      <c r="P342" s="2"/>
      <c r="Q342" s="14">
        <f>IFERROR(Q337+Q338+Q339+Q340+Q341, "NA")</f>
        <v>35972.800000000003</v>
      </c>
      <c r="R342" s="15">
        <f>IFERROR(Q342/Q444, "NA")</f>
        <v>2.8291060469868894E-2</v>
      </c>
      <c r="S342" s="2"/>
      <c r="T342" s="14">
        <f>IFERROR(T337+T338+T339+T340+T341, "NA")</f>
        <v>27706.97</v>
      </c>
      <c r="U342" s="15">
        <f>IFERROR(T342/T444, "NA")</f>
        <v>2.4008182079109611E-2</v>
      </c>
      <c r="V342" s="2"/>
      <c r="W342" s="14">
        <f t="shared" si="86"/>
        <v>-8265.8300000000017</v>
      </c>
      <c r="X342" s="15">
        <f>IFERROR(W342/W444, "NA")</f>
        <v>-7.037043311738482E-2</v>
      </c>
      <c r="Y342" s="2"/>
      <c r="Z342" s="14">
        <f>IFERROR(Z337+Z338+Z339+Z340+Z341, "NA")</f>
        <v>26449.75</v>
      </c>
      <c r="AA342" s="15">
        <f>IFERROR(Z342/Z444, "NA")</f>
        <v>2.5437991045627106E-2</v>
      </c>
      <c r="AB342" s="2"/>
      <c r="AC342" s="14">
        <f t="shared" si="87"/>
        <v>-9523.0500000000029</v>
      </c>
      <c r="AD342" s="15">
        <f>IFERROR(AC342/AC444, "NA")</f>
        <v>-4.1091592000217135E-2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16333.609999999999</v>
      </c>
      <c r="C343" s="15">
        <f>IFERROR(B343/B444, "NA")</f>
        <v>0.10634204765609928</v>
      </c>
      <c r="D343" s="2"/>
      <c r="E343" s="14">
        <f>IFERROR(E328+E329+E330+E331+E332+E333+E334+E335+E337+E338+E339+E340+E341, "NA")</f>
        <v>15952.74</v>
      </c>
      <c r="F343" s="15">
        <f>IFERROR(E343/E444, "NA")</f>
        <v>0.10325251700315705</v>
      </c>
      <c r="G343" s="2"/>
      <c r="H343" s="14">
        <f t="shared" si="84"/>
        <v>-380.86999999999898</v>
      </c>
      <c r="I343" s="15">
        <f>IFERROR(H343/H444, "NA")</f>
        <v>0.41984875876361116</v>
      </c>
      <c r="J343" s="2"/>
      <c r="K343" s="14">
        <f>IFERROR(K328+K329+K330+K331+K332+K333+K334+K335+K337+K338+K339+K340+K341, "NA")</f>
        <v>14978.519999999999</v>
      </c>
      <c r="L343" s="15">
        <f>IFERROR(K343/K444, "NA")</f>
        <v>0.10664166249277801</v>
      </c>
      <c r="M343" s="2"/>
      <c r="N343" s="14">
        <f t="shared" si="85"/>
        <v>-1355.0900000000001</v>
      </c>
      <c r="O343" s="15">
        <f>IFERROR(N343/N444, "NA")</f>
        <v>-0.1031390236922383</v>
      </c>
      <c r="P343" s="2"/>
      <c r="Q343" s="14">
        <f>IFERROR(Q328+Q329+Q330+Q331+Q332+Q333+Q334+Q335+Q337+Q338+Q339+Q340+Q341, "NA")</f>
        <v>121793.87999999998</v>
      </c>
      <c r="R343" s="15">
        <f>IFERROR(Q343/Q444, "NA")</f>
        <v>9.5785649822642524E-2</v>
      </c>
      <c r="S343" s="2"/>
      <c r="T343" s="14">
        <f>IFERROR(T328+T329+T330+T331+T332+T333+T334+T335+T337+T338+T339+T340+T341, "NA")</f>
        <v>108172.97</v>
      </c>
      <c r="U343" s="15">
        <f>IFERROR(T343/T444, "NA")</f>
        <v>9.3732239930893246E-2</v>
      </c>
      <c r="V343" s="2"/>
      <c r="W343" s="14">
        <f t="shared" si="86"/>
        <v>-13620.909999999974</v>
      </c>
      <c r="X343" s="15">
        <f>IFERROR(W343/W444, "NA")</f>
        <v>-0.11596044633786518</v>
      </c>
      <c r="Y343" s="2"/>
      <c r="Z343" s="14">
        <f>IFERROR(Z328+Z329+Z330+Z331+Z332+Z333+Z334+Z335+Z337+Z338+Z339+Z340+Z341, "NA")</f>
        <v>106766.75999999998</v>
      </c>
      <c r="AA343" s="15">
        <f>IFERROR(Z343/Z444, "NA")</f>
        <v>0.10268270531292802</v>
      </c>
      <c r="AB343" s="2"/>
      <c r="AC343" s="14">
        <f t="shared" si="87"/>
        <v>-15027.119999999995</v>
      </c>
      <c r="AD343" s="15">
        <f>IFERROR(AC343/AC444, "NA")</f>
        <v>-6.4841440922635343E-2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16333.609999999999</v>
      </c>
      <c r="C344" s="15">
        <f>IFERROR(B344/B444, "NA")</f>
        <v>0.10634204765609928</v>
      </c>
      <c r="D344" s="2"/>
      <c r="E344" s="14">
        <f>IFERROR(E328+E329+E330+E331+E332+E333+E334+E335+E337+E338+E339+E340+E341, "NA")</f>
        <v>15952.74</v>
      </c>
      <c r="F344" s="15">
        <f>IFERROR(E344/E444, "NA")</f>
        <v>0.10325251700315705</v>
      </c>
      <c r="G344" s="2"/>
      <c r="H344" s="14">
        <f t="shared" si="84"/>
        <v>-380.86999999999898</v>
      </c>
      <c r="I344" s="15">
        <f>IFERROR(H344/H444, "NA")</f>
        <v>0.41984875876361116</v>
      </c>
      <c r="J344" s="2"/>
      <c r="K344" s="14">
        <f>IFERROR(K328+K329+K330+K331+K332+K333+K334+K335+K337+K338+K339+K340+K341, "NA")</f>
        <v>14978.519999999999</v>
      </c>
      <c r="L344" s="15">
        <f>IFERROR(K344/K444, "NA")</f>
        <v>0.10664166249277801</v>
      </c>
      <c r="M344" s="2"/>
      <c r="N344" s="14">
        <f t="shared" si="85"/>
        <v>-1355.0900000000001</v>
      </c>
      <c r="O344" s="15">
        <f>IFERROR(N344/N444, "NA")</f>
        <v>-0.1031390236922383</v>
      </c>
      <c r="P344" s="2"/>
      <c r="Q344" s="14">
        <f>IFERROR(Q328+Q329+Q330+Q331+Q332+Q333+Q334+Q335+Q337+Q338+Q339+Q340+Q341, "NA")</f>
        <v>121793.87999999998</v>
      </c>
      <c r="R344" s="15">
        <f>IFERROR(Q344/Q444, "NA")</f>
        <v>9.5785649822642524E-2</v>
      </c>
      <c r="S344" s="2"/>
      <c r="T344" s="14">
        <f>IFERROR(T328+T329+T330+T331+T332+T333+T334+T335+T337+T338+T339+T340+T341, "NA")</f>
        <v>108172.97</v>
      </c>
      <c r="U344" s="15">
        <f>IFERROR(T344/T444, "NA")</f>
        <v>9.3732239930893246E-2</v>
      </c>
      <c r="V344" s="2"/>
      <c r="W344" s="14">
        <f t="shared" si="86"/>
        <v>-13620.909999999974</v>
      </c>
      <c r="X344" s="15">
        <f>IFERROR(W344/W444, "NA")</f>
        <v>-0.11596044633786518</v>
      </c>
      <c r="Y344" s="2"/>
      <c r="Z344" s="14">
        <f>IFERROR(Z328+Z329+Z330+Z331+Z332+Z333+Z334+Z335+Z337+Z338+Z339+Z340+Z341, "NA")</f>
        <v>106766.75999999998</v>
      </c>
      <c r="AA344" s="15">
        <f>IFERROR(Z344/Z444, "NA")</f>
        <v>0.10268270531292802</v>
      </c>
      <c r="AB344" s="2"/>
      <c r="AC344" s="14">
        <f t="shared" si="87"/>
        <v>-15027.119999999995</v>
      </c>
      <c r="AD344" s="15">
        <f>IFERROR(AC344/AC444, "NA")</f>
        <v>-6.4841440922635343E-2</v>
      </c>
    </row>
    <row r="345" spans="1:30" ht="16.5" customHeight="1" x14ac:dyDescent="0.45">
      <c r="A345" s="22" t="s">
        <v>315</v>
      </c>
      <c r="B345" s="23">
        <f>IFERROR(B198-B325-B344, "NA")</f>
        <v>16400.330000000067</v>
      </c>
      <c r="C345" s="24">
        <f>IFERROR(B345/B444, "NA")</f>
        <v>0.10677643671152684</v>
      </c>
      <c r="D345" s="25"/>
      <c r="E345" s="23">
        <f>IFERROR(E198-E325-E344, "NA")</f>
        <v>23731.260000000002</v>
      </c>
      <c r="F345" s="24">
        <f>IFERROR(E345/E444, "NA")</f>
        <v>0.15359821113215288</v>
      </c>
      <c r="G345" s="25"/>
      <c r="H345" s="23">
        <f>IFERROR(B345-E345, "NA")</f>
        <v>-7330.9299999999348</v>
      </c>
      <c r="I345" s="24">
        <f>IFERROR(H345/H444, "NA")</f>
        <v>8.0811874421269749</v>
      </c>
      <c r="J345" s="25"/>
      <c r="K345" s="23">
        <f>IFERROR(K198-K325-K344, "NA")</f>
        <v>19315.739999999976</v>
      </c>
      <c r="L345" s="24">
        <f>IFERROR(K345/K444, "NA")</f>
        <v>0.13752110528131281</v>
      </c>
      <c r="M345" s="25"/>
      <c r="N345" s="23">
        <f>IFERROR(B345-K345, "NA")</f>
        <v>-2915.4099999999089</v>
      </c>
      <c r="O345" s="24">
        <f>IFERROR(N345/N444, "NA")</f>
        <v>-0.22189857578653746</v>
      </c>
      <c r="P345" s="25"/>
      <c r="Q345" s="23">
        <f>IFERROR(Q198-Q325-Q344, "NA")</f>
        <v>146044.0899999993</v>
      </c>
      <c r="R345" s="24">
        <f>IFERROR(Q345/Q444, "NA")</f>
        <v>0.11485739729620588</v>
      </c>
      <c r="S345" s="25"/>
      <c r="T345" s="23">
        <f>IFERROR(T198-T325-T344, "NA")</f>
        <v>166606.6400000001</v>
      </c>
      <c r="U345" s="24">
        <f>IFERROR(T345/T444, "NA")</f>
        <v>0.14436521022358881</v>
      </c>
      <c r="V345" s="25"/>
      <c r="W345" s="23">
        <f>IFERROR(Q345-T345, "NA")</f>
        <v>-20562.550000000803</v>
      </c>
      <c r="X345" s="24">
        <f>IFERROR(W345/W444, "NA")</f>
        <v>-0.17505750172673978</v>
      </c>
      <c r="Y345" s="25"/>
      <c r="Z345" s="23">
        <f>IFERROR(Z198-Z325-Z344, "NA")</f>
        <v>150760.48000000013</v>
      </c>
      <c r="AA345" s="24">
        <f>IFERROR(Z345/Z444, "NA")</f>
        <v>0.14499357235037941</v>
      </c>
      <c r="AB345" s="25"/>
      <c r="AC345" s="23">
        <f>IFERROR(Q345-Z345, "NA")</f>
        <v>-4716.3900000008289</v>
      </c>
      <c r="AD345" s="24">
        <f>IFERROR(AC345/AC444, "NA")</f>
        <v>-2.0351040222821269E-2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16400.330000000067</v>
      </c>
      <c r="C404" s="24">
        <f>IFERROR(B404/B444, "NA")</f>
        <v>0.10677643671152684</v>
      </c>
      <c r="D404" s="25"/>
      <c r="E404" s="23">
        <f>IFERROR(E345-E403, "NA")</f>
        <v>23731.260000000002</v>
      </c>
      <c r="F404" s="24">
        <f>IFERROR(E404/E444, "NA")</f>
        <v>0.15359821113215288</v>
      </c>
      <c r="G404" s="25"/>
      <c r="H404" s="23">
        <f>IFERROR(B404-E404, "NA")</f>
        <v>-7330.9299999999348</v>
      </c>
      <c r="I404" s="24">
        <f>IFERROR(H404/H444, "NA")</f>
        <v>8.0811874421269749</v>
      </c>
      <c r="J404" s="25"/>
      <c r="K404" s="23">
        <f>IFERROR(K345-K403, "NA")</f>
        <v>19315.739999999976</v>
      </c>
      <c r="L404" s="24">
        <f>IFERROR(K404/K444, "NA")</f>
        <v>0.13752110528131281</v>
      </c>
      <c r="M404" s="25"/>
      <c r="N404" s="23">
        <f>IFERROR(B404-K404, "NA")</f>
        <v>-2915.4099999999089</v>
      </c>
      <c r="O404" s="24">
        <f>IFERROR(N404/N444, "NA")</f>
        <v>-0.22189857578653746</v>
      </c>
      <c r="P404" s="25"/>
      <c r="Q404" s="23">
        <f>IFERROR(Q345-Q403, "NA")</f>
        <v>146044.0899999993</v>
      </c>
      <c r="R404" s="24">
        <f>IFERROR(Q404/Q444, "NA")</f>
        <v>0.11485739729620588</v>
      </c>
      <c r="S404" s="25"/>
      <c r="T404" s="23">
        <f>IFERROR(T345-T403, "NA")</f>
        <v>166606.6400000001</v>
      </c>
      <c r="U404" s="24">
        <f>IFERROR(T404/T444, "NA")</f>
        <v>0.14436521022358881</v>
      </c>
      <c r="V404" s="25"/>
      <c r="W404" s="23">
        <f>IFERROR(Q404-T404, "NA")</f>
        <v>-20562.550000000803</v>
      </c>
      <c r="X404" s="24">
        <f>IFERROR(W404/W444, "NA")</f>
        <v>-0.17505750172673978</v>
      </c>
      <c r="Y404" s="25"/>
      <c r="Z404" s="23">
        <f>IFERROR(Z345-Z403, "NA")</f>
        <v>150760.48000000013</v>
      </c>
      <c r="AA404" s="24">
        <f>IFERROR(Z404/Z444, "NA")</f>
        <v>0.14499357235037941</v>
      </c>
      <c r="AB404" s="25"/>
      <c r="AC404" s="23">
        <f>IFERROR(Q404-Z404, "NA")</f>
        <v>-4716.3900000008289</v>
      </c>
      <c r="AD404" s="24">
        <f>IFERROR(AC404/AC444, "NA")</f>
        <v>-2.0351040222821269E-2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-3.84699152855919E-5</v>
      </c>
      <c r="AB407" s="9"/>
      <c r="AC407" s="10">
        <f t="shared" ref="AC407:AC429" si="103">IFERROR(-(Q407-Z407), "NA")</f>
        <v>-40</v>
      </c>
      <c r="AD407" s="8">
        <f>IFERROR(AC407/AC444, "NA")</f>
        <v>-1.7259845112738931E-4</v>
      </c>
    </row>
    <row r="408" spans="1:30" ht="16.5" customHeight="1" x14ac:dyDescent="0.45">
      <c r="A408" s="6" t="s">
        <v>373</v>
      </c>
      <c r="B408" s="7">
        <v>250</v>
      </c>
      <c r="C408" s="8">
        <f>IFERROR(B408/B444, "NA")</f>
        <v>1.6276568323857876E-3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-250</v>
      </c>
      <c r="I408" s="8">
        <f>IFERROR(H408/H444, "NA")</f>
        <v>0.2755853432691025</v>
      </c>
      <c r="J408" s="9"/>
      <c r="K408" s="7">
        <v>1197</v>
      </c>
      <c r="L408" s="8">
        <f>IFERROR(K408/K444, "NA")</f>
        <v>8.5222084694519407E-3</v>
      </c>
      <c r="M408" s="9"/>
      <c r="N408" s="10">
        <f t="shared" si="101"/>
        <v>947</v>
      </c>
      <c r="O408" s="8">
        <f>IFERROR(N408/N444, "NA")</f>
        <v>7.2078353051494487E-2</v>
      </c>
      <c r="P408" s="9"/>
      <c r="Q408" s="7">
        <v>250</v>
      </c>
      <c r="R408" s="8">
        <f>IFERROR(Q408/Q444, "NA")</f>
        <v>1.9661425069683825E-4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-2.1283535082800157E-3</v>
      </c>
      <c r="Y408" s="9"/>
      <c r="Z408" s="7">
        <v>966</v>
      </c>
      <c r="AA408" s="8">
        <f>IFERROR(Z408/Z444, "NA")</f>
        <v>9.2904845414704432E-4</v>
      </c>
      <c r="AB408" s="9"/>
      <c r="AC408" s="10">
        <f t="shared" si="103"/>
        <v>716</v>
      </c>
      <c r="AD408" s="8">
        <f>IFERROR(AC408/AC444, "NA")</f>
        <v>3.0895122751802688E-3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3549.76</v>
      </c>
      <c r="C410" s="8">
        <f>IFERROR(B410/B444, "NA")</f>
        <v>2.3111164469319094E-2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-3549.76</v>
      </c>
      <c r="I410" s="8">
        <f>IFERROR(H410/H444, "NA")</f>
        <v>3.9130473124917176</v>
      </c>
      <c r="J410" s="9"/>
      <c r="K410" s="7">
        <v>4690.57</v>
      </c>
      <c r="L410" s="8">
        <f>IFERROR(K410/K444, "NA")</f>
        <v>3.3395167402303416E-2</v>
      </c>
      <c r="M410" s="9"/>
      <c r="N410" s="10">
        <f t="shared" si="101"/>
        <v>1140.8099999999995</v>
      </c>
      <c r="O410" s="8">
        <f>IFERROR(N410/N444, "NA")</f>
        <v>8.6829678927851511E-2</v>
      </c>
      <c r="P410" s="9"/>
      <c r="Q410" s="7">
        <v>23064.37</v>
      </c>
      <c r="R410" s="8">
        <f>IFERROR(Q410/Q444, "NA")</f>
        <v>1.8139135301378541E-2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-23064.37</v>
      </c>
      <c r="X410" s="8">
        <f>IFERROR(W410/W444, "NA")</f>
        <v>-0.19635653122307337</v>
      </c>
      <c r="Y410" s="9"/>
      <c r="Z410" s="7">
        <v>32137.919999999998</v>
      </c>
      <c r="AA410" s="8">
        <f>IFERROR(Z410/Z444, "NA")</f>
        <v>3.0908576496378237E-2</v>
      </c>
      <c r="AB410" s="9"/>
      <c r="AC410" s="10">
        <f t="shared" si="103"/>
        <v>9073.5499999999993</v>
      </c>
      <c r="AD410" s="8">
        <f>IFERROR(AC410/AC444, "NA")</f>
        <v>3.9152016905673083E-2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126.64</v>
      </c>
      <c r="C417" s="8">
        <f>IFERROR(B417/B444, "NA")</f>
        <v>8.2450584501334457E-4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-126.64</v>
      </c>
      <c r="I417" s="8">
        <f>IFERROR(H417/H444, "NA")</f>
        <v>0.13960051148639657</v>
      </c>
      <c r="J417" s="9"/>
      <c r="K417" s="7">
        <v>5.35</v>
      </c>
      <c r="L417" s="8">
        <f>IFERROR(K417/K444, "NA")</f>
        <v>3.8090071271151113E-5</v>
      </c>
      <c r="M417" s="9"/>
      <c r="N417" s="10">
        <f t="shared" si="101"/>
        <v>-121.29</v>
      </c>
      <c r="O417" s="8">
        <f>IFERROR(N417/N444, "NA")</f>
        <v>-9.2316615011782122E-3</v>
      </c>
      <c r="P417" s="9"/>
      <c r="Q417" s="7">
        <v>165.72</v>
      </c>
      <c r="R417" s="8">
        <f>IFERROR(Q417/Q444, "NA")</f>
        <v>1.3033165450192013E-4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-165.72</v>
      </c>
      <c r="X417" s="8">
        <f>IFERROR(W417/W444, "NA")</f>
        <v>-1.4108429735686567E-3</v>
      </c>
      <c r="Y417" s="9"/>
      <c r="Z417" s="7">
        <v>-23</v>
      </c>
      <c r="AA417" s="8">
        <f>IFERROR(Z417/Z444, "NA")</f>
        <v>-2.2120201289215342E-5</v>
      </c>
      <c r="AB417" s="9"/>
      <c r="AC417" s="10">
        <f t="shared" si="103"/>
        <v>-188.72</v>
      </c>
      <c r="AD417" s="8">
        <f>IFERROR(AC417/AC444, "NA")</f>
        <v>-8.1431949241902286E-4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-3.9322850139367649E-5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4.2567070165600311E-4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2.1574806390923666E-4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3926.4</v>
      </c>
      <c r="C428" s="15">
        <f>IFERROR(B428/B444, "NA")</f>
        <v>2.5563327146718225E-2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-3926.4</v>
      </c>
      <c r="I428" s="15">
        <f>IFERROR(H428/H444, "NA")</f>
        <v>4.328233167247217</v>
      </c>
      <c r="J428" s="2"/>
      <c r="K428" s="14">
        <f>IFERROR(K407+K408+K409+K410+K411+K412+K413+K414+K415+K416+K417+K418+K419+K420+K421+K422+K423+K424+K425+K426+K427, "NA")</f>
        <v>5892.92</v>
      </c>
      <c r="L428" s="15">
        <f>IFERROR(K428/K444, "NA")</f>
        <v>4.1955465943026515E-2</v>
      </c>
      <c r="M428" s="2"/>
      <c r="N428" s="14">
        <f t="shared" si="101"/>
        <v>1966.52</v>
      </c>
      <c r="O428" s="15">
        <f>IFERROR(N428/N444, "NA")</f>
        <v>0.14967637047816781</v>
      </c>
      <c r="P428" s="2"/>
      <c r="Q428" s="14">
        <f>IFERROR(Q407+Q408+Q409+Q410+Q411+Q412+Q413+Q414+Q415+Q416+Q417+Q418+Q419+Q420+Q421+Q422+Q423+Q424+Q425+Q426+Q427, "NA")</f>
        <v>23430.09</v>
      </c>
      <c r="R428" s="15">
        <f>IFERROR(Q428/Q444, "NA")</f>
        <v>1.8426758356437933E-2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-23430.09</v>
      </c>
      <c r="X428" s="15">
        <f>IFERROR(W428/W444, "NA")</f>
        <v>-0.19947005700326603</v>
      </c>
      <c r="Y428" s="2"/>
      <c r="Z428" s="14">
        <f>IFERROR(Z407+Z408+Z409+Z410+Z411+Z412+Z413+Z414+Z415+Z416+Z417+Z418+Z419+Z420+Z421+Z422+Z423+Z424+Z425+Z426+Z427, "NA")</f>
        <v>33040.92</v>
      </c>
      <c r="AA428" s="15">
        <f>IFERROR(Z428/Z444, "NA")</f>
        <v>3.1777034833950474E-2</v>
      </c>
      <c r="AB428" s="2"/>
      <c r="AC428" s="14">
        <f t="shared" si="103"/>
        <v>9610.8299999999981</v>
      </c>
      <c r="AD428" s="15">
        <f>IFERROR(AC428/AC444, "NA")</f>
        <v>4.1470359301216168E-2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3926.4</v>
      </c>
      <c r="C429" s="15">
        <f>IFERROR(B429/B444, "NA")</f>
        <v>2.5563327146718225E-2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-3926.4</v>
      </c>
      <c r="I429" s="15">
        <f>IFERROR(H429/H444, "NA")</f>
        <v>4.328233167247217</v>
      </c>
      <c r="J429" s="2"/>
      <c r="K429" s="14">
        <f>IFERROR(K407+K408+K409+K410+K411+K412+K413+K414+K415+K416+K417+K418+K419+K420+K421+K422+K423+K424+K425+K426+K427, "NA")</f>
        <v>5892.92</v>
      </c>
      <c r="L429" s="15">
        <f>IFERROR(K429/K444, "NA")</f>
        <v>4.1955465943026515E-2</v>
      </c>
      <c r="M429" s="2"/>
      <c r="N429" s="14">
        <f t="shared" si="101"/>
        <v>1966.52</v>
      </c>
      <c r="O429" s="15">
        <f>IFERROR(N429/N444, "NA")</f>
        <v>0.14967637047816781</v>
      </c>
      <c r="P429" s="2"/>
      <c r="Q429" s="14">
        <f>IFERROR(Q407+Q408+Q409+Q410+Q411+Q412+Q413+Q414+Q415+Q416+Q417+Q418+Q419+Q420+Q421+Q422+Q423+Q424+Q425+Q426+Q427, "NA")</f>
        <v>23430.09</v>
      </c>
      <c r="R429" s="15">
        <f>IFERROR(Q429/Q444, "NA")</f>
        <v>1.8426758356437933E-2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-23430.09</v>
      </c>
      <c r="X429" s="15">
        <f>IFERROR(W429/W444, "NA")</f>
        <v>-0.19947005700326603</v>
      </c>
      <c r="Y429" s="2"/>
      <c r="Z429" s="14">
        <f>IFERROR(Z407+Z408+Z409+Z410+Z411+Z412+Z413+Z414+Z415+Z416+Z417+Z418+Z419+Z420+Z421+Z422+Z423+Z424+Z425+Z426+Z427, "NA")</f>
        <v>33040.92</v>
      </c>
      <c r="AA429" s="15">
        <f>IFERROR(Z429/Z444, "NA")</f>
        <v>3.1777034833950474E-2</v>
      </c>
      <c r="AB429" s="2"/>
      <c r="AC429" s="14">
        <f t="shared" si="103"/>
        <v>9610.8299999999981</v>
      </c>
      <c r="AD429" s="15">
        <f>IFERROR(AC429/AC444, "NA")</f>
        <v>4.1470359301216168E-2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12473.930000000068</v>
      </c>
      <c r="C443" s="24">
        <f>IFERROR(B443/B444, "NA")</f>
        <v>8.1213109564808622E-2</v>
      </c>
      <c r="D443" s="25"/>
      <c r="E443" s="23">
        <f>IFERROR(E404-E429-E442, "NA")</f>
        <v>23731.260000000002</v>
      </c>
      <c r="F443" s="24">
        <f>IFERROR(E443/E444, "NA")</f>
        <v>0.15359821113215288</v>
      </c>
      <c r="G443" s="25"/>
      <c r="H443" s="23">
        <f>IFERROR(B443-E443, "NA")</f>
        <v>-11257.329999999934</v>
      </c>
      <c r="I443" s="24">
        <f>IFERROR(H443/H444, "NA")</f>
        <v>12.409420609374191</v>
      </c>
      <c r="J443" s="25"/>
      <c r="K443" s="23">
        <f>IFERROR(K404-K429-K442, "NA")</f>
        <v>13422.819999999976</v>
      </c>
      <c r="L443" s="24">
        <f>IFERROR(K443/K444, "NA")</f>
        <v>9.556563933828631E-2</v>
      </c>
      <c r="M443" s="25"/>
      <c r="N443" s="23">
        <f>IFERROR(B443-K443, "NA")</f>
        <v>-948.88999999990847</v>
      </c>
      <c r="O443" s="24">
        <f>IFERROR(N443/N444, "NA")</f>
        <v>-7.2222205308369591E-2</v>
      </c>
      <c r="P443" s="25"/>
      <c r="Q443" s="23">
        <f>IFERROR(Q404-Q429-Q442, "NA")</f>
        <v>122613.9999999993</v>
      </c>
      <c r="R443" s="24">
        <f>IFERROR(Q443/Q444, "NA")</f>
        <v>9.6430638939767957E-2</v>
      </c>
      <c r="S443" s="25"/>
      <c r="T443" s="23">
        <f>IFERROR(T404-T429-T442, "NA")</f>
        <v>166606.6400000001</v>
      </c>
      <c r="U443" s="24">
        <f>IFERROR(T443/T444, "NA")</f>
        <v>0.14436521022358881</v>
      </c>
      <c r="V443" s="25"/>
      <c r="W443" s="23">
        <f>IFERROR(Q443-T443, "NA")</f>
        <v>-43992.6400000008</v>
      </c>
      <c r="X443" s="24">
        <f>IFERROR(W443/W444, "NA")</f>
        <v>-0.37452755873000576</v>
      </c>
      <c r="Y443" s="25"/>
      <c r="Z443" s="23">
        <f>IFERROR(Z404-Z429-Z442, "NA")</f>
        <v>117719.56000000013</v>
      </c>
      <c r="AA443" s="24">
        <f>IFERROR(Z443/Z444, "NA")</f>
        <v>0.11321653751642893</v>
      </c>
      <c r="AB443" s="25"/>
      <c r="AC443" s="23">
        <f>IFERROR(Q443-Z443, "NA")</f>
        <v>4894.4399999991729</v>
      </c>
      <c r="AD443" s="24">
        <f>IFERROR(AC443/AC444, "NA")</f>
        <v>2.1119319078394917E-2</v>
      </c>
    </row>
    <row r="444" spans="1:30" ht="15.75" hidden="1" x14ac:dyDescent="0.45">
      <c r="A444" s="26" t="s">
        <v>117</v>
      </c>
      <c r="B444" s="7">
        <v>153595.03</v>
      </c>
      <c r="C444" s="27"/>
      <c r="D444" s="9"/>
      <c r="E444" s="7">
        <v>154502.19</v>
      </c>
      <c r="F444" s="27"/>
      <c r="G444" s="9"/>
      <c r="H444" s="10">
        <f>IFERROR(B444-E444, "NA")</f>
        <v>-907.16000000000349</v>
      </c>
      <c r="I444" s="27"/>
      <c r="J444" s="9"/>
      <c r="K444" s="7">
        <v>140456.54999999999</v>
      </c>
      <c r="L444" s="27"/>
      <c r="M444" s="9"/>
      <c r="N444" s="10">
        <f>IFERROR(B444-K444, "NA")</f>
        <v>13138.48000000001</v>
      </c>
      <c r="O444" s="27"/>
      <c r="P444" s="9"/>
      <c r="Q444" s="7">
        <v>1271525.33</v>
      </c>
      <c r="R444" s="27"/>
      <c r="S444" s="9"/>
      <c r="T444" s="7">
        <v>1154063.6399999999</v>
      </c>
      <c r="U444" s="27"/>
      <c r="V444" s="9"/>
      <c r="W444" s="10">
        <f>IFERROR(Q444-T444, "NA")</f>
        <v>117461.69000000018</v>
      </c>
      <c r="X444" s="27"/>
      <c r="Y444" s="9"/>
      <c r="Z444" s="7">
        <v>1039773.54</v>
      </c>
      <c r="AA444" s="27"/>
      <c r="AB444" s="9"/>
      <c r="AC444" s="10">
        <f>IFERROR(Q444-Z444, "NA")</f>
        <v>231751.79000000004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46218.49</v>
      </c>
      <c r="F10" s="8">
        <f>IFERROR(E10/E444, "NA")</f>
        <v>0.49399992796044362</v>
      </c>
      <c r="G10" s="9"/>
      <c r="H10" s="10">
        <f t="shared" ref="H10:H19" si="0">IFERROR(B10-E10, "NA")</f>
        <v>-46218.49</v>
      </c>
      <c r="I10" s="8">
        <f>IFERROR(H10/H444, "NA")</f>
        <v>5.1387565181619026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352119.77</v>
      </c>
      <c r="U10" s="8">
        <f>IFERROR(T10/T444, "NA")</f>
        <v>0.49400002542112437</v>
      </c>
      <c r="V10" s="9"/>
      <c r="W10" s="10">
        <f t="shared" ref="W10:W19" si="2">IFERROR(Q10-T10, "NA")</f>
        <v>-352119.77</v>
      </c>
      <c r="X10" s="8">
        <f>IFERROR(W10/W444, "NA")</f>
        <v>5.1688307208301101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41038.699999999997</v>
      </c>
      <c r="C11" s="8">
        <f>IFERROR(B11/B444, "NA")</f>
        <v>0.4852882868106787</v>
      </c>
      <c r="D11" s="9"/>
      <c r="E11" s="7">
        <v>0</v>
      </c>
      <c r="F11" s="8">
        <f>IFERROR(E11/E444, "NA")</f>
        <v>0</v>
      </c>
      <c r="G11" s="9"/>
      <c r="H11" s="10">
        <f t="shared" si="0"/>
        <v>41038.699999999997</v>
      </c>
      <c r="I11" s="8">
        <f>IFERROR(H11/H444, "NA")</f>
        <v>-4.5628467550950038</v>
      </c>
      <c r="J11" s="9"/>
      <c r="K11" s="7">
        <v>41982.48</v>
      </c>
      <c r="L11" s="8">
        <f>IFERROR(K11/K444, "NA")</f>
        <v>0.50705805338892374</v>
      </c>
      <c r="M11" s="9"/>
      <c r="N11" s="10">
        <f t="shared" si="1"/>
        <v>-943.78000000000611</v>
      </c>
      <c r="O11" s="8">
        <f>IFERROR(N11/N444, "NA")</f>
        <v>-0.53338683515974494</v>
      </c>
      <c r="P11" s="9"/>
      <c r="Q11" s="7">
        <v>294108.34000000003</v>
      </c>
      <c r="R11" s="8">
        <f>IFERROR(Q11/Q444, "NA")</f>
        <v>0.45621580204202056</v>
      </c>
      <c r="S11" s="9"/>
      <c r="T11" s="7">
        <v>0</v>
      </c>
      <c r="U11" s="8">
        <f>IFERROR(T11/T444, "NA")</f>
        <v>0</v>
      </c>
      <c r="V11" s="9"/>
      <c r="W11" s="10">
        <f t="shared" si="2"/>
        <v>294108.34000000003</v>
      </c>
      <c r="X11" s="8">
        <f>IFERROR(W11/W444, "NA")</f>
        <v>-4.3172702942647811</v>
      </c>
      <c r="Y11" s="9"/>
      <c r="Z11" s="7">
        <v>295942.15999999997</v>
      </c>
      <c r="AA11" s="8">
        <f>IFERROR(Z11/Z444, "NA")</f>
        <v>0.48012447777880601</v>
      </c>
      <c r="AB11" s="9"/>
      <c r="AC11" s="10">
        <f t="shared" si="3"/>
        <v>-1833.8199999999488</v>
      </c>
      <c r="AD11" s="8">
        <f>IFERROR(AC11/AC444, "NA")</f>
        <v>-6.4838196203939588E-2</v>
      </c>
    </row>
    <row r="12" spans="1:30" ht="16.5" customHeight="1" x14ac:dyDescent="0.45">
      <c r="A12" s="12" t="s">
        <v>14</v>
      </c>
      <c r="B12" s="7">
        <v>3644.95</v>
      </c>
      <c r="C12" s="8">
        <f>IFERROR(B12/B444, "NA")</f>
        <v>4.3102036395172932E-2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3644.95</v>
      </c>
      <c r="I12" s="8">
        <f>IFERROR(H12/H444, "NA")</f>
        <v>-0.40526011496425407</v>
      </c>
      <c r="J12" s="9"/>
      <c r="K12" s="7">
        <v>4226.45</v>
      </c>
      <c r="L12" s="8">
        <f>IFERROR(K12/K444, "NA")</f>
        <v>5.1046424835922422E-2</v>
      </c>
      <c r="M12" s="9"/>
      <c r="N12" s="10">
        <f t="shared" si="1"/>
        <v>-581.5</v>
      </c>
      <c r="O12" s="8">
        <f>IFERROR(N12/N444, "NA")</f>
        <v>-0.32864062031976699</v>
      </c>
      <c r="P12" s="9"/>
      <c r="Q12" s="7">
        <v>28661.3</v>
      </c>
      <c r="R12" s="8">
        <f>IFERROR(Q12/Q444, "NA")</f>
        <v>4.4458915945963864E-2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28661.3</v>
      </c>
      <c r="X12" s="8">
        <f>IFERROR(W12/W444, "NA")</f>
        <v>-0.42072448229455567</v>
      </c>
      <c r="Y12" s="9"/>
      <c r="Z12" s="7">
        <v>30265.8</v>
      </c>
      <c r="AA12" s="8">
        <f>IFERROR(Z12/Z444, "NA")</f>
        <v>4.9101998240324352E-2</v>
      </c>
      <c r="AB12" s="9"/>
      <c r="AC12" s="10">
        <f t="shared" si="3"/>
        <v>-1604.5</v>
      </c>
      <c r="AD12" s="8">
        <f>IFERROR(AC12/AC444, "NA")</f>
        <v>-5.6730151164903854E-2</v>
      </c>
    </row>
    <row r="13" spans="1:30" ht="16.5" customHeight="1" x14ac:dyDescent="0.45">
      <c r="A13" s="12" t="s">
        <v>15</v>
      </c>
      <c r="B13" s="7">
        <v>97.5</v>
      </c>
      <c r="C13" s="8">
        <f>IFERROR(B13/B444, "NA")</f>
        <v>1.1529509454256878E-3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97.5</v>
      </c>
      <c r="I13" s="8">
        <f>IFERROR(H13/H444, "NA")</f>
        <v>-1.0840439843897659E-2</v>
      </c>
      <c r="J13" s="9"/>
      <c r="K13" s="7">
        <v>101</v>
      </c>
      <c r="L13" s="8">
        <f>IFERROR(K13/K444, "NA")</f>
        <v>1.2198627473241526E-3</v>
      </c>
      <c r="M13" s="9"/>
      <c r="N13" s="10">
        <f t="shared" si="1"/>
        <v>-3.5</v>
      </c>
      <c r="O13" s="8">
        <f>IFERROR(N13/N444, "NA")</f>
        <v>-1.9780604834379783E-3</v>
      </c>
      <c r="P13" s="9"/>
      <c r="Q13" s="7">
        <v>1087.5</v>
      </c>
      <c r="R13" s="8">
        <f>IFERROR(Q13/Q444, "NA")</f>
        <v>1.6869113086718224E-3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1087.5</v>
      </c>
      <c r="X13" s="8">
        <f>IFERROR(W13/W444, "NA")</f>
        <v>-1.5963612065584231E-2</v>
      </c>
      <c r="Y13" s="9"/>
      <c r="Z13" s="7">
        <v>914.5</v>
      </c>
      <c r="AA13" s="8">
        <f>IFERROR(Z13/Z444, "NA")</f>
        <v>1.4836474631688776E-3</v>
      </c>
      <c r="AB13" s="9"/>
      <c r="AC13" s="10">
        <f t="shared" si="3"/>
        <v>173</v>
      </c>
      <c r="AD13" s="8">
        <f>IFERROR(AC13/AC444, "NA")</f>
        <v>6.1167442514978914E-3</v>
      </c>
    </row>
    <row r="14" spans="1:30" ht="16.5" customHeight="1" x14ac:dyDescent="0.45">
      <c r="A14" s="12" t="s">
        <v>16</v>
      </c>
      <c r="B14" s="7">
        <v>160</v>
      </c>
      <c r="C14" s="8">
        <f>IFERROR(B14/B444, "NA")</f>
        <v>1.8920220642883081E-3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160</v>
      </c>
      <c r="I14" s="8">
        <f>IFERROR(H14/H444, "NA")</f>
        <v>-1.7789439743832056E-2</v>
      </c>
      <c r="J14" s="9"/>
      <c r="K14" s="7">
        <v>475</v>
      </c>
      <c r="L14" s="8">
        <f>IFERROR(K14/K444, "NA")</f>
        <v>5.7369782671185393E-3</v>
      </c>
      <c r="M14" s="9"/>
      <c r="N14" s="10">
        <f t="shared" si="1"/>
        <v>-315</v>
      </c>
      <c r="O14" s="8">
        <f>IFERROR(N14/N444, "NA")</f>
        <v>-0.17802544350941804</v>
      </c>
      <c r="P14" s="9"/>
      <c r="Q14" s="7">
        <v>1970</v>
      </c>
      <c r="R14" s="8">
        <f>IFERROR(Q14/Q444, "NA")</f>
        <v>3.0558301407664279E-3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1970</v>
      </c>
      <c r="X14" s="8">
        <f>IFERROR(W14/W444, "NA")</f>
        <v>-2.8917991511908905E-2</v>
      </c>
      <c r="Y14" s="9"/>
      <c r="Z14" s="7">
        <v>4150</v>
      </c>
      <c r="AA14" s="8">
        <f>IFERROR(Z14/Z444, "NA")</f>
        <v>6.7327905655011943E-3</v>
      </c>
      <c r="AB14" s="9"/>
      <c r="AC14" s="10">
        <f t="shared" si="3"/>
        <v>-2180</v>
      </c>
      <c r="AD14" s="8">
        <f>IFERROR(AC14/AC444, "NA")</f>
        <v>-7.7078048949510994E-2</v>
      </c>
    </row>
    <row r="15" spans="1:30" ht="16.5" customHeight="1" x14ac:dyDescent="0.45">
      <c r="A15" s="12" t="s">
        <v>17</v>
      </c>
      <c r="B15" s="7">
        <v>13</v>
      </c>
      <c r="C15" s="8">
        <f>IFERROR(B15/B444, "NA")</f>
        <v>1.5372679272342504E-4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13</v>
      </c>
      <c r="I15" s="8">
        <f>IFERROR(H15/H444, "NA")</f>
        <v>-1.4453919791863545E-3</v>
      </c>
      <c r="J15" s="9"/>
      <c r="K15" s="7">
        <v>59.5</v>
      </c>
      <c r="L15" s="8">
        <f>IFERROR(K15/K444, "NA")</f>
        <v>7.1863201451274341E-4</v>
      </c>
      <c r="M15" s="9"/>
      <c r="N15" s="10">
        <f t="shared" si="1"/>
        <v>-46.5</v>
      </c>
      <c r="O15" s="8">
        <f>IFERROR(N15/N444, "NA")</f>
        <v>-2.6279946422818855E-2</v>
      </c>
      <c r="P15" s="9"/>
      <c r="Q15" s="7">
        <v>146</v>
      </c>
      <c r="R15" s="8">
        <f>IFERROR(Q15/Q444, "NA")</f>
        <v>2.2647269063548144E-4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146</v>
      </c>
      <c r="X15" s="8">
        <f>IFERROR(W15/W444, "NA")</f>
        <v>-2.1431607922531475E-3</v>
      </c>
      <c r="Y15" s="9"/>
      <c r="Z15" s="7">
        <v>321</v>
      </c>
      <c r="AA15" s="8">
        <f>IFERROR(Z15/Z444, "NA")</f>
        <v>5.2077729434358633E-4</v>
      </c>
      <c r="AB15" s="9"/>
      <c r="AC15" s="10">
        <f t="shared" si="3"/>
        <v>-175</v>
      </c>
      <c r="AD15" s="8">
        <f>IFERROR(AC15/AC444, "NA")</f>
        <v>-6.1874580578735894E-3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1.7063010938289699E-6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-1.6147101859441522E-5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3.8892593506633996E-5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44954.149999999994</v>
      </c>
      <c r="C18" s="15">
        <f>IFERROR(B18/B444, "NA")</f>
        <v>0.53158902300828903</v>
      </c>
      <c r="D18" s="2"/>
      <c r="E18" s="14">
        <f>IFERROR(E10+E11+E12+E13+E14+E15+E16+E17, "NA")</f>
        <v>46218.49</v>
      </c>
      <c r="F18" s="15">
        <f>IFERROR(E18/E444, "NA")</f>
        <v>0.49399992796044362</v>
      </c>
      <c r="G18" s="2"/>
      <c r="H18" s="14">
        <f t="shared" si="0"/>
        <v>-1264.3400000000038</v>
      </c>
      <c r="I18" s="15">
        <f>IFERROR(H18/H444, "NA")</f>
        <v>0.1405743765357293</v>
      </c>
      <c r="J18" s="2"/>
      <c r="K18" s="14">
        <f>IFERROR(K10+K11+K12+K13+K14+K15+K16+K17, "NA")</f>
        <v>46844.43</v>
      </c>
      <c r="L18" s="15">
        <f>IFERROR(K18/K444, "NA")</f>
        <v>0.56577995125380154</v>
      </c>
      <c r="M18" s="2"/>
      <c r="N18" s="14">
        <f t="shared" si="1"/>
        <v>-1890.2800000000061</v>
      </c>
      <c r="O18" s="15">
        <f>IFERROR(N18/N444, "NA")</f>
        <v>-1.0683109058951867</v>
      </c>
      <c r="P18" s="2"/>
      <c r="Q18" s="14">
        <f>IFERROR(Q10+Q11+Q12+Q13+Q14+Q15+Q16+Q17, "NA")</f>
        <v>325974.24</v>
      </c>
      <c r="R18" s="15">
        <f>IFERROR(Q18/Q444, "NA")</f>
        <v>0.50564563842915189</v>
      </c>
      <c r="S18" s="2"/>
      <c r="T18" s="14">
        <f>IFERROR(T10+T11+T12+T13+T14+T15+T16+T17, "NA")</f>
        <v>352119.77</v>
      </c>
      <c r="U18" s="15">
        <f>IFERROR(T18/T444, "NA")</f>
        <v>0.49400002542112437</v>
      </c>
      <c r="V18" s="2"/>
      <c r="W18" s="14">
        <f t="shared" si="2"/>
        <v>-26145.530000000028</v>
      </c>
      <c r="X18" s="15">
        <f>IFERROR(W18/W444, "NA")</f>
        <v>0.38379503279916777</v>
      </c>
      <c r="Y18" s="2"/>
      <c r="Z18" s="14">
        <f>IFERROR(Z10+Z11+Z12+Z13+Z14+Z15+Z16+Z17, "NA")</f>
        <v>331593.45999999996</v>
      </c>
      <c r="AA18" s="15">
        <f>IFERROR(Z18/Z444, "NA")</f>
        <v>0.53796369134214395</v>
      </c>
      <c r="AB18" s="2"/>
      <c r="AC18" s="14">
        <f t="shared" si="3"/>
        <v>-5619.2199999999721</v>
      </c>
      <c r="AD18" s="15">
        <f>IFERROR(AC18/AC444, "NA")</f>
        <v>-0.19867821753122433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7297.66</v>
      </c>
      <c r="F21" s="8">
        <f>IFERROR(E21/E444, "NA")</f>
        <v>7.8000028003507055E-2</v>
      </c>
      <c r="G21" s="9"/>
      <c r="H21" s="10">
        <f t="shared" ref="H21:H29" si="4">IFERROR(B21-E21, "NA")</f>
        <v>-7297.66</v>
      </c>
      <c r="I21" s="8">
        <f>IFERROR(H21/H444, "NA")</f>
        <v>0.81138301775608401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55597.86</v>
      </c>
      <c r="U21" s="8">
        <f>IFERROR(T21/T444, "NA")</f>
        <v>7.8000006229017219E-2</v>
      </c>
      <c r="V21" s="9"/>
      <c r="W21" s="10">
        <f t="shared" ref="W21:W29" si="6">IFERROR(Q21-T21, "NA")</f>
        <v>-55597.86</v>
      </c>
      <c r="X21" s="8">
        <f>IFERROR(W21/W444, "NA")</f>
        <v>0.81613118962451758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7691.55</v>
      </c>
      <c r="C22" s="8">
        <f>IFERROR(B22/B444, "NA")</f>
        <v>9.0953639428604613E-2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7691.55</v>
      </c>
      <c r="I22" s="8">
        <f>IFERROR(H22/H444, "NA")</f>
        <v>-0.85517728288544659</v>
      </c>
      <c r="J22" s="9"/>
      <c r="K22" s="7">
        <v>5876.93</v>
      </c>
      <c r="L22" s="8">
        <f>IFERROR(K22/K444, "NA")</f>
        <v>7.0980673026056762E-2</v>
      </c>
      <c r="M22" s="9"/>
      <c r="N22" s="10">
        <f t="shared" si="5"/>
        <v>1814.62</v>
      </c>
      <c r="O22" s="8">
        <f>IFERROR(N22/N444, "NA")</f>
        <v>1.0255508898446355</v>
      </c>
      <c r="P22" s="9"/>
      <c r="Q22" s="7">
        <v>44724.83</v>
      </c>
      <c r="R22" s="8">
        <f>IFERROR(Q22/Q444, "NA")</f>
        <v>6.9376387591195202E-2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44724.83</v>
      </c>
      <c r="X22" s="8">
        <f>IFERROR(W22/W444, "NA")</f>
        <v>-0.65652398696018721</v>
      </c>
      <c r="Y22" s="9"/>
      <c r="Z22" s="7">
        <v>37075.550000000003</v>
      </c>
      <c r="AA22" s="8">
        <f>IFERROR(Z22/Z444, "NA")</f>
        <v>6.0149858614642851E-2</v>
      </c>
      <c r="AB22" s="9"/>
      <c r="AC22" s="10">
        <f t="shared" si="7"/>
        <v>7649.2799999999988</v>
      </c>
      <c r="AD22" s="8">
        <f>IFERROR(AC22/AC444, "NA")</f>
        <v>0.27045485241675016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879.73</v>
      </c>
      <c r="C24" s="8">
        <f>IFERROR(B24/B444, "NA")</f>
        <v>1.0402928566352209E-2</v>
      </c>
      <c r="D24" s="9"/>
      <c r="E24" s="7">
        <v>0</v>
      </c>
      <c r="F24" s="8">
        <f>IFERROR(E24/E444, "NA")</f>
        <v>0</v>
      </c>
      <c r="G24" s="9"/>
      <c r="H24" s="10">
        <f t="shared" si="4"/>
        <v>879.73</v>
      </c>
      <c r="I24" s="8">
        <f>IFERROR(H24/H444, "NA")</f>
        <v>-9.7811898911508599E-2</v>
      </c>
      <c r="J24" s="9"/>
      <c r="K24" s="7">
        <v>289.17</v>
      </c>
      <c r="L24" s="8">
        <f>IFERROR(K24/K444, "NA")</f>
        <v>3.4925515905319328E-3</v>
      </c>
      <c r="M24" s="9"/>
      <c r="N24" s="10">
        <f t="shared" si="5"/>
        <v>590.55999999999995</v>
      </c>
      <c r="O24" s="8">
        <f>IFERROR(N24/N444, "NA")</f>
        <v>0.33376097117118064</v>
      </c>
      <c r="P24" s="9"/>
      <c r="Q24" s="7">
        <v>7787.65</v>
      </c>
      <c r="R24" s="8">
        <f>IFERROR(Q24/Q444, "NA")</f>
        <v>1.2080068830324706E-2</v>
      </c>
      <c r="S24" s="9"/>
      <c r="T24" s="7">
        <v>0</v>
      </c>
      <c r="U24" s="8">
        <f>IFERROR(T24/T444, "NA")</f>
        <v>0</v>
      </c>
      <c r="V24" s="9"/>
      <c r="W24" s="10">
        <f t="shared" si="6"/>
        <v>7787.65</v>
      </c>
      <c r="X24" s="8">
        <f>IFERROR(W24/W444, "NA")</f>
        <v>-0.11431634345061796</v>
      </c>
      <c r="Y24" s="9"/>
      <c r="Z24" s="7">
        <v>2869.71</v>
      </c>
      <c r="AA24" s="8">
        <f>IFERROR(Z24/Z444, "NA")</f>
        <v>4.6557003406564905E-3</v>
      </c>
      <c r="AB24" s="9"/>
      <c r="AC24" s="10">
        <f t="shared" si="7"/>
        <v>4917.9399999999996</v>
      </c>
      <c r="AD24" s="8">
        <f>IFERROR(AC24/AC444, "NA")</f>
        <v>0.1738831284636505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17.579999999999998</v>
      </c>
      <c r="L27" s="8">
        <f>IFERROR(K27/K444, "NA")</f>
        <v>2.1232858512830298E-4</v>
      </c>
      <c r="M27" s="9"/>
      <c r="N27" s="10">
        <f t="shared" si="5"/>
        <v>-17.579999999999998</v>
      </c>
      <c r="O27" s="8">
        <f>IFERROR(N27/N444, "NA")</f>
        <v>-9.9355152282399016E-3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1425.11</v>
      </c>
      <c r="AA27" s="8">
        <f>IFERROR(Z27/Z444, "NA")</f>
        <v>2.31204028019311E-3</v>
      </c>
      <c r="AB27" s="9"/>
      <c r="AC27" s="10">
        <f t="shared" si="7"/>
        <v>-1425.11</v>
      </c>
      <c r="AD27" s="8">
        <f>IFERROR(AC27/AC444, "NA")</f>
        <v>-5.0387476302035598E-2</v>
      </c>
    </row>
    <row r="28" spans="1:30" ht="16.5" customHeight="1" x14ac:dyDescent="0.45">
      <c r="A28" s="12" t="s">
        <v>29</v>
      </c>
      <c r="B28" s="7">
        <v>874.54</v>
      </c>
      <c r="C28" s="8">
        <f>IFERROR(B28/B444, "NA")</f>
        <v>1.0341556100641856E-2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874.54</v>
      </c>
      <c r="I28" s="8">
        <f>IFERROR(H28/H444, "NA")</f>
        <v>-9.7234853959818041E-2</v>
      </c>
      <c r="J28" s="9"/>
      <c r="K28" s="7">
        <v>904.63</v>
      </c>
      <c r="L28" s="8">
        <f>IFERROR(K28/K444, "NA")</f>
        <v>1.0925984525859883E-2</v>
      </c>
      <c r="M28" s="9"/>
      <c r="N28" s="10">
        <f t="shared" si="5"/>
        <v>-30.090000000000032</v>
      </c>
      <c r="O28" s="8">
        <f>IFERROR(N28/N444, "NA")</f>
        <v>-1.7005668556185381E-2</v>
      </c>
      <c r="P28" s="9"/>
      <c r="Q28" s="7">
        <v>6090.51</v>
      </c>
      <c r="R28" s="8">
        <f>IFERROR(Q28/Q444, "NA")</f>
        <v>9.4474944317966183E-3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6090.51</v>
      </c>
      <c r="X28" s="8">
        <f>IFERROR(W28/W444, "NA")</f>
        <v>-8.940371395086108E-2</v>
      </c>
      <c r="Y28" s="9"/>
      <c r="Z28" s="7">
        <v>5883.09</v>
      </c>
      <c r="AA28" s="8">
        <f>IFERROR(Z28/Z444, "NA")</f>
        <v>9.5444850236131151E-3</v>
      </c>
      <c r="AB28" s="9"/>
      <c r="AC28" s="10">
        <f t="shared" si="7"/>
        <v>207.42000000000007</v>
      </c>
      <c r="AD28" s="8">
        <f>IFERROR(AC28/AC444, "NA")</f>
        <v>7.3337288592236595E-3</v>
      </c>
    </row>
    <row r="29" spans="1:30" ht="16.5" customHeight="1" x14ac:dyDescent="0.45">
      <c r="A29" s="13" t="s">
        <v>30</v>
      </c>
      <c r="B29" s="14">
        <f>IFERROR(B21+B22+B23+B24+B25+B26+B27+B28, "NA")</f>
        <v>9445.82</v>
      </c>
      <c r="C29" s="15">
        <f>IFERROR(B29/B444, "NA")</f>
        <v>0.11169812409559866</v>
      </c>
      <c r="D29" s="2"/>
      <c r="E29" s="14">
        <f>IFERROR(E21+E22+E23+E24+E25+E26+E27+E28, "NA")</f>
        <v>7297.66</v>
      </c>
      <c r="F29" s="15">
        <f>IFERROR(E29/E444, "NA")</f>
        <v>7.8000028003507055E-2</v>
      </c>
      <c r="G29" s="2"/>
      <c r="H29" s="14">
        <f t="shared" si="4"/>
        <v>2148.16</v>
      </c>
      <c r="I29" s="15">
        <f>IFERROR(H29/H444, "NA")</f>
        <v>-0.23884101800068916</v>
      </c>
      <c r="J29" s="2"/>
      <c r="K29" s="14">
        <f>IFERROR(K21+K22+K23+K24+K25+K26+K27+K28, "NA")</f>
        <v>7088.31</v>
      </c>
      <c r="L29" s="15">
        <f>IFERROR(K29/K444, "NA")</f>
        <v>8.5611537727576875E-2</v>
      </c>
      <c r="M29" s="2"/>
      <c r="N29" s="14">
        <f t="shared" si="5"/>
        <v>2357.5099999999993</v>
      </c>
      <c r="O29" s="15">
        <f>IFERROR(N29/N444, "NA")</f>
        <v>1.3323706772313906</v>
      </c>
      <c r="P29" s="2"/>
      <c r="Q29" s="14">
        <f>IFERROR(Q21+Q22+Q23+Q24+Q25+Q26+Q27+Q28, "NA")</f>
        <v>58602.990000000005</v>
      </c>
      <c r="R29" s="15">
        <f>IFERROR(Q29/Q444, "NA")</f>
        <v>9.090395085331654E-2</v>
      </c>
      <c r="S29" s="2"/>
      <c r="T29" s="14">
        <f>IFERROR(T21+T22+T23+T24+T25+T26+T27+T28, "NA")</f>
        <v>55597.86</v>
      </c>
      <c r="U29" s="15">
        <f>IFERROR(T29/T444, "NA")</f>
        <v>7.8000006229017219E-2</v>
      </c>
      <c r="V29" s="2"/>
      <c r="W29" s="14">
        <f t="shared" si="6"/>
        <v>3005.1300000000047</v>
      </c>
      <c r="X29" s="15">
        <f>IFERROR(W29/W444, "NA")</f>
        <v>-4.4112854737148703E-2</v>
      </c>
      <c r="Y29" s="2"/>
      <c r="Z29" s="14">
        <f>IFERROR(Z21+Z22+Z23+Z24+Z25+Z26+Z27+Z28, "NA")</f>
        <v>47253.460000000006</v>
      </c>
      <c r="AA29" s="15">
        <f>IFERROR(Z29/Z444, "NA")</f>
        <v>7.6662084259105576E-2</v>
      </c>
      <c r="AB29" s="2"/>
      <c r="AC29" s="14">
        <f t="shared" si="7"/>
        <v>11349.529999999999</v>
      </c>
      <c r="AD29" s="15">
        <f>IFERROR(AC29/AC444, "NA")</f>
        <v>0.40128423343758873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22735.01</v>
      </c>
      <c r="F31" s="8">
        <f>IFERROR(E31/E444, "NA")</f>
        <v>0.24300000502352986</v>
      </c>
      <c r="G31" s="9"/>
      <c r="H31" s="10">
        <f t="shared" ref="H31:H40" si="8">IFERROR(B31-E31, "NA")</f>
        <v>-22735.01</v>
      </c>
      <c r="I31" s="8">
        <f>IFERROR(H31/H444, "NA")</f>
        <v>2.52776931544012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173208.7</v>
      </c>
      <c r="U31" s="8">
        <f>IFERROR(T31/T444, "NA")</f>
        <v>0.24299999458468324</v>
      </c>
      <c r="V31" s="9"/>
      <c r="W31" s="10">
        <f t="shared" ref="W31:W40" si="10">IFERROR(Q31-T31, "NA")</f>
        <v>-173208.7</v>
      </c>
      <c r="X31" s="8">
        <f>IFERROR(W31/W444, "NA")</f>
        <v>2.5425622925831353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10336.91</v>
      </c>
      <c r="C33" s="8">
        <f>IFERROR(B33/B444, "NA")</f>
        <v>0.12223538622851535</v>
      </c>
      <c r="D33" s="9"/>
      <c r="E33" s="7">
        <v>0</v>
      </c>
      <c r="F33" s="8">
        <f>IFERROR(E33/E444, "NA")</f>
        <v>0</v>
      </c>
      <c r="G33" s="9"/>
      <c r="H33" s="10">
        <f t="shared" si="8"/>
        <v>10336.91</v>
      </c>
      <c r="I33" s="8">
        <f>IFERROR(H33/H444, "NA")</f>
        <v>-1.1492989848900939</v>
      </c>
      <c r="J33" s="9"/>
      <c r="K33" s="7">
        <v>6548</v>
      </c>
      <c r="L33" s="8">
        <f>IFERROR(K33/K444, "NA")</f>
        <v>7.9085755143351991E-2</v>
      </c>
      <c r="M33" s="9"/>
      <c r="N33" s="10">
        <f t="shared" si="9"/>
        <v>3788.91</v>
      </c>
      <c r="O33" s="8">
        <f>IFERROR(N33/N444, "NA")</f>
        <v>2.1413408989437115</v>
      </c>
      <c r="P33" s="9"/>
      <c r="Q33" s="7">
        <v>75906.94</v>
      </c>
      <c r="R33" s="8">
        <f>IFERROR(Q33/Q444, "NA")</f>
        <v>0.11774554068291818</v>
      </c>
      <c r="S33" s="9"/>
      <c r="T33" s="7">
        <v>0</v>
      </c>
      <c r="U33" s="8">
        <f>IFERROR(T33/T444, "NA")</f>
        <v>0</v>
      </c>
      <c r="V33" s="9"/>
      <c r="W33" s="10">
        <f t="shared" si="10"/>
        <v>75906.94</v>
      </c>
      <c r="X33" s="8">
        <f>IFERROR(W33/W444, "NA")</f>
        <v>-1.1142519018350145</v>
      </c>
      <c r="Y33" s="9"/>
      <c r="Z33" s="7">
        <v>49271.81</v>
      </c>
      <c r="AA33" s="8">
        <f>IFERROR(Z33/Z444, "NA")</f>
        <v>7.9936572894739127E-2</v>
      </c>
      <c r="AB33" s="9"/>
      <c r="AC33" s="10">
        <f t="shared" si="11"/>
        <v>26635.130000000005</v>
      </c>
      <c r="AD33" s="8">
        <f>IFERROR(AC33/AC444, "NA")</f>
        <v>0.94173571280577484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873.4</v>
      </c>
      <c r="C35" s="8">
        <f>IFERROR(B35/B444, "NA")</f>
        <v>1.0328075443433803E-2</v>
      </c>
      <c r="D35" s="9"/>
      <c r="E35" s="7">
        <v>0</v>
      </c>
      <c r="F35" s="8">
        <f>IFERROR(E35/E444, "NA")</f>
        <v>0</v>
      </c>
      <c r="G35" s="9"/>
      <c r="H35" s="10">
        <f t="shared" si="8"/>
        <v>873.4</v>
      </c>
      <c r="I35" s="8">
        <f>IFERROR(H35/H444, "NA")</f>
        <v>-9.7108104201643231E-2</v>
      </c>
      <c r="J35" s="9"/>
      <c r="K35" s="7">
        <v>334.1</v>
      </c>
      <c r="L35" s="8">
        <f>IFERROR(K35/K444, "NA")</f>
        <v>4.0352093453564298E-3</v>
      </c>
      <c r="M35" s="9"/>
      <c r="N35" s="10">
        <f t="shared" si="9"/>
        <v>539.29999999999995</v>
      </c>
      <c r="O35" s="8">
        <f>IFERROR(N35/N444, "NA")</f>
        <v>0.30479086249088616</v>
      </c>
      <c r="P35" s="9"/>
      <c r="Q35" s="7">
        <v>10060.15</v>
      </c>
      <c r="R35" s="8">
        <f>IFERROR(Q35/Q444, "NA")</f>
        <v>1.56051317718941E-2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10060.15</v>
      </c>
      <c r="X35" s="8">
        <f>IFERROR(W35/W444, "NA")</f>
        <v>-0.14767478797387329</v>
      </c>
      <c r="Y35" s="9"/>
      <c r="Z35" s="7">
        <v>334.1</v>
      </c>
      <c r="AA35" s="8">
        <f>IFERROR(Z35/Z444, "NA")</f>
        <v>5.4203019950215643E-4</v>
      </c>
      <c r="AB35" s="9"/>
      <c r="AC35" s="10">
        <f t="shared" si="11"/>
        <v>9726.0499999999993</v>
      </c>
      <c r="AD35" s="8">
        <f>IFERROR(AC35/AC444, "NA")</f>
        <v>0.34388300825017953</v>
      </c>
    </row>
    <row r="36" spans="1:30" ht="16.5" customHeight="1" x14ac:dyDescent="0.45">
      <c r="A36" s="12" t="s">
        <v>36</v>
      </c>
      <c r="B36" s="7">
        <v>9180.94</v>
      </c>
      <c r="C36" s="8">
        <f>IFERROR(B36/B444, "NA")</f>
        <v>0.10856588156816939</v>
      </c>
      <c r="D36" s="9"/>
      <c r="E36" s="7">
        <v>0</v>
      </c>
      <c r="F36" s="8">
        <f>IFERROR(E36/E444, "NA")</f>
        <v>0</v>
      </c>
      <c r="G36" s="9"/>
      <c r="H36" s="10">
        <f t="shared" si="8"/>
        <v>9180.94</v>
      </c>
      <c r="I36" s="8">
        <f>IFERROR(H36/H444, "NA")</f>
        <v>-1.0207736182608593</v>
      </c>
      <c r="J36" s="9"/>
      <c r="K36" s="7">
        <v>8813.84</v>
      </c>
      <c r="L36" s="8">
        <f>IFERROR(K36/K444, "NA")</f>
        <v>0.10645222848391593</v>
      </c>
      <c r="M36" s="9"/>
      <c r="N36" s="10">
        <f t="shared" si="9"/>
        <v>367.10000000000036</v>
      </c>
      <c r="O36" s="8">
        <f>IFERROR(N36/N444, "NA")</f>
        <v>0.20747028670573786</v>
      </c>
      <c r="P36" s="9"/>
      <c r="Q36" s="7">
        <v>96670.27</v>
      </c>
      <c r="R36" s="8">
        <f>IFERROR(Q36/Q444, "NA")</f>
        <v>0.14995326131067441</v>
      </c>
      <c r="S36" s="9"/>
      <c r="T36" s="7">
        <v>0</v>
      </c>
      <c r="U36" s="8">
        <f>IFERROR(T36/T444, "NA")</f>
        <v>0</v>
      </c>
      <c r="V36" s="9"/>
      <c r="W36" s="10">
        <f t="shared" si="10"/>
        <v>96670.27</v>
      </c>
      <c r="X36" s="8">
        <f>IFERROR(W36/W444, "NA")</f>
        <v>-1.4190406331542855</v>
      </c>
      <c r="Y36" s="9"/>
      <c r="Z36" s="7">
        <v>68544.52</v>
      </c>
      <c r="AA36" s="8">
        <f>IFERROR(Z36/Z444, "NA")</f>
        <v>0.11120383074043566</v>
      </c>
      <c r="AB36" s="9"/>
      <c r="AC36" s="10">
        <f t="shared" si="11"/>
        <v>28125.75</v>
      </c>
      <c r="AD36" s="8">
        <f>IFERROR(AC36/AC444, "NA")</f>
        <v>0.99443941983564632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772.1</v>
      </c>
      <c r="C39" s="8">
        <f>IFERROR(B39/B444, "NA")</f>
        <v>9.1301889739812681E-3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772.1</v>
      </c>
      <c r="I39" s="8">
        <f>IFERROR(H39/H444, "NA")</f>
        <v>-8.5845165163829562E-2</v>
      </c>
      <c r="J39" s="9"/>
      <c r="K39" s="7">
        <v>1171.01</v>
      </c>
      <c r="L39" s="8">
        <f>IFERROR(K39/K444, "NA")</f>
        <v>1.414328193805996E-2</v>
      </c>
      <c r="M39" s="9"/>
      <c r="N39" s="10">
        <f t="shared" si="9"/>
        <v>-398.90999999999997</v>
      </c>
      <c r="O39" s="8">
        <f>IFERROR(N39/N444, "NA")</f>
        <v>-0.22544803069949823</v>
      </c>
      <c r="P39" s="9"/>
      <c r="Q39" s="7">
        <v>6108.15</v>
      </c>
      <c r="R39" s="8">
        <f>IFERROR(Q39/Q444, "NA")</f>
        <v>9.4748572966103835E-3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6108.15</v>
      </c>
      <c r="X39" s="8">
        <f>IFERROR(W39/W444, "NA")</f>
        <v>-8.9662654747952472E-2</v>
      </c>
      <c r="Y39" s="9"/>
      <c r="Z39" s="7">
        <v>8106.98</v>
      </c>
      <c r="AA39" s="8">
        <f>IFERROR(Z39/Z444, "NA")</f>
        <v>1.3152433363543825E-2</v>
      </c>
      <c r="AB39" s="9"/>
      <c r="AC39" s="10">
        <f t="shared" si="11"/>
        <v>-1998.83</v>
      </c>
      <c r="AD39" s="8">
        <f>IFERROR(AC39/AC444, "NA")</f>
        <v>-7.0672438798968382E-2</v>
      </c>
    </row>
    <row r="40" spans="1:30" ht="16.5" customHeight="1" x14ac:dyDescent="0.45">
      <c r="A40" s="13" t="s">
        <v>40</v>
      </c>
      <c r="B40" s="14">
        <f>IFERROR(B31+B32+B33+B34+B35+B36+B37+B38+B39, "NA")</f>
        <v>21163.35</v>
      </c>
      <c r="C40" s="15">
        <f>IFERROR(B40/B444, "NA")</f>
        <v>0.2502595322140998</v>
      </c>
      <c r="D40" s="2"/>
      <c r="E40" s="14">
        <f>IFERROR(E31+E32+E33+E34+E35+E36+E37+E38+E39, "NA")</f>
        <v>22735.01</v>
      </c>
      <c r="F40" s="15">
        <f>IFERROR(E40/E444, "NA")</f>
        <v>0.24300000502352986</v>
      </c>
      <c r="G40" s="2"/>
      <c r="H40" s="14">
        <f t="shared" si="8"/>
        <v>-1571.6599999999999</v>
      </c>
      <c r="I40" s="15">
        <f>IFERROR(H40/H444, "NA")</f>
        <v>0.17474344292369429</v>
      </c>
      <c r="J40" s="2"/>
      <c r="K40" s="14">
        <f>IFERROR(K31+K32+K33+K34+K35+K36+K37+K38+K39, "NA")</f>
        <v>16866.95</v>
      </c>
      <c r="L40" s="15">
        <f>IFERROR(K40/K444, "NA")</f>
        <v>0.20371647491068431</v>
      </c>
      <c r="M40" s="2"/>
      <c r="N40" s="14">
        <f t="shared" si="9"/>
        <v>4296.3999999999978</v>
      </c>
      <c r="O40" s="15">
        <f>IFERROR(N40/N444, "NA")</f>
        <v>2.428154017440836</v>
      </c>
      <c r="P40" s="2"/>
      <c r="Q40" s="14">
        <f>IFERROR(Q31+Q32+Q33+Q34+Q35+Q36+Q37+Q38+Q39, "NA")</f>
        <v>188745.50999999998</v>
      </c>
      <c r="R40" s="15">
        <f>IFERROR(Q40/Q444, "NA")</f>
        <v>0.29277879106209703</v>
      </c>
      <c r="S40" s="2"/>
      <c r="T40" s="14">
        <f>IFERROR(T31+T32+T33+T34+T35+T36+T37+T38+T39, "NA")</f>
        <v>173208.7</v>
      </c>
      <c r="U40" s="15">
        <f>IFERROR(T40/T444, "NA")</f>
        <v>0.24299999458468324</v>
      </c>
      <c r="V40" s="2"/>
      <c r="W40" s="14">
        <f t="shared" si="10"/>
        <v>15536.809999999969</v>
      </c>
      <c r="X40" s="15">
        <f>IFERROR(W40/W444, "NA")</f>
        <v>-0.22806768512799011</v>
      </c>
      <c r="Y40" s="2"/>
      <c r="Z40" s="14">
        <f>IFERROR(Z31+Z32+Z33+Z34+Z35+Z36+Z37+Z38+Z39, "NA")</f>
        <v>126257.40999999999</v>
      </c>
      <c r="AA40" s="15">
        <f>IFERROR(Z40/Z444, "NA")</f>
        <v>0.20483486719822075</v>
      </c>
      <c r="AB40" s="2"/>
      <c r="AC40" s="14">
        <f t="shared" si="11"/>
        <v>62488.099999999991</v>
      </c>
      <c r="AD40" s="15">
        <f>IFERROR(AC40/AC444, "NA")</f>
        <v>2.2093857020926317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1187.8499999999999</v>
      </c>
      <c r="C43" s="8">
        <f>IFERROR(B43/B444, "NA")</f>
        <v>1.4046490056655416E-2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1187.8499999999999</v>
      </c>
      <c r="I43" s="8">
        <f>IFERROR(H43/H444, "NA")</f>
        <v>-0.13206991249819316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1187.8499999999999</v>
      </c>
      <c r="O43" s="8">
        <f>IFERROR(N43/N444, "NA")</f>
        <v>0.67132547007194354</v>
      </c>
      <c r="P43" s="9"/>
      <c r="Q43" s="7">
        <v>25002.59</v>
      </c>
      <c r="R43" s="8">
        <f>IFERROR(Q43/Q444, "NA")</f>
        <v>3.878358787777933E-2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25002.59</v>
      </c>
      <c r="X43" s="8">
        <f>IFERROR(W43/W444, "NA")</f>
        <v>-0.36701760679986728</v>
      </c>
      <c r="Y43" s="9"/>
      <c r="Z43" s="7">
        <v>2534.25</v>
      </c>
      <c r="AA43" s="8">
        <f>IFERROR(Z43/Z444, "NA")</f>
        <v>4.1114637326798561E-3</v>
      </c>
      <c r="AB43" s="9"/>
      <c r="AC43" s="10">
        <f>IFERROR(Q43-Z43, "NA")</f>
        <v>22468.34</v>
      </c>
      <c r="AD43" s="8">
        <f>IFERROR(AC43/AC444, "NA")</f>
        <v>0.79441092217167708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18992.62</v>
      </c>
      <c r="F46" s="8">
        <f>IFERROR(E46/E444, "NA")</f>
        <v>0.20299998792215151</v>
      </c>
      <c r="G46" s="9"/>
      <c r="H46" s="10">
        <f t="shared" ref="H46:H62" si="12">IFERROR(B46-E46, "NA")</f>
        <v>-18992.62</v>
      </c>
      <c r="I46" s="8">
        <f>IFERROR(H46/H444, "NA")</f>
        <v>2.1116754316718724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144696.97</v>
      </c>
      <c r="U46" s="8">
        <f>IFERROR(T46/T444, "NA")</f>
        <v>0.20299998167771058</v>
      </c>
      <c r="V46" s="9"/>
      <c r="W46" s="10">
        <f t="shared" ref="W46:W62" si="14">IFERROR(Q46-T46, "NA")</f>
        <v>-144696.97</v>
      </c>
      <c r="X46" s="8">
        <f>IFERROR(W46/W444, "NA")</f>
        <v>2.1240333757659582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5540.23</v>
      </c>
      <c r="C48" s="8">
        <f>IFERROR(B48/B444, "NA")</f>
        <v>6.5513983757700081E-2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5540.23</v>
      </c>
      <c r="I48" s="8">
        <f>IFERROR(H48/H444, "NA")</f>
        <v>-0.6159849234498167</v>
      </c>
      <c r="J48" s="9"/>
      <c r="K48" s="7">
        <v>12042.08</v>
      </c>
      <c r="L48" s="8">
        <f>IFERROR(K48/K444, "NA")</f>
        <v>0.14544242368611121</v>
      </c>
      <c r="M48" s="9"/>
      <c r="N48" s="10">
        <f t="shared" si="13"/>
        <v>-6501.85</v>
      </c>
      <c r="O48" s="8">
        <f>IFERROR(N48/N444, "NA")</f>
        <v>-3.67458644406892</v>
      </c>
      <c r="P48" s="9"/>
      <c r="Q48" s="7">
        <v>47055.95</v>
      </c>
      <c r="R48" s="8">
        <f>IFERROR(Q48/Q444, "NA")</f>
        <v>7.2992380869237553E-2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47055.95</v>
      </c>
      <c r="X48" s="8">
        <f>IFERROR(W48/W444, "NA")</f>
        <v>-0.69074292522071568</v>
      </c>
      <c r="Y48" s="9"/>
      <c r="Z48" s="7">
        <v>109119.95</v>
      </c>
      <c r="AA48" s="8">
        <f>IFERROR(Z48/Z444, "NA")</f>
        <v>0.17703175177541255</v>
      </c>
      <c r="AB48" s="9"/>
      <c r="AC48" s="10">
        <f t="shared" si="15"/>
        <v>-62064</v>
      </c>
      <c r="AD48" s="8">
        <f>IFERROR(AC48/AC444, "NA")</f>
        <v>-2.1943908394506653</v>
      </c>
    </row>
    <row r="49" spans="1:30" ht="16.5" customHeight="1" x14ac:dyDescent="0.45">
      <c r="A49" s="17" t="s">
        <v>47</v>
      </c>
      <c r="B49" s="7">
        <v>329.99</v>
      </c>
      <c r="C49" s="8">
        <f>IFERROR(B49/B444, "NA")</f>
        <v>3.9021772562156179E-3</v>
      </c>
      <c r="D49" s="9"/>
      <c r="E49" s="7">
        <v>0</v>
      </c>
      <c r="F49" s="8">
        <f>IFERROR(E49/E444, "NA")</f>
        <v>0</v>
      </c>
      <c r="G49" s="9"/>
      <c r="H49" s="10">
        <f t="shared" si="12"/>
        <v>329.99</v>
      </c>
      <c r="I49" s="8">
        <f>IFERROR(H49/H444, "NA")</f>
        <v>-3.6689607631669625E-2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329.99</v>
      </c>
      <c r="O49" s="8">
        <f>IFERROR(N49/N444, "NA")</f>
        <v>0.18649719397991385</v>
      </c>
      <c r="P49" s="9"/>
      <c r="Q49" s="7">
        <v>805.47</v>
      </c>
      <c r="R49" s="8">
        <f>IFERROR(Q49/Q444, "NA")</f>
        <v>1.2494312200422002E-3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805.47</v>
      </c>
      <c r="X49" s="8">
        <f>IFERROR(W49/W444, "NA")</f>
        <v>-1.1823641940658512E-2</v>
      </c>
      <c r="Y49" s="9"/>
      <c r="Z49" s="7">
        <v>890.27</v>
      </c>
      <c r="AA49" s="8">
        <f>IFERROR(Z49/Z444, "NA")</f>
        <v>1.4443377004213851E-3</v>
      </c>
      <c r="AB49" s="9"/>
      <c r="AC49" s="10">
        <f t="shared" si="15"/>
        <v>-84.799999999999955</v>
      </c>
      <c r="AD49" s="8">
        <f>IFERROR(AC49/AC444, "NA")</f>
        <v>-2.9982653903296006E-3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4.8319344611611277E-5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-4.5725656629236669E-4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1.1013675343014989E-3</v>
      </c>
    </row>
    <row r="55" spans="1:30" ht="16.5" customHeight="1" x14ac:dyDescent="0.45">
      <c r="A55" s="17" t="s">
        <v>53</v>
      </c>
      <c r="B55" s="7">
        <v>244.07</v>
      </c>
      <c r="C55" s="8">
        <f>IFERROR(B55/B444, "NA")</f>
        <v>2.8861614076927961E-3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244.07</v>
      </c>
      <c r="I55" s="8">
        <f>IFERROR(H55/H444, "NA")</f>
        <v>-2.7136678489231812E-2</v>
      </c>
      <c r="J55" s="9"/>
      <c r="K55" s="7">
        <v>652.09</v>
      </c>
      <c r="L55" s="8">
        <f>IFERROR(K55/K444, "NA")</f>
        <v>7.8758445435901658E-3</v>
      </c>
      <c r="M55" s="9"/>
      <c r="N55" s="10">
        <f t="shared" si="13"/>
        <v>-408.02000000000004</v>
      </c>
      <c r="O55" s="8">
        <f>IFERROR(N55/N444, "NA")</f>
        <v>-0.23059663955781828</v>
      </c>
      <c r="P55" s="9"/>
      <c r="Q55" s="7">
        <v>2265.2199999999998</v>
      </c>
      <c r="R55" s="8">
        <f>IFERROR(Q55/Q444, "NA")</f>
        <v>3.5137703306938714E-3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2265.2199999999998</v>
      </c>
      <c r="X55" s="8">
        <f>IFERROR(W55/W444, "NA")</f>
        <v>-3.3251580067312839E-2</v>
      </c>
      <c r="Y55" s="9"/>
      <c r="Z55" s="7">
        <v>3048.07</v>
      </c>
      <c r="AA55" s="8">
        <f>IFERROR(Z55/Z444, "NA")</f>
        <v>4.9450643226475249E-3</v>
      </c>
      <c r="AB55" s="9"/>
      <c r="AC55" s="10">
        <f t="shared" si="15"/>
        <v>-782.85000000000036</v>
      </c>
      <c r="AD55" s="8">
        <f>IFERROR(AC55/AC444, "NA")</f>
        <v>-2.7679151660607668E-2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197.7</v>
      </c>
      <c r="L59" s="8">
        <f>IFERROR(K59/K444, "NA")</f>
        <v>2.3877907440196531E-3</v>
      </c>
      <c r="M59" s="9"/>
      <c r="N59" s="10">
        <f t="shared" si="13"/>
        <v>-197.7</v>
      </c>
      <c r="O59" s="8">
        <f>IFERROR(N59/N444, "NA")</f>
        <v>-0.11173215930733951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4294.58</v>
      </c>
      <c r="AA59" s="8">
        <f>IFERROR(Z59/Z444, "NA")</f>
        <v>6.9673512546482219E-3</v>
      </c>
      <c r="AB59" s="9"/>
      <c r="AC59" s="10">
        <f t="shared" si="15"/>
        <v>-4294.58</v>
      </c>
      <c r="AD59" s="8">
        <f>IFERROR(AC59/AC444, "NA")</f>
        <v>-0.15184304929247291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1.993269914154751E-5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-1.8862750808529413E-4</v>
      </c>
      <c r="Y60" s="9"/>
      <c r="Z60" s="7">
        <v>116.96</v>
      </c>
      <c r="AA60" s="8">
        <f>IFERROR(Z60/Z444, "NA")</f>
        <v>1.89751128805065E-4</v>
      </c>
      <c r="AB60" s="9"/>
      <c r="AC60" s="10">
        <f t="shared" si="15"/>
        <v>-104.11</v>
      </c>
      <c r="AD60" s="8">
        <f>IFERROR(AC60/AC444, "NA")</f>
        <v>-3.6810071908869677E-3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6114.2899999999991</v>
      </c>
      <c r="C61" s="15">
        <f>IFERROR(B61/B444, "NA")</f>
        <v>7.2302322421608486E-2</v>
      </c>
      <c r="D61" s="2"/>
      <c r="E61" s="14">
        <f>IFERROR(E46+E47+E48+E49+E50+E51+E52+E53+E54+E55+E56+E57+E58+E59+E60, "NA")</f>
        <v>18992.62</v>
      </c>
      <c r="F61" s="15">
        <f>IFERROR(E61/E444, "NA")</f>
        <v>0.20299998792215151</v>
      </c>
      <c r="G61" s="2"/>
      <c r="H61" s="14">
        <f t="shared" si="12"/>
        <v>-12878.33</v>
      </c>
      <c r="I61" s="15">
        <f>IFERROR(H61/H444, "NA")</f>
        <v>1.4318642221011542</v>
      </c>
      <c r="J61" s="2"/>
      <c r="K61" s="14">
        <f>IFERROR(K46+K47+K48+K49+K50+K51+K52+K53+K54+K55+K56+K57+K58+K59+K60, "NA")</f>
        <v>12891.87</v>
      </c>
      <c r="L61" s="15">
        <f>IFERROR(K61/K444, "NA")</f>
        <v>0.15570605897372103</v>
      </c>
      <c r="M61" s="2"/>
      <c r="N61" s="14">
        <f t="shared" si="13"/>
        <v>-6777.5800000000017</v>
      </c>
      <c r="O61" s="15">
        <f>IFERROR(N61/N444, "NA")</f>
        <v>-3.8304180489541646</v>
      </c>
      <c r="P61" s="2"/>
      <c r="Q61" s="14">
        <f>IFERROR(Q46+Q47+Q48+Q49+Q50+Q51+Q52+Q53+Q54+Q55+Q56+Q57+Q58+Q59+Q60, "NA")</f>
        <v>50170.64</v>
      </c>
      <c r="R61" s="15">
        <f>IFERROR(Q61/Q444, "NA")</f>
        <v>7.7823834463726788E-2</v>
      </c>
      <c r="S61" s="2"/>
      <c r="T61" s="14">
        <f>IFERROR(T46+T47+T48+T49+T50+T51+T52+T53+T54+T55+T56+T57+T58+T59+T60, "NA")</f>
        <v>144696.97</v>
      </c>
      <c r="U61" s="15">
        <f>IFERROR(T61/T444, "NA")</f>
        <v>0.20299998167771058</v>
      </c>
      <c r="V61" s="2"/>
      <c r="W61" s="14">
        <f t="shared" si="14"/>
        <v>-94526.33</v>
      </c>
      <c r="X61" s="15">
        <f>IFERROR(W61/W444, "NA")</f>
        <v>1.3875693444628936</v>
      </c>
      <c r="Y61" s="2"/>
      <c r="Z61" s="14">
        <f>IFERROR(Z46+Z47+Z48+Z49+Z50+Z51+Z52+Z53+Z54+Z55+Z56+Z57+Z58+Z59+Z60, "NA")</f>
        <v>117469.83000000002</v>
      </c>
      <c r="AA61" s="15">
        <f>IFERROR(Z61/Z444, "NA")</f>
        <v>0.19057825618193477</v>
      </c>
      <c r="AB61" s="2"/>
      <c r="AC61" s="14">
        <f t="shared" si="15"/>
        <v>-67299.190000000017</v>
      </c>
      <c r="AD61" s="15">
        <f>IFERROR(AC61/AC444, "NA")</f>
        <v>-2.3794909454506619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7302.1399999999994</v>
      </c>
      <c r="C62" s="15">
        <f>IFERROR(B62/B444, "NA")</f>
        <v>8.6348812478263912E-2</v>
      </c>
      <c r="D62" s="2"/>
      <c r="E62" s="14">
        <f>IFERROR(E42+E43+E44+E46+E47+E48+E49+E50+E51+E52+E53+E54+E55+E56+E57+E58+E59+E60, "NA")</f>
        <v>18992.62</v>
      </c>
      <c r="F62" s="15">
        <f>IFERROR(E62/E444, "NA")</f>
        <v>0.20299998792215151</v>
      </c>
      <c r="G62" s="2"/>
      <c r="H62" s="14">
        <f t="shared" si="12"/>
        <v>-11690.48</v>
      </c>
      <c r="I62" s="15">
        <f>IFERROR(H62/H444, "NA")</f>
        <v>1.2997943096029612</v>
      </c>
      <c r="J62" s="2"/>
      <c r="K62" s="14">
        <f>IFERROR(K42+K43+K44+K46+K47+K48+K49+K50+K51+K52+K53+K54+K55+K56+K57+K58+K59+K60, "NA")</f>
        <v>12891.87</v>
      </c>
      <c r="L62" s="15">
        <f>IFERROR(K62/K444, "NA")</f>
        <v>0.15570605897372103</v>
      </c>
      <c r="M62" s="2"/>
      <c r="N62" s="14">
        <f t="shared" si="13"/>
        <v>-5589.7300000000014</v>
      </c>
      <c r="O62" s="15">
        <f>IFERROR(N62/N444, "NA")</f>
        <v>-3.1590925788822206</v>
      </c>
      <c r="P62" s="2"/>
      <c r="Q62" s="14">
        <f>IFERROR(Q42+Q43+Q44+Q46+Q47+Q48+Q49+Q50+Q51+Q52+Q53+Q54+Q55+Q56+Q57+Q58+Q59+Q60, "NA")</f>
        <v>75173.23</v>
      </c>
      <c r="R62" s="15">
        <f>IFERROR(Q62/Q444, "NA")</f>
        <v>0.11660742234150612</v>
      </c>
      <c r="S62" s="2"/>
      <c r="T62" s="14">
        <f>IFERROR(T42+T43+T44+T46+T47+T48+T49+T50+T51+T52+T53+T54+T55+T56+T57+T58+T59+T60, "NA")</f>
        <v>144696.97</v>
      </c>
      <c r="U62" s="15">
        <f>IFERROR(T62/T444, "NA")</f>
        <v>0.20299998167771058</v>
      </c>
      <c r="V62" s="2"/>
      <c r="W62" s="14">
        <f t="shared" si="14"/>
        <v>-69523.740000000005</v>
      </c>
      <c r="X62" s="15">
        <f>IFERROR(W62/W444, "NA")</f>
        <v>1.0205517376630264</v>
      </c>
      <c r="Y62" s="2"/>
      <c r="Z62" s="14">
        <f>IFERROR(Z42+Z43+Z44+Z46+Z47+Z48+Z49+Z50+Z51+Z52+Z53+Z54+Z55+Z56+Z57+Z58+Z59+Z60, "NA")</f>
        <v>120004.08000000002</v>
      </c>
      <c r="AA62" s="15">
        <f>IFERROR(Z62/Z444, "NA")</f>
        <v>0.19468971991461462</v>
      </c>
      <c r="AB62" s="2"/>
      <c r="AC62" s="14">
        <f t="shared" si="15"/>
        <v>-44830.85000000002</v>
      </c>
      <c r="AD62" s="15">
        <f>IFERROR(AC62/AC444, "NA")</f>
        <v>-1.5850800232789848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3619.82</v>
      </c>
      <c r="C65" s="8">
        <f>IFERROR(B65/B444, "NA")</f>
        <v>4.2804870679700652E-2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3619.82</v>
      </c>
      <c r="I65" s="8">
        <f>IFERROR(H65/H444, "NA")</f>
        <v>-0.40246606108448846</v>
      </c>
      <c r="J65" s="9"/>
      <c r="K65" s="7">
        <v>344.82</v>
      </c>
      <c r="L65" s="8">
        <f>IFERROR(K65/K444, "NA")</f>
        <v>4.1646838864585574E-3</v>
      </c>
      <c r="M65" s="9"/>
      <c r="N65" s="10">
        <f t="shared" si="17"/>
        <v>3275</v>
      </c>
      <c r="O65" s="8">
        <f>IFERROR(N65/N444, "NA")</f>
        <v>1.8508994523598226</v>
      </c>
      <c r="P65" s="9"/>
      <c r="Q65" s="7">
        <v>17112.669999999998</v>
      </c>
      <c r="R65" s="8">
        <f>IFERROR(Q65/Q444, "NA")</f>
        <v>2.6544879581212905E-2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17112.669999999998</v>
      </c>
      <c r="X65" s="8">
        <f>IFERROR(W65/W444, "NA")</f>
        <v>-0.25120002325182644</v>
      </c>
      <c r="Y65" s="9"/>
      <c r="Z65" s="7">
        <v>1640.04</v>
      </c>
      <c r="AA65" s="8">
        <f>IFERROR(Z65/Z444, "NA")</f>
        <v>2.6607339371191759E-3</v>
      </c>
      <c r="AB65" s="9"/>
      <c r="AC65" s="10">
        <f t="shared" si="19"/>
        <v>15472.629999999997</v>
      </c>
      <c r="AD65" s="8">
        <f>IFERROR(AC65/AC444, "NA")</f>
        <v>0.54706428097140924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2879.05</v>
      </c>
      <c r="C68" s="8">
        <f>IFERROR(B68/B444, "NA")</f>
        <v>3.4045163276182837E-2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2879.05</v>
      </c>
      <c r="I68" s="8">
        <f>IFERROR(H68/H444, "NA")</f>
        <v>-0.32010429059049805</v>
      </c>
      <c r="J68" s="9"/>
      <c r="K68" s="7">
        <v>0</v>
      </c>
      <c r="L68" s="8">
        <f>IFERROR(K68/K444, "NA")</f>
        <v>0</v>
      </c>
      <c r="M68" s="9"/>
      <c r="N68" s="10">
        <f t="shared" si="17"/>
        <v>2879.05</v>
      </c>
      <c r="O68" s="8">
        <f>IFERROR(N68/N444, "NA")</f>
        <v>1.6271242956691747</v>
      </c>
      <c r="P68" s="9"/>
      <c r="Q68" s="7">
        <v>8678.0499999999993</v>
      </c>
      <c r="R68" s="8">
        <f>IFERROR(Q68/Q444, "NA")</f>
        <v>1.3461242006638627E-2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8678.0499999999993</v>
      </c>
      <c r="X68" s="8">
        <f>IFERROR(W68/W444, "NA")</f>
        <v>-0.12738668844666043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8678.0499999999993</v>
      </c>
      <c r="AD68" s="8">
        <f>IFERROR(AC68/AC444, "NA")</f>
        <v>0.30682897370931372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6498.8700000000008</v>
      </c>
      <c r="C73" s="15">
        <f>IFERROR(B73/B444, "NA")</f>
        <v>7.6850033955883496E-2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6498.8700000000008</v>
      </c>
      <c r="I73" s="15">
        <f>IFERROR(H73/H444, "NA")</f>
        <v>-0.72257035167498651</v>
      </c>
      <c r="J73" s="2"/>
      <c r="K73" s="14">
        <f>IFERROR(K64+K65+K66+K67+K68+K69+K70+K71+K72, "NA")</f>
        <v>344.82</v>
      </c>
      <c r="L73" s="15">
        <f>IFERROR(K73/K444, "NA")</f>
        <v>4.1646838864585574E-3</v>
      </c>
      <c r="M73" s="2"/>
      <c r="N73" s="14">
        <f t="shared" si="17"/>
        <v>6154.0500000000011</v>
      </c>
      <c r="O73" s="15">
        <f>IFERROR(N73/N444, "NA")</f>
        <v>3.4780237480289977</v>
      </c>
      <c r="P73" s="2"/>
      <c r="Q73" s="14">
        <f>IFERROR(Q64+Q65+Q66+Q67+Q68+Q69+Q70+Q71+Q72, "NA")</f>
        <v>25790.719999999998</v>
      </c>
      <c r="R73" s="15">
        <f>IFERROR(Q73/Q444, "NA")</f>
        <v>4.000612158785153E-2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25790.719999999998</v>
      </c>
      <c r="X73" s="15">
        <f>IFERROR(W73/W444, "NA")</f>
        <v>-0.3785867116984869</v>
      </c>
      <c r="Y73" s="2"/>
      <c r="Z73" s="14">
        <f>IFERROR(Z64+Z65+Z66+Z67+Z68+Z69+Z70+Z71+Z72, "NA")</f>
        <v>1640.04</v>
      </c>
      <c r="AA73" s="15">
        <f>IFERROR(Z73/Z444, "NA")</f>
        <v>2.6607339371191759E-3</v>
      </c>
      <c r="AB73" s="2"/>
      <c r="AC73" s="14">
        <f t="shared" si="19"/>
        <v>24150.679999999997</v>
      </c>
      <c r="AD73" s="15">
        <f>IFERROR(AC73/AC444, "NA")</f>
        <v>0.85389325468072297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1590.52</v>
      </c>
      <c r="F75" s="8">
        <f>IFERROR(E75/E444, "NA")</f>
        <v>1.7000052693622071E-2</v>
      </c>
      <c r="G75" s="9"/>
      <c r="H75" s="10">
        <f t="shared" ref="H75:H92" si="20">IFERROR(B75-E75, "NA")</f>
        <v>-1590.52</v>
      </c>
      <c r="I75" s="8">
        <f>IFERROR(H75/H444, "NA")</f>
        <v>0.17684037313349851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12117.48</v>
      </c>
      <c r="U75" s="8">
        <f>IFERROR(T75/T444, "NA")</f>
        <v>1.6999998120071375E-2</v>
      </c>
      <c r="V75" s="9"/>
      <c r="W75" s="10">
        <f t="shared" ref="W75:W92" si="22">IFERROR(Q75-T75, "NA")</f>
        <v>-12117.48</v>
      </c>
      <c r="X75" s="8">
        <f>IFERROR(W75/W444, "NA")</f>
        <v>0.17787471258158677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241.5</v>
      </c>
      <c r="C77" s="8">
        <f>IFERROR(B77/B444, "NA")</f>
        <v>2.855770803285165E-3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241.5</v>
      </c>
      <c r="I77" s="8">
        <f>IFERROR(H77/H444, "NA")</f>
        <v>-2.6850935613346508E-2</v>
      </c>
      <c r="J77" s="9"/>
      <c r="K77" s="7">
        <v>161.46</v>
      </c>
      <c r="L77" s="8">
        <f>IFERROR(K77/K444, "NA")</f>
        <v>1.9500894968609672E-3</v>
      </c>
      <c r="M77" s="9"/>
      <c r="N77" s="10">
        <f t="shared" si="21"/>
        <v>80.039999999999992</v>
      </c>
      <c r="O77" s="8">
        <f>IFERROR(N77/N444, "NA")</f>
        <v>4.5235417455535935E-2</v>
      </c>
      <c r="P77" s="9"/>
      <c r="Q77" s="7">
        <v>2543.0100000000002</v>
      </c>
      <c r="R77" s="8">
        <f>IFERROR(Q77/Q444, "NA")</f>
        <v>3.9446734041981898E-3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2543.0100000000002</v>
      </c>
      <c r="X77" s="8">
        <f>IFERROR(W77/W444, "NA")</f>
        <v>-3.7329310454162171E-2</v>
      </c>
      <c r="Y77" s="9"/>
      <c r="Z77" s="7">
        <v>843.18</v>
      </c>
      <c r="AA77" s="8">
        <f>IFERROR(Z77/Z444, "NA")</f>
        <v>1.3679408069926016E-3</v>
      </c>
      <c r="AB77" s="9"/>
      <c r="AC77" s="10">
        <f t="shared" si="23"/>
        <v>1699.8300000000004</v>
      </c>
      <c r="AD77" s="8">
        <f>IFERROR(AC77/AC444, "NA")</f>
        <v>6.0100724745801519E-2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9.2166224584607921E-5</v>
      </c>
      <c r="AB79" s="9"/>
      <c r="AC79" s="10">
        <f t="shared" si="23"/>
        <v>-56.81</v>
      </c>
      <c r="AD79" s="8">
        <f>IFERROR(AC79/AC444, "NA")</f>
        <v>-2.0086256701017063E-3</v>
      </c>
    </row>
    <row r="80" spans="1:30" ht="16.5" customHeight="1" x14ac:dyDescent="0.45">
      <c r="A80" s="12" t="s">
        <v>76</v>
      </c>
      <c r="B80" s="7">
        <v>569</v>
      </c>
      <c r="C80" s="8">
        <f>IFERROR(B80/B444, "NA")</f>
        <v>6.7285034661252957E-3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569</v>
      </c>
      <c r="I80" s="8">
        <f>IFERROR(H80/H444, "NA")</f>
        <v>-6.3263695089002744E-2</v>
      </c>
      <c r="J80" s="9"/>
      <c r="K80" s="7">
        <v>1083.81</v>
      </c>
      <c r="L80" s="8">
        <f>IFERROR(K80/K444, "NA")</f>
        <v>1.309009350670683E-2</v>
      </c>
      <c r="M80" s="9"/>
      <c r="N80" s="10">
        <f t="shared" si="21"/>
        <v>-514.80999999999995</v>
      </c>
      <c r="O80" s="8">
        <f>IFERROR(N80/N444, "NA")</f>
        <v>-0.29095009070820155</v>
      </c>
      <c r="P80" s="9"/>
      <c r="Q80" s="7">
        <v>5085.8100000000004</v>
      </c>
      <c r="R80" s="8">
        <f>IFERROR(Q80/Q444, "NA")</f>
        <v>7.8890210600057395E-3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5085.8100000000004</v>
      </c>
      <c r="X80" s="8">
        <f>IFERROR(W80/W444, "NA")</f>
        <v>-7.4655538279787534E-2</v>
      </c>
      <c r="Y80" s="9"/>
      <c r="Z80" s="7">
        <v>10121.49</v>
      </c>
      <c r="AA80" s="8">
        <f>IFERROR(Z80/Z444, "NA")</f>
        <v>1.6420692139955347E-2</v>
      </c>
      <c r="AB80" s="9"/>
      <c r="AC80" s="10">
        <f t="shared" si="23"/>
        <v>-5035.6799999999994</v>
      </c>
      <c r="AD80" s="8">
        <f>IFERROR(AC80/AC444, "NA")</f>
        <v>-0.17804605024498785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3.8779570314294769E-5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-3.6697958771458004E-4</v>
      </c>
      <c r="Y82" s="9"/>
      <c r="Z82" s="7">
        <v>25</v>
      </c>
      <c r="AA82" s="8">
        <f>IFERROR(Z82/Z444, "NA")</f>
        <v>4.0558979310248163E-5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810.5</v>
      </c>
      <c r="C88" s="15">
        <f>IFERROR(B88/B444, "NA")</f>
        <v>9.5842742694104612E-3</v>
      </c>
      <c r="D88" s="2"/>
      <c r="E88" s="14">
        <f>IFERROR(E75+E76+E77+E78+E79+E80+E81+E82+E83+E84+E85+E86+E87, "NA")</f>
        <v>1590.52</v>
      </c>
      <c r="F88" s="15">
        <f>IFERROR(E88/E444, "NA")</f>
        <v>1.7000052693622071E-2</v>
      </c>
      <c r="G88" s="2"/>
      <c r="H88" s="14">
        <f t="shared" si="20"/>
        <v>-780.02</v>
      </c>
      <c r="I88" s="15">
        <f>IFERROR(H88/H444, "NA")</f>
        <v>8.672574243114925E-2</v>
      </c>
      <c r="J88" s="2"/>
      <c r="K88" s="14">
        <f>IFERROR(K75+K76+K77+K78+K79+K80+K81+K82+K83+K84+K85+K86+K87, "NA")</f>
        <v>1245.27</v>
      </c>
      <c r="L88" s="15">
        <f>IFERROR(K88/K444, "NA")</f>
        <v>1.5040183003567797E-2</v>
      </c>
      <c r="M88" s="2"/>
      <c r="N88" s="14">
        <f t="shared" si="21"/>
        <v>-434.77</v>
      </c>
      <c r="O88" s="15">
        <f>IFERROR(N88/N444, "NA")</f>
        <v>-0.24571467325266566</v>
      </c>
      <c r="P88" s="2"/>
      <c r="Q88" s="14">
        <f>IFERROR(Q75+Q76+Q77+Q78+Q79+Q80+Q81+Q82+Q83+Q84+Q85+Q86+Q87, "NA")</f>
        <v>7653.8200000000006</v>
      </c>
      <c r="R88" s="15">
        <f>IFERROR(Q88/Q444, "NA")</f>
        <v>1.1872474034518224E-2</v>
      </c>
      <c r="S88" s="2"/>
      <c r="T88" s="14">
        <f>IFERROR(T75+T76+T77+T78+T79+T80+T81+T82+T83+T84+T85+T86+T87, "NA")</f>
        <v>12117.48</v>
      </c>
      <c r="U88" s="15">
        <f>IFERROR(T88/T444, "NA")</f>
        <v>1.6999998120071375E-2</v>
      </c>
      <c r="V88" s="2"/>
      <c r="W88" s="14">
        <f t="shared" si="22"/>
        <v>-4463.6599999999989</v>
      </c>
      <c r="X88" s="15">
        <f>IFERROR(W88/W444, "NA")</f>
        <v>6.5522884259922476E-2</v>
      </c>
      <c r="Y88" s="2"/>
      <c r="Z88" s="14">
        <f>IFERROR(Z75+Z76+Z77+Z78+Z79+Z80+Z81+Z82+Z83+Z84+Z85+Z86+Z87, "NA")</f>
        <v>11046.48</v>
      </c>
      <c r="AA88" s="15">
        <f>IFERROR(Z88/Z444, "NA")</f>
        <v>1.7921358150842802E-2</v>
      </c>
      <c r="AB88" s="2"/>
      <c r="AC88" s="14">
        <f t="shared" si="23"/>
        <v>-3392.6599999999989</v>
      </c>
      <c r="AD88" s="15">
        <f>IFERROR(AC88/AC444, "NA")</f>
        <v>-0.11995395116928803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287.36</v>
      </c>
      <c r="L89" s="8">
        <f>IFERROR(K89/K444, "NA")</f>
        <v>3.4706906838719654E-3</v>
      </c>
      <c r="M89" s="9"/>
      <c r="N89" s="10">
        <f t="shared" si="21"/>
        <v>-287.36</v>
      </c>
      <c r="O89" s="8">
        <f>IFERROR(N89/N444, "NA")</f>
        <v>-0.16240441729163926</v>
      </c>
      <c r="P89" s="9"/>
      <c r="Q89" s="7">
        <v>-140.33000000000001</v>
      </c>
      <c r="R89" s="8">
        <f>IFERROR(Q89/Q444, "NA")</f>
        <v>-2.1767748408819943E-4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-140.33000000000001</v>
      </c>
      <c r="X89" s="8">
        <f>IFERROR(W89/W444, "NA")</f>
        <v>2.0599298217594806E-3</v>
      </c>
      <c r="Y89" s="9"/>
      <c r="Z89" s="7">
        <v>1146.1600000000001</v>
      </c>
      <c r="AA89" s="8">
        <f>IFERROR(Z89/Z444, "NA")</f>
        <v>1.8594831890493613E-3</v>
      </c>
      <c r="AB89" s="9"/>
      <c r="AC89" s="10">
        <f t="shared" si="23"/>
        <v>-1286.49</v>
      </c>
      <c r="AD89" s="8">
        <f>IFERROR(AC89/AC444, "NA")</f>
        <v>-4.5486302382135968E-2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-3274.59</v>
      </c>
      <c r="F94" s="8">
        <f>IFERROR(E94/E444, "NA")</f>
        <v>-3.500000160325422E-2</v>
      </c>
      <c r="G94" s="9"/>
      <c r="H94" s="10">
        <f t="shared" ref="H94:H124" si="24">IFERROR(B94-E94, "NA")</f>
        <v>3274.59</v>
      </c>
      <c r="I94" s="8">
        <f>IFERROR(H94/H444, "NA")</f>
        <v>-0.36408200931721885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-24947.759999999998</v>
      </c>
      <c r="U94" s="8">
        <f>IFERROR(T94/T444, "NA")</f>
        <v>-3.5000006032606772E-2</v>
      </c>
      <c r="V94" s="9"/>
      <c r="W94" s="10">
        <f t="shared" ref="W94:W124" si="26">IFERROR(Q94-T94, "NA")</f>
        <v>24947.759999999998</v>
      </c>
      <c r="X94" s="8">
        <f>IFERROR(W94/W444, "NA")</f>
        <v>-0.3662127471680916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-1769</v>
      </c>
      <c r="C96" s="8">
        <f>IFERROR(B96/B444, "NA")</f>
        <v>-2.0918668948287606E-2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-1769</v>
      </c>
      <c r="I96" s="8">
        <f>IFERROR(H96/H444, "NA")</f>
        <v>0.19668449316774317</v>
      </c>
      <c r="J96" s="9"/>
      <c r="K96" s="7">
        <v>-23.2</v>
      </c>
      <c r="L96" s="8">
        <f>IFERROR(K96/K444, "NA")</f>
        <v>-2.8020609641505288E-4</v>
      </c>
      <c r="M96" s="9"/>
      <c r="N96" s="10">
        <f t="shared" si="25"/>
        <v>-1745.8</v>
      </c>
      <c r="O96" s="8">
        <f>IFERROR(N96/N444, "NA")</f>
        <v>-0.98665656913886357</v>
      </c>
      <c r="P96" s="9"/>
      <c r="Q96" s="7">
        <v>-13106.75</v>
      </c>
      <c r="R96" s="8">
        <f>IFERROR(Q96/Q444, "NA")</f>
        <v>-2.0330965328675319E-2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-13106.75</v>
      </c>
      <c r="X96" s="8">
        <f>IFERROR(W96/W444, "NA")</f>
        <v>0.19239638845112286</v>
      </c>
      <c r="Y96" s="9"/>
      <c r="Z96" s="7">
        <v>-550.78</v>
      </c>
      <c r="AA96" s="8">
        <f>IFERROR(Z96/Z444, "NA")</f>
        <v>-8.9356298497993928E-4</v>
      </c>
      <c r="AB96" s="9"/>
      <c r="AC96" s="10">
        <f t="shared" si="27"/>
        <v>-12555.97</v>
      </c>
      <c r="AD96" s="8">
        <f>IFERROR(AC96/AC444, "NA")</f>
        <v>-0.4439402157195374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-2771.36</v>
      </c>
      <c r="C98" s="8">
        <f>IFERROR(B98/B444, "NA")</f>
        <v>-3.2771714175537786E-2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-2771.36</v>
      </c>
      <c r="I98" s="8">
        <f>IFERROR(H98/H444, "NA")</f>
        <v>0.30813088580291503</v>
      </c>
      <c r="J98" s="9"/>
      <c r="K98" s="7">
        <v>-2163.9</v>
      </c>
      <c r="L98" s="8">
        <f>IFERROR(K98/K444, "NA")</f>
        <v>-2.6135257415195387E-2</v>
      </c>
      <c r="M98" s="9"/>
      <c r="N98" s="10">
        <f t="shared" si="25"/>
        <v>-607.46</v>
      </c>
      <c r="O98" s="8">
        <f>IFERROR(N98/N444, "NA")</f>
        <v>-0.34331217750549553</v>
      </c>
      <c r="P98" s="9"/>
      <c r="Q98" s="7">
        <v>-13050.95</v>
      </c>
      <c r="R98" s="8">
        <f>IFERROR(Q98/Q444, "NA")</f>
        <v>-2.0244409327733814E-2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-13050.95</v>
      </c>
      <c r="X98" s="8">
        <f>IFERROR(W98/W444, "NA")</f>
        <v>0.19157729001134394</v>
      </c>
      <c r="Y98" s="9"/>
      <c r="Z98" s="7">
        <v>-10289.59</v>
      </c>
      <c r="AA98" s="8">
        <f>IFERROR(Z98/Z444, "NA")</f>
        <v>-1.6693410716837456E-2</v>
      </c>
      <c r="AB98" s="9"/>
      <c r="AC98" s="10">
        <f t="shared" si="27"/>
        <v>-2761.3600000000006</v>
      </c>
      <c r="AD98" s="8">
        <f>IFERROR(AC98/AC444, "NA")</f>
        <v>-9.763313818679896E-2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-18</v>
      </c>
      <c r="C100" s="8">
        <f>IFERROR(B100/B444, "NA")</f>
        <v>-2.1285248223243468E-4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-18</v>
      </c>
      <c r="I100" s="8">
        <f>IFERROR(H100/H444, "NA")</f>
        <v>2.0013119711811064E-3</v>
      </c>
      <c r="J100" s="9"/>
      <c r="K100" s="7">
        <v>-30.95</v>
      </c>
      <c r="L100" s="8">
        <f>IFERROR(K100/K444, "NA")</f>
        <v>-3.7380942603646063E-4</v>
      </c>
      <c r="M100" s="9"/>
      <c r="N100" s="10">
        <f t="shared" si="25"/>
        <v>12.95</v>
      </c>
      <c r="O100" s="8">
        <f>IFERROR(N100/N444, "NA")</f>
        <v>7.3188237887205189E-3</v>
      </c>
      <c r="P100" s="9"/>
      <c r="Q100" s="7">
        <v>-2149.38</v>
      </c>
      <c r="R100" s="8">
        <f>IFERROR(Q100/Q444, "NA")</f>
        <v>-3.3340813136855559E-3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-2149.38</v>
      </c>
      <c r="X100" s="8">
        <f>IFERROR(W100/W444, "NA")</f>
        <v>3.1551143449678562E-2</v>
      </c>
      <c r="Y100" s="9"/>
      <c r="Z100" s="7">
        <v>-4428.96</v>
      </c>
      <c r="AA100" s="8">
        <f>IFERROR(Z100/Z444, "NA")</f>
        <v>-7.1853638802366676E-3</v>
      </c>
      <c r="AB100" s="9"/>
      <c r="AC100" s="10">
        <f t="shared" si="27"/>
        <v>2279.58</v>
      </c>
      <c r="AD100" s="8">
        <f>IFERROR(AC100/AC444, "NA")</f>
        <v>8.0598889368957011E-2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-606.75</v>
      </c>
      <c r="C102" s="8">
        <f>IFERROR(B102/B444, "NA")</f>
        <v>-7.1749024219183184E-3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-606.75</v>
      </c>
      <c r="I102" s="8">
        <f>IFERROR(H102/H444, "NA")</f>
        <v>6.7460891028563119E-2</v>
      </c>
      <c r="J102" s="9"/>
      <c r="K102" s="7">
        <v>-200.2</v>
      </c>
      <c r="L102" s="8">
        <f>IFERROR(K102/K444, "NA")</f>
        <v>-2.4179853664781717E-3</v>
      </c>
      <c r="M102" s="9"/>
      <c r="N102" s="10">
        <f t="shared" si="25"/>
        <v>-406.55</v>
      </c>
      <c r="O102" s="8">
        <f>IFERROR(N102/N444, "NA")</f>
        <v>-0.2297658541547743</v>
      </c>
      <c r="P102" s="9"/>
      <c r="Q102" s="7">
        <v>-5085</v>
      </c>
      <c r="R102" s="8">
        <f>IFERROR(Q102/Q444, "NA")</f>
        <v>-7.8877646019275566E-3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-5085</v>
      </c>
      <c r="X102" s="8">
        <f>IFERROR(W102/W444, "NA")</f>
        <v>7.4643648141145574E-2</v>
      </c>
      <c r="Y102" s="9"/>
      <c r="Z102" s="7">
        <v>-1639.18</v>
      </c>
      <c r="AA102" s="8">
        <f>IFERROR(Z102/Z444, "NA")</f>
        <v>-2.6593387082309034E-3</v>
      </c>
      <c r="AB102" s="9"/>
      <c r="AC102" s="10">
        <f t="shared" si="27"/>
        <v>-3445.8199999999997</v>
      </c>
      <c r="AD102" s="8">
        <f>IFERROR(AC102/AC444, "NA")</f>
        <v>-0.12183352414275411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-444.11</v>
      </c>
      <c r="C104" s="8">
        <f>IFERROR(B104/B444, "NA")</f>
        <v>-5.2516619935692533E-3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-444.11</v>
      </c>
      <c r="I104" s="8">
        <f>IFERROR(H104/H444, "NA")</f>
        <v>4.9377925528957839E-2</v>
      </c>
      <c r="J104" s="9"/>
      <c r="K104" s="7">
        <v>-349.56</v>
      </c>
      <c r="L104" s="8">
        <f>IFERROR(K104/K444, "NA")</f>
        <v>-4.2219328906399085E-3</v>
      </c>
      <c r="M104" s="9"/>
      <c r="N104" s="10">
        <f t="shared" si="25"/>
        <v>-94.550000000000011</v>
      </c>
      <c r="O104" s="8">
        <f>IFERROR(N104/N444, "NA")</f>
        <v>-5.3435891059731677E-2</v>
      </c>
      <c r="P104" s="9"/>
      <c r="Q104" s="7">
        <v>-3676.51</v>
      </c>
      <c r="R104" s="8">
        <f>IFERROR(Q104/Q444, "NA")</f>
        <v>-5.7029391222483145E-3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-3676.51</v>
      </c>
      <c r="X104" s="8">
        <f>IFERROR(W104/W444, "NA")</f>
        <v>5.3968164961141228E-2</v>
      </c>
      <c r="Y104" s="9"/>
      <c r="Z104" s="7">
        <v>-4128.97</v>
      </c>
      <c r="AA104" s="8">
        <f>IFERROR(Z104/Z444, "NA")</f>
        <v>-6.6986723521054144E-3</v>
      </c>
      <c r="AB104" s="9"/>
      <c r="AC104" s="10">
        <f t="shared" si="27"/>
        <v>452.46000000000004</v>
      </c>
      <c r="AD104" s="8">
        <f>IFERROR(AC104/AC444, "NA")</f>
        <v>1.5997584416374198E-2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-62.25</v>
      </c>
      <c r="R106" s="8">
        <f>IFERROR(Q106/Q444, "NA")</f>
        <v>-9.6561130082593974E-5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-62.25</v>
      </c>
      <c r="X106" s="8">
        <f>IFERROR(W106/W444, "NA")</f>
        <v>9.1377917340930426E-4</v>
      </c>
      <c r="Y106" s="9"/>
      <c r="Z106" s="7">
        <v>-1447.29</v>
      </c>
      <c r="AA106" s="8">
        <f>IFERROR(Z106/Z444, "NA")</f>
        <v>-2.3480242066371624E-3</v>
      </c>
      <c r="AB106" s="9"/>
      <c r="AC106" s="10">
        <f t="shared" si="27"/>
        <v>1385.04</v>
      </c>
      <c r="AD106" s="8">
        <f>IFERROR(AC106/AC444, "NA")</f>
        <v>4.8970725191298491E-2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-6.0389244917037261E-5</v>
      </c>
      <c r="M108" s="9"/>
      <c r="N108" s="10">
        <f t="shared" si="25"/>
        <v>5</v>
      </c>
      <c r="O108" s="8">
        <f>IFERROR(N108/N444, "NA")</f>
        <v>2.8258006906256832E-3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-70</v>
      </c>
      <c r="AA108" s="8">
        <f>IFERROR(Z108/Z444, "NA")</f>
        <v>-1.1356514206869485E-4</v>
      </c>
      <c r="AB108" s="9"/>
      <c r="AC108" s="10">
        <f t="shared" si="27"/>
        <v>70</v>
      </c>
      <c r="AD108" s="8">
        <f>IFERROR(AC108/AC444, "NA")</f>
        <v>2.4749832231494356E-3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-5609.22</v>
      </c>
      <c r="C118" s="15">
        <f>IFERROR(B118/B444, "NA")</f>
        <v>-6.6329800021545399E-2</v>
      </c>
      <c r="D118" s="2"/>
      <c r="E118" s="14">
        <f>IFERROR(E94+E95+E96+E97+E98+E99+E100+E101+E102+E103+E104+E105+E106+E107+E108+E109+E110+E111+E112+E113+E114+E115+E116+E117, "NA")</f>
        <v>-3274.59</v>
      </c>
      <c r="F118" s="15">
        <f>IFERROR(E118/E444, "NA")</f>
        <v>-3.500000160325422E-2</v>
      </c>
      <c r="G118" s="2"/>
      <c r="H118" s="14">
        <f t="shared" si="24"/>
        <v>-2334.63</v>
      </c>
      <c r="I118" s="15">
        <f>IFERROR(H118/H444, "NA")</f>
        <v>0.25957349818214148</v>
      </c>
      <c r="J118" s="2"/>
      <c r="K118" s="14">
        <f>IFERROR(K94+K95+K96+K97+K98+K99+K100+K101+K102+K103+K104+K105+K106+K107+K108+K109+K110+K111+K112+K113+K114+K115+K116+K117, "NA")</f>
        <v>-2772.8099999999995</v>
      </c>
      <c r="L118" s="15">
        <f>IFERROR(K118/K444, "NA")</f>
        <v>-3.3489580439682011E-2</v>
      </c>
      <c r="M118" s="2"/>
      <c r="N118" s="14">
        <f t="shared" si="25"/>
        <v>-2836.4100000000008</v>
      </c>
      <c r="O118" s="15">
        <f>IFERROR(N118/N444, "NA")</f>
        <v>-1.6030258673795192</v>
      </c>
      <c r="P118" s="2"/>
      <c r="Q118" s="14">
        <f>IFERROR(Q94+Q95+Q96+Q97+Q98+Q99+Q100+Q101+Q102+Q103+Q104+Q105+Q106+Q107+Q108+Q109+Q110+Q111+Q112+Q113+Q114+Q115+Q116+Q117, "NA")</f>
        <v>-37130.840000000004</v>
      </c>
      <c r="R118" s="15">
        <f>IFERROR(Q118/Q444, "NA")</f>
        <v>-5.7596720824353159E-2</v>
      </c>
      <c r="S118" s="2"/>
      <c r="T118" s="14">
        <f>IFERROR(T94+T95+T96+T97+T98+T99+T100+T101+T102+T103+T104+T105+T106+T107+T108+T109+T110+T111+T112+T113+T114+T115+T116+T117, "NA")</f>
        <v>-24947.759999999998</v>
      </c>
      <c r="U118" s="15">
        <f>IFERROR(T118/T444, "NA")</f>
        <v>-3.5000006032606772E-2</v>
      </c>
      <c r="V118" s="2"/>
      <c r="W118" s="14">
        <f t="shared" si="26"/>
        <v>-12183.080000000005</v>
      </c>
      <c r="X118" s="15">
        <f>IFERROR(W118/W444, "NA")</f>
        <v>0.1788376670197499</v>
      </c>
      <c r="Y118" s="2"/>
      <c r="Z118" s="14">
        <f>IFERROR(Z94+Z95+Z96+Z97+Z98+Z99+Z100+Z101+Z102+Z103+Z104+Z105+Z106+Z107+Z108+Z109+Z110+Z111+Z112+Z113+Z114+Z115+Z116+Z117, "NA")</f>
        <v>-22554.770000000004</v>
      </c>
      <c r="AA118" s="15">
        <f>IFERROR(Z118/Z444, "NA")</f>
        <v>-3.6591937991096245E-2</v>
      </c>
      <c r="AB118" s="2"/>
      <c r="AC118" s="14">
        <f t="shared" si="27"/>
        <v>-14576.07</v>
      </c>
      <c r="AD118" s="15">
        <f>IFERROR(AC118/AC444, "NA")</f>
        <v>-0.51536469584931133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84565.61000000003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93559.709999999992</v>
      </c>
      <c r="F122" s="15">
        <f>IFERROR(E122/E444, "NA")</f>
        <v>0.99999999999999989</v>
      </c>
      <c r="G122" s="2"/>
      <c r="H122" s="14">
        <f t="shared" si="24"/>
        <v>-8994.0999999999622</v>
      </c>
      <c r="I122" s="15">
        <f>IFERROR(H122/H444, "NA")</f>
        <v>0.99999999999999512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82796.200000000012</v>
      </c>
      <c r="L122" s="15">
        <f>IFERROR(K122/K444, "NA")</f>
        <v>1.0000000000000002</v>
      </c>
      <c r="M122" s="2"/>
      <c r="N122" s="14">
        <f t="shared" si="25"/>
        <v>1769.410000000018</v>
      </c>
      <c r="O122" s="15">
        <f>IFERROR(N122/N444, "NA")</f>
        <v>1.0000000000000082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644669.3400000002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712793.02</v>
      </c>
      <c r="U122" s="15">
        <f>IFERROR(T122/T444, "NA")</f>
        <v>1</v>
      </c>
      <c r="V122" s="2"/>
      <c r="W122" s="14">
        <f t="shared" si="26"/>
        <v>-68123.679999999818</v>
      </c>
      <c r="X122" s="15">
        <f>IFERROR(W122/W444, "NA")</f>
        <v>0.99999999999999656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616386.31999999995</v>
      </c>
      <c r="AA122" s="15">
        <f>IFERROR(Z122/Z444, "NA")</f>
        <v>1</v>
      </c>
      <c r="AB122" s="2"/>
      <c r="AC122" s="14">
        <f t="shared" si="27"/>
        <v>28283.020000000251</v>
      </c>
      <c r="AD122" s="15">
        <f>IFERROR(AC122/AC444, "NA")</f>
        <v>1.0000000000000082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84565.61000000003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93559.709999999992</v>
      </c>
      <c r="F124" s="15">
        <f>IFERROR(E124/E444, "NA")</f>
        <v>0.99999999999999989</v>
      </c>
      <c r="G124" s="2"/>
      <c r="H124" s="14">
        <f t="shared" si="24"/>
        <v>-8994.0999999999622</v>
      </c>
      <c r="I124" s="15">
        <f>IFERROR(H124/H444, "NA")</f>
        <v>0.99999999999999512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82796.200000000012</v>
      </c>
      <c r="L124" s="15">
        <f>IFERROR(K124/K444, "NA")</f>
        <v>1.0000000000000002</v>
      </c>
      <c r="M124" s="2"/>
      <c r="N124" s="14">
        <f t="shared" si="25"/>
        <v>1769.410000000018</v>
      </c>
      <c r="O124" s="15">
        <f>IFERROR(N124/N444, "NA")</f>
        <v>1.0000000000000082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644669.3400000002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712793.02</v>
      </c>
      <c r="U124" s="15">
        <f>IFERROR(T124/T444, "NA")</f>
        <v>1</v>
      </c>
      <c r="V124" s="2"/>
      <c r="W124" s="14">
        <f t="shared" si="26"/>
        <v>-68123.679999999818</v>
      </c>
      <c r="X124" s="15">
        <f>IFERROR(W124/W444, "NA")</f>
        <v>0.99999999999999656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616386.31999999995</v>
      </c>
      <c r="AA124" s="15">
        <f>IFERROR(Z124/Z444, "NA")</f>
        <v>1</v>
      </c>
      <c r="AB124" s="2"/>
      <c r="AC124" s="14">
        <f t="shared" si="27"/>
        <v>28283.020000000251</v>
      </c>
      <c r="AD124" s="15">
        <f>IFERROR(AC124/AC444, "NA")</f>
        <v>1.0000000000000082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20676.7</v>
      </c>
      <c r="F129" s="8">
        <f>IFERROR(E129/E444, "NA")</f>
        <v>0.22100004371539841</v>
      </c>
      <c r="G129" s="9"/>
      <c r="H129" s="10">
        <f t="shared" ref="H129:H141" si="28">IFERROR(-(B129-E129), "NA")</f>
        <v>20676.7</v>
      </c>
      <c r="I129" s="8">
        <f>IFERROR(H129/H444, "NA")</f>
        <v>-2.2989181796955767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160884.06</v>
      </c>
      <c r="U129" s="8">
        <f>IFERROR(T129/T444, "NA")</f>
        <v>0.22570936511134745</v>
      </c>
      <c r="V129" s="9"/>
      <c r="W129" s="10">
        <f t="shared" ref="W129:W141" si="30">IFERROR(-(Q129-T129), "NA")</f>
        <v>160884.06</v>
      </c>
      <c r="X129" s="8">
        <f>IFERROR(W129/W444, "NA")</f>
        <v>-2.3616466403459104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4036.02</v>
      </c>
      <c r="C130" s="8">
        <f>IFERROR(B130/B444, "NA")</f>
        <v>4.7726493074430609E-2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-4036.02</v>
      </c>
      <c r="I130" s="8">
        <f>IFERROR(H130/H444, "NA")</f>
        <v>0.44874084121813157</v>
      </c>
      <c r="J130" s="9"/>
      <c r="K130" s="7">
        <v>5429.85</v>
      </c>
      <c r="L130" s="8">
        <f>IFERROR(K130/K444, "NA")</f>
        <v>6.5580908302554961E-2</v>
      </c>
      <c r="M130" s="9"/>
      <c r="N130" s="10">
        <f t="shared" si="29"/>
        <v>1393.8300000000004</v>
      </c>
      <c r="O130" s="8">
        <f>IFERROR(N130/N444, "NA")</f>
        <v>0.7877371553229594</v>
      </c>
      <c r="P130" s="9"/>
      <c r="Q130" s="7">
        <v>33566.44</v>
      </c>
      <c r="R130" s="8">
        <f>IFERROR(Q130/Q444, "NA")</f>
        <v>5.2067684807222264E-2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-33566.44</v>
      </c>
      <c r="X130" s="8">
        <f>IFERROR(W130/W444, "NA")</f>
        <v>0.49272793248984753</v>
      </c>
      <c r="Y130" s="9"/>
      <c r="Z130" s="7">
        <v>37188.31</v>
      </c>
      <c r="AA130" s="8">
        <f>IFERROR(Z130/Z444, "NA")</f>
        <v>6.0332795834923784E-2</v>
      </c>
      <c r="AB130" s="9"/>
      <c r="AC130" s="10">
        <f t="shared" si="31"/>
        <v>3621.8699999999953</v>
      </c>
      <c r="AD130" s="8">
        <f>IFERROR(AC130/AC444, "NA")</f>
        <v>0.12805810694897479</v>
      </c>
    </row>
    <row r="131" spans="1:30" ht="16.5" customHeight="1" x14ac:dyDescent="0.45">
      <c r="A131" s="12" t="s">
        <v>123</v>
      </c>
      <c r="B131" s="7">
        <v>2252.21</v>
      </c>
      <c r="C131" s="8">
        <f>IFERROR(B131/B444, "NA")</f>
        <v>2.6632693833817316E-2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-2252.21</v>
      </c>
      <c r="I131" s="8">
        <f>IFERROR(H131/H444, "NA")</f>
        <v>0.25040971303409998</v>
      </c>
      <c r="J131" s="9"/>
      <c r="K131" s="7">
        <v>2575.81</v>
      </c>
      <c r="L131" s="8">
        <f>IFERROR(K131/K444, "NA")</f>
        <v>3.1110244189950748E-2</v>
      </c>
      <c r="M131" s="9"/>
      <c r="N131" s="10">
        <f t="shared" si="29"/>
        <v>323.59999999999991</v>
      </c>
      <c r="O131" s="8">
        <f>IFERROR(N131/N444, "NA")</f>
        <v>0.18288582069729417</v>
      </c>
      <c r="P131" s="9"/>
      <c r="Q131" s="7">
        <v>19185.43</v>
      </c>
      <c r="R131" s="8">
        <f>IFERROR(Q131/Q444, "NA")</f>
        <v>2.9760109267799213E-2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-19185.43</v>
      </c>
      <c r="X131" s="8">
        <f>IFERROR(W131/W444, "NA")</f>
        <v>0.28162644766107742</v>
      </c>
      <c r="Y131" s="9"/>
      <c r="Z131" s="7">
        <v>17869.23</v>
      </c>
      <c r="AA131" s="8">
        <f>IFERROR(Z131/Z444, "NA")</f>
        <v>2.8990309194402628E-2</v>
      </c>
      <c r="AB131" s="9"/>
      <c r="AC131" s="10">
        <f t="shared" si="31"/>
        <v>-1316.2000000000007</v>
      </c>
      <c r="AD131" s="8">
        <f>IFERROR(AC131/AC444, "NA")</f>
        <v>-4.6536755975846986E-2</v>
      </c>
    </row>
    <row r="132" spans="1:30" ht="16.5" customHeight="1" x14ac:dyDescent="0.45">
      <c r="A132" s="12" t="s">
        <v>124</v>
      </c>
      <c r="B132" s="7">
        <v>4345.62</v>
      </c>
      <c r="C132" s="8">
        <f>IFERROR(B132/B444, "NA")</f>
        <v>5.1387555768828488E-2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-4345.62</v>
      </c>
      <c r="I132" s="8">
        <f>IFERROR(H132/H444, "NA")</f>
        <v>0.4831634071224466</v>
      </c>
      <c r="J132" s="9"/>
      <c r="K132" s="7">
        <v>3218.01</v>
      </c>
      <c r="L132" s="8">
        <f>IFERROR(K132/K444, "NA")</f>
        <v>3.8866638807095018E-2</v>
      </c>
      <c r="M132" s="9"/>
      <c r="N132" s="10">
        <f t="shared" si="29"/>
        <v>-1127.6099999999997</v>
      </c>
      <c r="O132" s="8">
        <f>IFERROR(N132/N444, "NA")</f>
        <v>-0.63728022335128509</v>
      </c>
      <c r="P132" s="9"/>
      <c r="Q132" s="7">
        <v>27748.07</v>
      </c>
      <c r="R132" s="8">
        <f>IFERROR(Q132/Q444, "NA")</f>
        <v>4.3042329266038931E-2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-27748.07</v>
      </c>
      <c r="X132" s="8">
        <f>IFERROR(W132/W444, "NA")</f>
        <v>0.40731901153901229</v>
      </c>
      <c r="Y132" s="9"/>
      <c r="Z132" s="7">
        <v>21292.34</v>
      </c>
      <c r="AA132" s="8">
        <f>IFERROR(Z132/Z444, "NA")</f>
        <v>3.4543823101070771E-2</v>
      </c>
      <c r="AB132" s="9"/>
      <c r="AC132" s="10">
        <f t="shared" si="31"/>
        <v>-6455.73</v>
      </c>
      <c r="AD132" s="8">
        <f>IFERROR(AC132/AC444, "NA")</f>
        <v>-0.22825462061689294</v>
      </c>
    </row>
    <row r="133" spans="1:30" ht="16.5" customHeight="1" x14ac:dyDescent="0.45">
      <c r="A133" s="12" t="s">
        <v>125</v>
      </c>
      <c r="B133" s="7">
        <v>2236.9899999999998</v>
      </c>
      <c r="C133" s="8">
        <f>IFERROR(B133/B444, "NA")</f>
        <v>2.6452715234951889E-2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-2236.9899999999998</v>
      </c>
      <c r="I133" s="8">
        <f>IFERROR(H133/H444, "NA")</f>
        <v>0.24871749257846792</v>
      </c>
      <c r="J133" s="9"/>
      <c r="K133" s="7">
        <v>1864.51</v>
      </c>
      <c r="L133" s="8">
        <f>IFERROR(K133/K444, "NA")</f>
        <v>2.2519270208053027E-2</v>
      </c>
      <c r="M133" s="9"/>
      <c r="N133" s="10">
        <f t="shared" si="29"/>
        <v>-372.47999999999979</v>
      </c>
      <c r="O133" s="8">
        <f>IFERROR(N133/N444, "NA")</f>
        <v>-0.21051084824885077</v>
      </c>
      <c r="P133" s="9"/>
      <c r="Q133" s="7">
        <v>15689.62</v>
      </c>
      <c r="R133" s="8">
        <f>IFERROR(Q133/Q444, "NA")</f>
        <v>2.4337468879782619E-2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-15689.62</v>
      </c>
      <c r="X133" s="8">
        <f>IFERROR(W133/W444, "NA")</f>
        <v>0.23031081115993718</v>
      </c>
      <c r="Y133" s="9"/>
      <c r="Z133" s="7">
        <v>12278.96</v>
      </c>
      <c r="AA133" s="8">
        <f>IFERROR(Z133/Z444, "NA")</f>
        <v>1.9920883383654588E-2</v>
      </c>
      <c r="AB133" s="9"/>
      <c r="AC133" s="10">
        <f t="shared" si="31"/>
        <v>-3410.6600000000017</v>
      </c>
      <c r="AD133" s="8">
        <f>IFERROR(AC133/AC444, "NA")</f>
        <v>-0.12059037542666941</v>
      </c>
    </row>
    <row r="134" spans="1:30" ht="16.5" customHeight="1" x14ac:dyDescent="0.45">
      <c r="A134" s="12" t="s">
        <v>126</v>
      </c>
      <c r="B134" s="7">
        <v>777.75</v>
      </c>
      <c r="C134" s="8">
        <f>IFERROR(B134/B444, "NA")</f>
        <v>9.1970010031264485E-3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-777.75</v>
      </c>
      <c r="I134" s="8">
        <f>IFERROR(H134/H444, "NA")</f>
        <v>8.6473354754783641E-2</v>
      </c>
      <c r="J134" s="9"/>
      <c r="K134" s="7">
        <v>-100.27</v>
      </c>
      <c r="L134" s="8">
        <f>IFERROR(K134/K444, "NA")</f>
        <v>-1.2110459175662652E-3</v>
      </c>
      <c r="M134" s="9"/>
      <c r="N134" s="10">
        <f t="shared" si="29"/>
        <v>-878.02</v>
      </c>
      <c r="O134" s="8">
        <f>IFERROR(N134/N444, "NA")</f>
        <v>-0.49622190447663245</v>
      </c>
      <c r="P134" s="9"/>
      <c r="Q134" s="7">
        <v>5697.55</v>
      </c>
      <c r="R134" s="8">
        <f>IFERROR(Q134/Q444, "NA")</f>
        <v>8.837941633768406E-3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-5697.55</v>
      </c>
      <c r="X134" s="8">
        <f>IFERROR(W134/W444, "NA")</f>
        <v>8.3635381999328226E-2</v>
      </c>
      <c r="Y134" s="9"/>
      <c r="Z134" s="7">
        <v>5457.03</v>
      </c>
      <c r="AA134" s="8">
        <f>IFERROR(Z134/Z444, "NA")</f>
        <v>8.8532626746161396E-3</v>
      </c>
      <c r="AB134" s="9"/>
      <c r="AC134" s="10">
        <f t="shared" si="31"/>
        <v>-240.52000000000044</v>
      </c>
      <c r="AD134" s="8">
        <f>IFERROR(AC134/AC444, "NA")</f>
        <v>-8.5040423547414774E-3</v>
      </c>
    </row>
    <row r="135" spans="1:30" ht="16.5" customHeight="1" x14ac:dyDescent="0.45">
      <c r="A135" s="12" t="s">
        <v>127</v>
      </c>
      <c r="B135" s="7">
        <v>615.99</v>
      </c>
      <c r="C135" s="8">
        <f>IFERROR(B135/B444, "NA")</f>
        <v>7.2841666961309687E-3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-615.99</v>
      </c>
      <c r="I135" s="8">
        <f>IFERROR(H135/H444, "NA")</f>
        <v>6.8488231173769426E-2</v>
      </c>
      <c r="J135" s="9"/>
      <c r="K135" s="7">
        <v>743.57</v>
      </c>
      <c r="L135" s="8">
        <f>IFERROR(K135/K444, "NA")</f>
        <v>8.9807261685922787E-3</v>
      </c>
      <c r="M135" s="9"/>
      <c r="N135" s="10">
        <f t="shared" si="29"/>
        <v>127.58000000000004</v>
      </c>
      <c r="O135" s="8">
        <f>IFERROR(N135/N444, "NA")</f>
        <v>7.210313042200496E-2</v>
      </c>
      <c r="P135" s="9"/>
      <c r="Q135" s="7">
        <v>5309.62</v>
      </c>
      <c r="R135" s="8">
        <f>IFERROR(Q135/Q444, "NA")</f>
        <v>8.2361912852874312E-3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-5309.62</v>
      </c>
      <c r="X135" s="8">
        <f>IFERROR(W135/W444, "NA")</f>
        <v>7.7940886340843535E-2</v>
      </c>
      <c r="Y135" s="9"/>
      <c r="Z135" s="7">
        <v>5533.81</v>
      </c>
      <c r="AA135" s="8">
        <f>IFERROR(Z135/Z444, "NA")</f>
        <v>8.9778274118737754E-3</v>
      </c>
      <c r="AB135" s="9"/>
      <c r="AC135" s="10">
        <f t="shared" si="31"/>
        <v>224.19000000000051</v>
      </c>
      <c r="AD135" s="8">
        <f>IFERROR(AC135/AC444, "NA")</f>
        <v>7.9266641256839042E-3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487.22</v>
      </c>
      <c r="L136" s="8">
        <f>IFERROR(K136/K444, "NA")</f>
        <v>5.8845695816957784E-3</v>
      </c>
      <c r="M136" s="9"/>
      <c r="N136" s="10">
        <f t="shared" si="29"/>
        <v>487.22</v>
      </c>
      <c r="O136" s="8">
        <f>IFERROR(N136/N444, "NA")</f>
        <v>0.27535732249732908</v>
      </c>
      <c r="P136" s="9"/>
      <c r="Q136" s="7">
        <v>3954.02</v>
      </c>
      <c r="R136" s="8">
        <f>IFERROR(Q136/Q444, "NA")</f>
        <v>6.1334078645651118E-3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-3954.02</v>
      </c>
      <c r="X136" s="8">
        <f>IFERROR(W136/W444, "NA")</f>
        <v>5.804178517660815E-2</v>
      </c>
      <c r="Y136" s="9"/>
      <c r="Z136" s="7">
        <v>4794.07</v>
      </c>
      <c r="AA136" s="8">
        <f>IFERROR(Z136/Z444, "NA")</f>
        <v>7.7777034376752558E-3</v>
      </c>
      <c r="AB136" s="9"/>
      <c r="AC136" s="10">
        <f t="shared" si="31"/>
        <v>840.04999999999973</v>
      </c>
      <c r="AD136" s="8">
        <f>IFERROR(AC136/AC444, "NA")</f>
        <v>2.970156652295261E-2</v>
      </c>
    </row>
    <row r="137" spans="1:30" ht="16.5" customHeight="1" x14ac:dyDescent="0.45">
      <c r="A137" s="12" t="s">
        <v>129</v>
      </c>
      <c r="B137" s="7">
        <v>399.22</v>
      </c>
      <c r="C137" s="8">
        <f>IFERROR(B137/B444, "NA")</f>
        <v>4.7208315531573654E-3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-399.22</v>
      </c>
      <c r="I137" s="8">
        <f>IFERROR(H137/H444, "NA")</f>
        <v>4.4386875840828961E-2</v>
      </c>
      <c r="J137" s="9"/>
      <c r="K137" s="7">
        <v>440.99</v>
      </c>
      <c r="L137" s="8">
        <f>IFERROR(K137/K444, "NA")</f>
        <v>5.326210623192852E-3</v>
      </c>
      <c r="M137" s="9"/>
      <c r="N137" s="10">
        <f t="shared" si="29"/>
        <v>41.769999999999982</v>
      </c>
      <c r="O137" s="8">
        <f>IFERROR(N137/N444, "NA")</f>
        <v>2.3606738969486948E-2</v>
      </c>
      <c r="P137" s="9"/>
      <c r="Q137" s="7">
        <v>3712.74</v>
      </c>
      <c r="R137" s="8">
        <f>IFERROR(Q137/Q444, "NA")</f>
        <v>5.75913847554779E-3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-3712.74</v>
      </c>
      <c r="X137" s="8">
        <f>IFERROR(W137/W444, "NA")</f>
        <v>5.4499991779657191E-2</v>
      </c>
      <c r="Y137" s="9"/>
      <c r="Z137" s="7">
        <v>2902.74</v>
      </c>
      <c r="AA137" s="8">
        <f>IFERROR(Z137/Z444, "NA")</f>
        <v>4.7092868641211896E-3</v>
      </c>
      <c r="AB137" s="9"/>
      <c r="AC137" s="10">
        <f t="shared" si="31"/>
        <v>-810</v>
      </c>
      <c r="AD137" s="8">
        <f>IFERROR(AC137/AC444, "NA")</f>
        <v>-2.8639091582157758E-2</v>
      </c>
    </row>
    <row r="138" spans="1:30" ht="16.5" customHeight="1" x14ac:dyDescent="0.45">
      <c r="A138" s="12" t="s">
        <v>130</v>
      </c>
      <c r="B138" s="7">
        <v>5347.94</v>
      </c>
      <c r="C138" s="8">
        <f>IFERROR(B138/B444, "NA")</f>
        <v>6.3240127990562583E-2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-5347.94</v>
      </c>
      <c r="I138" s="8">
        <f>IFERROR(H138/H444, "NA")</f>
        <v>0.59460535239768253</v>
      </c>
      <c r="J138" s="9"/>
      <c r="K138" s="7">
        <v>3674.29</v>
      </c>
      <c r="L138" s="8">
        <f>IFERROR(K138/K444, "NA")</f>
        <v>4.4377519741244167E-2</v>
      </c>
      <c r="M138" s="9"/>
      <c r="N138" s="10">
        <f t="shared" si="29"/>
        <v>-1673.6499999999996</v>
      </c>
      <c r="O138" s="8">
        <f>IFERROR(N138/N444, "NA")</f>
        <v>-0.94588026517313473</v>
      </c>
      <c r="P138" s="9"/>
      <c r="Q138" s="7">
        <v>37133.79</v>
      </c>
      <c r="R138" s="8">
        <f>IFERROR(Q138/Q444, "NA")</f>
        <v>5.7601296813650241E-2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-37133.79</v>
      </c>
      <c r="X138" s="8">
        <f>IFERROR(W138/W444, "NA")</f>
        <v>0.5450937177791918</v>
      </c>
      <c r="Y138" s="9"/>
      <c r="Z138" s="7">
        <v>28235.54</v>
      </c>
      <c r="AA138" s="8">
        <f>IFERROR(Z138/Z444, "NA")</f>
        <v>4.5808187306947377E-2</v>
      </c>
      <c r="AB138" s="9"/>
      <c r="AC138" s="10">
        <f t="shared" si="31"/>
        <v>-8898.25</v>
      </c>
      <c r="AD138" s="8">
        <f>IFERROR(AC138/AC444, "NA")</f>
        <v>-0.31461456379127811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10.89</v>
      </c>
      <c r="C140" s="8">
        <f>IFERROR(B140/B444, "NA")</f>
        <v>1.2877575175062299E-4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-10.89</v>
      </c>
      <c r="I140" s="8">
        <f>IFERROR(H140/H444, "NA")</f>
        <v>1.2107937425645695E-3</v>
      </c>
      <c r="J140" s="9"/>
      <c r="K140" s="7">
        <v>21.78</v>
      </c>
      <c r="L140" s="8">
        <f>IFERROR(K140/K444, "NA")</f>
        <v>2.6305555085861431E-4</v>
      </c>
      <c r="M140" s="9"/>
      <c r="N140" s="10">
        <f t="shared" si="29"/>
        <v>10.89</v>
      </c>
      <c r="O140" s="8">
        <f>IFERROR(N140/N444, "NA")</f>
        <v>6.1545939041827381E-3</v>
      </c>
      <c r="P140" s="9"/>
      <c r="Q140" s="7">
        <v>82.45</v>
      </c>
      <c r="R140" s="8">
        <f>IFERROR(Q140/Q444, "NA")</f>
        <v>1.2789502289654417E-4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-82.45</v>
      </c>
      <c r="X140" s="8">
        <f>IFERROR(W140/W444, "NA")</f>
        <v>1.2102986802826851E-3</v>
      </c>
      <c r="Y140" s="9"/>
      <c r="Z140" s="7">
        <v>133.65</v>
      </c>
      <c r="AA140" s="8">
        <f>IFERROR(Z140/Z444, "NA")</f>
        <v>2.1682830339258668E-4</v>
      </c>
      <c r="AB140" s="9"/>
      <c r="AC140" s="10">
        <f t="shared" si="31"/>
        <v>51.2</v>
      </c>
      <c r="AD140" s="8">
        <f>IFERROR(AC140/AC444, "NA")</f>
        <v>1.810273443217873E-3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20022.629999999997</v>
      </c>
      <c r="C141" s="15">
        <f>IFERROR(B141/B444, "NA")</f>
        <v>0.23677036090675627</v>
      </c>
      <c r="D141" s="2"/>
      <c r="E141" s="14">
        <f>IFERROR(E129+E130+E131+E132+E133+E134+E135+E136+E137+E138+E139+E140, "NA")</f>
        <v>20676.7</v>
      </c>
      <c r="F141" s="15">
        <f>IFERROR(E141/E444, "NA")</f>
        <v>0.22100004371539841</v>
      </c>
      <c r="G141" s="2"/>
      <c r="H141" s="14">
        <f t="shared" si="28"/>
        <v>654.07000000000335</v>
      </c>
      <c r="I141" s="15">
        <f>IFERROR(H141/H444, "NA")</f>
        <v>-7.272211783280183E-2</v>
      </c>
      <c r="J141" s="2"/>
      <c r="K141" s="14">
        <f>IFERROR(K129+K130+K131+K132+K133+K134+K135+K136+K137+K138+K139+K140, "NA")</f>
        <v>18355.759999999998</v>
      </c>
      <c r="L141" s="15">
        <f>IFERROR(K141/K444, "NA")</f>
        <v>0.22169809725567113</v>
      </c>
      <c r="M141" s="2"/>
      <c r="N141" s="14">
        <f t="shared" si="29"/>
        <v>-1666.869999999999</v>
      </c>
      <c r="O141" s="15">
        <f>IFERROR(N141/N444, "NA")</f>
        <v>-0.94204847943664594</v>
      </c>
      <c r="P141" s="2"/>
      <c r="Q141" s="14">
        <f>IFERROR(Q129+Q130+Q131+Q132+Q133+Q134+Q135+Q136+Q137+Q138+Q139+Q140, "NA")</f>
        <v>152079.73000000001</v>
      </c>
      <c r="R141" s="15">
        <f>IFERROR(Q141/Q444, "NA")</f>
        <v>0.23590346331655856</v>
      </c>
      <c r="S141" s="2"/>
      <c r="T141" s="14">
        <f>IFERROR(T129+T130+T131+T132+T133+T134+T135+T136+T137+T138+T139+T140, "NA")</f>
        <v>160884.06</v>
      </c>
      <c r="U141" s="15">
        <f>IFERROR(T141/T444, "NA")</f>
        <v>0.22570936511134745</v>
      </c>
      <c r="V141" s="2"/>
      <c r="W141" s="14">
        <f t="shared" si="30"/>
        <v>8804.3299999999872</v>
      </c>
      <c r="X141" s="15">
        <f>IFERROR(W141/W444, "NA")</f>
        <v>-0.12924037574012415</v>
      </c>
      <c r="Y141" s="2"/>
      <c r="Z141" s="14">
        <f>IFERROR(Z129+Z130+Z131+Z132+Z133+Z134+Z135+Z136+Z137+Z138+Z139+Z140, "NA")</f>
        <v>135685.68</v>
      </c>
      <c r="AA141" s="15">
        <f>IFERROR(Z141/Z444, "NA")</f>
        <v>0.22013090751267808</v>
      </c>
      <c r="AB141" s="2"/>
      <c r="AC141" s="14">
        <f t="shared" si="31"/>
        <v>-16394.050000000017</v>
      </c>
      <c r="AD141" s="15">
        <f>IFERROR(AC141/AC444, "NA")</f>
        <v>-0.57964283870675781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1061.01</v>
      </c>
      <c r="C144" s="8">
        <f>IFERROR(B144/B444, "NA")</f>
        <v>1.2546589565190861E-2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-1061.01</v>
      </c>
      <c r="I144" s="8">
        <f>IFERROR(H144/H444, "NA")</f>
        <v>0.11796733414127031</v>
      </c>
      <c r="J144" s="9"/>
      <c r="K144" s="7">
        <v>975.45</v>
      </c>
      <c r="L144" s="8">
        <f>IFERROR(K144/K444, "NA")</f>
        <v>1.1781337790864798E-2</v>
      </c>
      <c r="M144" s="9"/>
      <c r="N144" s="10">
        <f t="shared" si="33"/>
        <v>-85.559999999999945</v>
      </c>
      <c r="O144" s="8">
        <f>IFERROR(N144/N444, "NA")</f>
        <v>-4.8355101417986664E-2</v>
      </c>
      <c r="P144" s="9"/>
      <c r="Q144" s="7">
        <v>9601.68</v>
      </c>
      <c r="R144" s="8">
        <f>IFERROR(Q144/Q444, "NA")</f>
        <v>1.4893960987814312E-2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-9601.68</v>
      </c>
      <c r="X144" s="8">
        <f>IFERROR(W144/W444, "NA")</f>
        <v>0.14094482271069317</v>
      </c>
      <c r="Y144" s="9"/>
      <c r="Z144" s="7">
        <v>7194.67</v>
      </c>
      <c r="AA144" s="8">
        <f>IFERROR(Z144/Z444, "NA")</f>
        <v>1.1672338866962525E-2</v>
      </c>
      <c r="AB144" s="9"/>
      <c r="AC144" s="10">
        <f t="shared" si="35"/>
        <v>-2407.0100000000002</v>
      </c>
      <c r="AD144" s="8">
        <f>IFERROR(AC144/AC444, "NA")</f>
        <v>-8.5104419542184631E-2</v>
      </c>
    </row>
    <row r="145" spans="1:30" ht="16.5" customHeight="1" x14ac:dyDescent="0.45">
      <c r="A145" s="12" t="s">
        <v>136</v>
      </c>
      <c r="B145" s="7">
        <v>45.36</v>
      </c>
      <c r="C145" s="8">
        <f>IFERROR(B145/B444, "NA")</f>
        <v>5.3638825522573535E-4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-45.36</v>
      </c>
      <c r="I145" s="8">
        <f>IFERROR(H145/H444, "NA")</f>
        <v>5.0433061673763879E-3</v>
      </c>
      <c r="J145" s="9"/>
      <c r="K145" s="7">
        <v>33.19</v>
      </c>
      <c r="L145" s="8">
        <f>IFERROR(K145/K444, "NA")</f>
        <v>4.0086380775929326E-4</v>
      </c>
      <c r="M145" s="9"/>
      <c r="N145" s="10">
        <f t="shared" si="33"/>
        <v>-12.170000000000002</v>
      </c>
      <c r="O145" s="8">
        <f>IFERROR(N145/N444, "NA")</f>
        <v>-6.877998880982914E-3</v>
      </c>
      <c r="P145" s="9"/>
      <c r="Q145" s="7">
        <v>400.08</v>
      </c>
      <c r="R145" s="8">
        <f>IFERROR(Q145/Q444, "NA")</f>
        <v>6.2059721965372204E-4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-400.08</v>
      </c>
      <c r="X145" s="8">
        <f>IFERROR(W145/W444, "NA")</f>
        <v>5.8728477381139671E-3</v>
      </c>
      <c r="Y145" s="9"/>
      <c r="Z145" s="7">
        <v>307.14999999999998</v>
      </c>
      <c r="AA145" s="8">
        <f>IFERROR(Z145/Z444, "NA")</f>
        <v>4.9830761980570884E-4</v>
      </c>
      <c r="AB145" s="9"/>
      <c r="AC145" s="10">
        <f t="shared" si="35"/>
        <v>-92.93</v>
      </c>
      <c r="AD145" s="8">
        <f>IFERROR(AC145/AC444, "NA")</f>
        <v>-3.2857170132468156E-3</v>
      </c>
    </row>
    <row r="146" spans="1:30" ht="16.5" customHeight="1" x14ac:dyDescent="0.45">
      <c r="A146" s="12" t="s">
        <v>137</v>
      </c>
      <c r="B146" s="7">
        <v>49.01</v>
      </c>
      <c r="C146" s="8">
        <f>IFERROR(B146/B444, "NA")</f>
        <v>5.7955000856731241E-4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-49.01</v>
      </c>
      <c r="I146" s="8">
        <f>IFERROR(H146/H444, "NA")</f>
        <v>5.4491277615325564E-3</v>
      </c>
      <c r="J146" s="9"/>
      <c r="K146" s="7">
        <v>166.45</v>
      </c>
      <c r="L146" s="8">
        <f>IFERROR(K146/K444, "NA")</f>
        <v>2.0103579632881701E-3</v>
      </c>
      <c r="M146" s="9"/>
      <c r="N146" s="10">
        <f t="shared" si="33"/>
        <v>117.44</v>
      </c>
      <c r="O146" s="8">
        <f>IFERROR(N146/N444, "NA")</f>
        <v>6.6372406621416052E-2</v>
      </c>
      <c r="P146" s="9"/>
      <c r="Q146" s="7">
        <v>-12.35</v>
      </c>
      <c r="R146" s="8">
        <f>IFERROR(Q146/Q444, "NA")</f>
        <v>-1.9157107735261616E-5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12.35</v>
      </c>
      <c r="X146" s="8">
        <f>IFERROR(W146/W444, "NA")</f>
        <v>-1.8128791633100253E-4</v>
      </c>
      <c r="Y146" s="9"/>
      <c r="Z146" s="7">
        <v>2413.9499999999998</v>
      </c>
      <c r="AA146" s="8">
        <f>IFERROR(Z146/Z444, "NA")</f>
        <v>3.9162939242389418E-3</v>
      </c>
      <c r="AB146" s="9"/>
      <c r="AC146" s="10">
        <f t="shared" si="35"/>
        <v>2426.2999999999997</v>
      </c>
      <c r="AD146" s="8">
        <f>IFERROR(AC146/AC444, "NA")</f>
        <v>8.5786454204678217E-2</v>
      </c>
    </row>
    <row r="147" spans="1:30" ht="16.5" customHeight="1" x14ac:dyDescent="0.45">
      <c r="A147" s="12" t="s">
        <v>138</v>
      </c>
      <c r="B147" s="7">
        <v>8.93</v>
      </c>
      <c r="C147" s="8">
        <f>IFERROR(B147/B444, "NA")</f>
        <v>1.055984814630912E-4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-8.93</v>
      </c>
      <c r="I147" s="8">
        <f>IFERROR(H147/H444, "NA")</f>
        <v>9.9287310570262658E-4</v>
      </c>
      <c r="J147" s="9"/>
      <c r="K147" s="7">
        <v>13.42</v>
      </c>
      <c r="L147" s="8">
        <f>IFERROR(K147/K444, "NA")</f>
        <v>1.6208473335732799E-4</v>
      </c>
      <c r="M147" s="9"/>
      <c r="N147" s="10">
        <f t="shared" si="33"/>
        <v>4.49</v>
      </c>
      <c r="O147" s="8">
        <f>IFERROR(N147/N444, "NA")</f>
        <v>2.5375690201818635E-3</v>
      </c>
      <c r="P147" s="9"/>
      <c r="Q147" s="7">
        <v>61.96</v>
      </c>
      <c r="R147" s="8">
        <f>IFERROR(Q147/Q444, "NA")</f>
        <v>9.6111287066948163E-5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-61.96</v>
      </c>
      <c r="X147" s="8">
        <f>IFERROR(W147/W444, "NA")</f>
        <v>9.0952221019181519E-4</v>
      </c>
      <c r="Y147" s="9"/>
      <c r="Z147" s="7">
        <v>-164.85</v>
      </c>
      <c r="AA147" s="8">
        <f>IFERROR(Z147/Z444, "NA")</f>
        <v>-2.6744590957177635E-4</v>
      </c>
      <c r="AB147" s="9"/>
      <c r="AC147" s="10">
        <f t="shared" si="35"/>
        <v>-226.81</v>
      </c>
      <c r="AD147" s="8">
        <f>IFERROR(AC147/AC444, "NA")</f>
        <v>-8.0192992120360507E-3</v>
      </c>
    </row>
    <row r="148" spans="1:30" ht="16.5" customHeight="1" x14ac:dyDescent="0.45">
      <c r="A148" s="13" t="s">
        <v>139</v>
      </c>
      <c r="B148" s="14">
        <f>IFERROR(B143+B144+B145+B146+B147, "NA")</f>
        <v>1164.31</v>
      </c>
      <c r="C148" s="15">
        <f>IFERROR(B148/B444, "NA")</f>
        <v>1.3768126310447E-2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-1164.31</v>
      </c>
      <c r="I148" s="15">
        <f>IFERROR(H148/H444, "NA")</f>
        <v>0.12945264117588187</v>
      </c>
      <c r="J148" s="2"/>
      <c r="K148" s="14">
        <f>IFERROR(K143+K144+K145+K146+K147, "NA")</f>
        <v>1188.5100000000002</v>
      </c>
      <c r="L148" s="15">
        <f>IFERROR(K148/K444, "NA")</f>
        <v>1.4354644295269593E-2</v>
      </c>
      <c r="M148" s="2"/>
      <c r="N148" s="14">
        <f t="shared" si="33"/>
        <v>24.200000000000273</v>
      </c>
      <c r="O148" s="15">
        <f>IFERROR(N148/N444, "NA")</f>
        <v>1.367687534262846E-2</v>
      </c>
      <c r="P148" s="2"/>
      <c r="Q148" s="14">
        <f>IFERROR(Q143+Q144+Q145+Q146+Q147, "NA")</f>
        <v>10051.369999999999</v>
      </c>
      <c r="R148" s="15">
        <f>IFERROR(Q148/Q444, "NA")</f>
        <v>1.5591512386799719E-2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-10051.369999999999</v>
      </c>
      <c r="X148" s="15">
        <f>IFERROR(W148/W444, "NA")</f>
        <v>0.1475459047426679</v>
      </c>
      <c r="Y148" s="2"/>
      <c r="Z148" s="14">
        <f>IFERROR(Z143+Z144+Z145+Z146+Z147, "NA")</f>
        <v>9750.92</v>
      </c>
      <c r="AA148" s="15">
        <f>IFERROR(Z148/Z444, "NA")</f>
        <v>1.58194945014354E-2</v>
      </c>
      <c r="AB148" s="2"/>
      <c r="AC148" s="14">
        <f t="shared" si="35"/>
        <v>-300.44999999999891</v>
      </c>
      <c r="AD148" s="15">
        <f>IFERROR(AC148/AC444, "NA")</f>
        <v>-1.0622981562789218E-2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21186.939999999995</v>
      </c>
      <c r="C149" s="15">
        <f>IFERROR(B149/B444, "NA")</f>
        <v>0.25053848721720323</v>
      </c>
      <c r="D149" s="2"/>
      <c r="E149" s="14">
        <f>IFERROR(E127+E129+E130+E131+E132+E133+E134+E135+E136+E137+E138+E139+E140+E143+E144+E145+E146+E147, "NA")</f>
        <v>20676.7</v>
      </c>
      <c r="F149" s="15">
        <f>IFERROR(E149/E444, "NA")</f>
        <v>0.22100004371539841</v>
      </c>
      <c r="G149" s="2"/>
      <c r="H149" s="14">
        <f t="shared" si="32"/>
        <v>-510.23999999999432</v>
      </c>
      <c r="I149" s="15">
        <f>IFERROR(H149/H444, "NA")</f>
        <v>5.6730523343079799E-2</v>
      </c>
      <c r="J149" s="2"/>
      <c r="K149" s="14">
        <f>IFERROR(K127+K129+K130+K131+K132+K133+K134+K135+K136+K137+K138+K139+K140+K143+K144+K145+K146+K147, "NA")</f>
        <v>19544.269999999997</v>
      </c>
      <c r="L149" s="15">
        <f>IFERROR(K149/K444, "NA")</f>
        <v>0.23605274155094072</v>
      </c>
      <c r="M149" s="2"/>
      <c r="N149" s="14">
        <f t="shared" si="33"/>
        <v>-1642.6699999999983</v>
      </c>
      <c r="O149" s="15">
        <f>IFERROR(N149/N444, "NA")</f>
        <v>-0.9283716040940172</v>
      </c>
      <c r="P149" s="2"/>
      <c r="Q149" s="14">
        <f>IFERROR(Q127+Q129+Q130+Q131+Q132+Q133+Q134+Q135+Q136+Q137+Q138+Q139+Q140+Q143+Q144+Q145+Q146+Q147, "NA")</f>
        <v>162131.09999999998</v>
      </c>
      <c r="R149" s="15">
        <f>IFERROR(Q149/Q444, "NA")</f>
        <v>0.25149497570335821</v>
      </c>
      <c r="S149" s="2"/>
      <c r="T149" s="14">
        <f>IFERROR(T127+T129+T130+T131+T132+T133+T134+T135+T136+T137+T138+T139+T140+T143+T144+T145+T146+T147, "NA")</f>
        <v>160884.06</v>
      </c>
      <c r="U149" s="15">
        <f>IFERROR(T149/T444, "NA")</f>
        <v>0.22570936511134745</v>
      </c>
      <c r="V149" s="2"/>
      <c r="W149" s="14">
        <f t="shared" si="34"/>
        <v>-1247.039999999979</v>
      </c>
      <c r="X149" s="15">
        <f>IFERROR(W149/W444, "NA")</f>
        <v>1.8305529002543286E-2</v>
      </c>
      <c r="Y149" s="2"/>
      <c r="Z149" s="14">
        <f>IFERROR(Z127+Z129+Z130+Z131+Z132+Z133+Z134+Z135+Z136+Z137+Z138+Z139+Z140+Z143+Z144+Z145+Z146+Z147, "NA")</f>
        <v>145436.6</v>
      </c>
      <c r="AA149" s="15">
        <f>IFERROR(Z149/Z444, "NA")</f>
        <v>0.23595040201411352</v>
      </c>
      <c r="AB149" s="2"/>
      <c r="AC149" s="14">
        <f t="shared" si="35"/>
        <v>-16694.499999999971</v>
      </c>
      <c r="AD149" s="15">
        <f>IFERROR(AC149/AC444, "NA")</f>
        <v>-0.59026582026954544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1684.07</v>
      </c>
      <c r="F153" s="8">
        <f>IFERROR(E153/E444, "NA")</f>
        <v>1.7999948909632146E-2</v>
      </c>
      <c r="G153" s="9"/>
      <c r="H153" s="10">
        <f t="shared" ref="H153:H158" si="36">IFERROR(-(B153-E153), "NA")</f>
        <v>1684.07</v>
      </c>
      <c r="I153" s="8">
        <f>IFERROR(H153/H444, "NA")</f>
        <v>-0.18724163618372031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13979.01</v>
      </c>
      <c r="U153" s="8">
        <f>IFERROR(T153/T444, "NA")</f>
        <v>1.96115977678906E-2</v>
      </c>
      <c r="V153" s="9"/>
      <c r="W153" s="10">
        <f t="shared" ref="W153:W158" si="38">IFERROR(-(Q153-T153), "NA")</f>
        <v>13979.01</v>
      </c>
      <c r="X153" s="8">
        <f>IFERROR(W153/W444, "NA")</f>
        <v>-0.20520045305831966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2937.62</v>
      </c>
      <c r="C154" s="8">
        <f>IFERROR(B154/B444, "NA")</f>
        <v>3.4737761603091374E-2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-2937.62</v>
      </c>
      <c r="I154" s="8">
        <f>IFERROR(H154/H444, "NA")</f>
        <v>0.32661633737672452</v>
      </c>
      <c r="J154" s="9"/>
      <c r="K154" s="7">
        <v>2781.89</v>
      </c>
      <c r="L154" s="8">
        <f>IFERROR(K154/K444, "NA")</f>
        <v>3.3599247308451353E-2</v>
      </c>
      <c r="M154" s="9"/>
      <c r="N154" s="10">
        <f t="shared" si="37"/>
        <v>-155.73000000000002</v>
      </c>
      <c r="O154" s="8">
        <f>IFERROR(N154/N444, "NA")</f>
        <v>-8.8012388310227535E-2</v>
      </c>
      <c r="P154" s="9"/>
      <c r="Q154" s="7">
        <v>22417.040000000001</v>
      </c>
      <c r="R154" s="8">
        <f>IFERROR(Q154/Q444, "NA")</f>
        <v>3.4772927156734336E-2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-22417.040000000001</v>
      </c>
      <c r="X154" s="8">
        <f>IFERROR(W154/W444, "NA")</f>
        <v>0.32906384387924997</v>
      </c>
      <c r="Y154" s="9"/>
      <c r="Z154" s="7">
        <v>21402.400000000001</v>
      </c>
      <c r="AA154" s="8">
        <f>IFERROR(Z154/Z444, "NA")</f>
        <v>3.472237995158621E-2</v>
      </c>
      <c r="AB154" s="9"/>
      <c r="AC154" s="10">
        <f t="shared" si="39"/>
        <v>-1014.6399999999994</v>
      </c>
      <c r="AD154" s="8">
        <f>IFERROR(AC154/AC444, "NA")</f>
        <v>-3.5874528250519171E-2</v>
      </c>
    </row>
    <row r="155" spans="1:30" ht="16.5" customHeight="1" x14ac:dyDescent="0.45">
      <c r="A155" s="12" t="s">
        <v>144</v>
      </c>
      <c r="B155" s="7">
        <v>235.2</v>
      </c>
      <c r="C155" s="8">
        <f>IFERROR(B155/B444, "NA")</f>
        <v>2.7812724345038131E-3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-235.2</v>
      </c>
      <c r="I155" s="8">
        <f>IFERROR(H155/H444, "NA")</f>
        <v>2.6150476423433121E-2</v>
      </c>
      <c r="J155" s="9"/>
      <c r="K155" s="7">
        <v>641.96</v>
      </c>
      <c r="L155" s="8">
        <f>IFERROR(K155/K444, "NA")</f>
        <v>7.7534959333882478E-3</v>
      </c>
      <c r="M155" s="9"/>
      <c r="N155" s="10">
        <f t="shared" si="37"/>
        <v>406.76000000000005</v>
      </c>
      <c r="O155" s="8">
        <f>IFERROR(N155/N444, "NA")</f>
        <v>0.2298845377837806</v>
      </c>
      <c r="P155" s="9"/>
      <c r="Q155" s="7">
        <v>4744.37</v>
      </c>
      <c r="R155" s="8">
        <f>IFERROR(Q155/Q444, "NA")</f>
        <v>7.3593852004812266E-3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-4744.37</v>
      </c>
      <c r="X155" s="8">
        <f>IFERROR(W155/W444, "NA")</f>
        <v>6.9643477862616876E-2</v>
      </c>
      <c r="Y155" s="9"/>
      <c r="Z155" s="7">
        <v>5826.74</v>
      </c>
      <c r="AA155" s="8">
        <f>IFERROR(Z155/Z444, "NA")</f>
        <v>9.4530650842478137E-3</v>
      </c>
      <c r="AB155" s="9"/>
      <c r="AC155" s="10">
        <f t="shared" si="39"/>
        <v>1082.3699999999999</v>
      </c>
      <c r="AD155" s="8">
        <f>IFERROR(AC155/AC444, "NA")</f>
        <v>3.8269251303432207E-2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2.1257772236087265E-4</v>
      </c>
      <c r="AB156" s="9"/>
      <c r="AC156" s="10">
        <f t="shared" si="39"/>
        <v>131.03</v>
      </c>
      <c r="AD156" s="8">
        <f>IFERROR(AC156/AC444, "NA")</f>
        <v>4.632815024703865E-3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3172.8199999999997</v>
      </c>
      <c r="C158" s="15">
        <f>IFERROR(B158/B444, "NA")</f>
        <v>3.7519034037595184E-2</v>
      </c>
      <c r="D158" s="2"/>
      <c r="E158" s="14">
        <f>IFERROR(E153+E154+E155+E156+E157, "NA")</f>
        <v>1684.07</v>
      </c>
      <c r="F158" s="15">
        <f>IFERROR(E158/E444, "NA")</f>
        <v>1.7999948909632146E-2</v>
      </c>
      <c r="G158" s="2"/>
      <c r="H158" s="14">
        <f t="shared" si="36"/>
        <v>-1488.7499999999998</v>
      </c>
      <c r="I158" s="15">
        <f>IFERROR(H158/H444, "NA")</f>
        <v>0.16552517761643731</v>
      </c>
      <c r="J158" s="2"/>
      <c r="K158" s="14">
        <f>IFERROR(K153+K154+K155+K156+K157, "NA")</f>
        <v>3423.85</v>
      </c>
      <c r="L158" s="15">
        <f>IFERROR(K158/K444, "NA")</f>
        <v>4.1352743241839601E-2</v>
      </c>
      <c r="M158" s="2"/>
      <c r="N158" s="14">
        <f t="shared" si="37"/>
        <v>251.0300000000002</v>
      </c>
      <c r="O158" s="15">
        <f>IFERROR(N158/N444, "NA")</f>
        <v>0.14187214947355317</v>
      </c>
      <c r="P158" s="2"/>
      <c r="Q158" s="14">
        <f>IFERROR(Q153+Q154+Q155+Q156+Q157, "NA")</f>
        <v>27161.41</v>
      </c>
      <c r="R158" s="15">
        <f>IFERROR(Q158/Q444, "NA")</f>
        <v>4.2132312357215561E-2</v>
      </c>
      <c r="S158" s="2"/>
      <c r="T158" s="14">
        <f>IFERROR(T153+T154+T155+T156+T157, "NA")</f>
        <v>13979.01</v>
      </c>
      <c r="U158" s="15">
        <f>IFERROR(T158/T444, "NA")</f>
        <v>1.96115977678906E-2</v>
      </c>
      <c r="V158" s="2"/>
      <c r="W158" s="14">
        <f t="shared" si="38"/>
        <v>-13182.4</v>
      </c>
      <c r="X158" s="15">
        <f>IFERROR(W158/W444, "NA")</f>
        <v>0.19350686868354719</v>
      </c>
      <c r="Y158" s="2"/>
      <c r="Z158" s="14">
        <f>IFERROR(Z153+Z154+Z155+Z156+Z157, "NA")</f>
        <v>27360.17</v>
      </c>
      <c r="AA158" s="15">
        <f>IFERROR(Z158/Z444, "NA")</f>
        <v>4.4388022758194895E-2</v>
      </c>
      <c r="AB158" s="2"/>
      <c r="AC158" s="14">
        <f t="shared" si="39"/>
        <v>198.7599999999984</v>
      </c>
      <c r="AD158" s="15">
        <f>IFERROR(AC158/AC444, "NA")</f>
        <v>7.0275380776168269E-3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406.06</v>
      </c>
      <c r="C161" s="8">
        <f>IFERROR(B161/B444, "NA")</f>
        <v>4.8017154964056898E-3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-406.06</v>
      </c>
      <c r="I161" s="8">
        <f>IFERROR(H161/H444, "NA")</f>
        <v>4.514737438987778E-2</v>
      </c>
      <c r="J161" s="9"/>
      <c r="K161" s="7">
        <v>370.42</v>
      </c>
      <c r="L161" s="8">
        <f>IFERROR(K161/K444, "NA")</f>
        <v>4.4738768204337885E-3</v>
      </c>
      <c r="M161" s="9"/>
      <c r="N161" s="10">
        <f t="shared" si="41"/>
        <v>-35.639999999999986</v>
      </c>
      <c r="O161" s="8">
        <f>IFERROR(N161/N444, "NA")</f>
        <v>-2.0142307322779864E-2</v>
      </c>
      <c r="P161" s="9"/>
      <c r="Q161" s="7">
        <v>2145.44</v>
      </c>
      <c r="R161" s="8">
        <f>IFERROR(Q161/Q444, "NA")</f>
        <v>3.3279696534040228E-3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-2145.44</v>
      </c>
      <c r="X161" s="8">
        <f>IFERROR(W161/W444, "NA")</f>
        <v>3.1493307466654741E-2</v>
      </c>
      <c r="Y161" s="9"/>
      <c r="Z161" s="7">
        <v>2830.97</v>
      </c>
      <c r="AA161" s="8">
        <f>IFERROR(Z161/Z444, "NA")</f>
        <v>4.5928501463173288E-3</v>
      </c>
      <c r="AB161" s="9"/>
      <c r="AC161" s="10">
        <f t="shared" si="43"/>
        <v>685.52999999999975</v>
      </c>
      <c r="AD161" s="8">
        <f>IFERROR(AC161/AC444, "NA")</f>
        <v>2.4238217842366173E-2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4.4128169489550004E-6</v>
      </c>
      <c r="AB162" s="9"/>
      <c r="AC162" s="10">
        <f t="shared" si="43"/>
        <v>2.72</v>
      </c>
      <c r="AD162" s="8">
        <f>IFERROR(AC162/AC444, "NA")</f>
        <v>9.6170776670949514E-5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406.06</v>
      </c>
      <c r="C166" s="15">
        <f>IFERROR(B166/B444, "NA")</f>
        <v>4.8017154964056898E-3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-406.06</v>
      </c>
      <c r="I166" s="15">
        <f>IFERROR(H166/H444, "NA")</f>
        <v>4.514737438987778E-2</v>
      </c>
      <c r="J166" s="2"/>
      <c r="K166" s="14">
        <f>IFERROR(K160+K161+K162+K163+K164+K165, "NA")</f>
        <v>370.42</v>
      </c>
      <c r="L166" s="15">
        <f>IFERROR(K166/K444, "NA")</f>
        <v>4.4738768204337885E-3</v>
      </c>
      <c r="M166" s="2"/>
      <c r="N166" s="14">
        <f t="shared" si="41"/>
        <v>-35.639999999999986</v>
      </c>
      <c r="O166" s="15">
        <f>IFERROR(N166/N444, "NA")</f>
        <v>-2.0142307322779864E-2</v>
      </c>
      <c r="P166" s="2"/>
      <c r="Q166" s="14">
        <f>IFERROR(Q160+Q161+Q162+Q163+Q164+Q165, "NA")</f>
        <v>2145.44</v>
      </c>
      <c r="R166" s="15">
        <f>IFERROR(Q166/Q444, "NA")</f>
        <v>3.3279696534040228E-3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-2145.44</v>
      </c>
      <c r="X166" s="15">
        <f>IFERROR(W166/W444, "NA")</f>
        <v>3.1493307466654741E-2</v>
      </c>
      <c r="Y166" s="2"/>
      <c r="Z166" s="14">
        <f>IFERROR(Z160+Z161+Z162+Z163+Z164+Z165, "NA")</f>
        <v>2833.6899999999996</v>
      </c>
      <c r="AA166" s="15">
        <f>IFERROR(Z166/Z444, "NA")</f>
        <v>4.597262963266284E-3</v>
      </c>
      <c r="AB166" s="2"/>
      <c r="AC166" s="14">
        <f t="shared" si="43"/>
        <v>688.24999999999955</v>
      </c>
      <c r="AD166" s="15">
        <f>IFERROR(AC166/AC444, "NA")</f>
        <v>2.4334388619037115E-2</v>
      </c>
    </row>
    <row r="167" spans="1:30" ht="16.5" customHeight="1" x14ac:dyDescent="0.45">
      <c r="A167" s="6" t="s">
        <v>155</v>
      </c>
      <c r="B167" s="7">
        <v>259.75</v>
      </c>
      <c r="C167" s="8">
        <f>IFERROR(B167/B444, "NA")</f>
        <v>3.0715795699930502E-3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-259.75</v>
      </c>
      <c r="I167" s="8">
        <f>IFERROR(H167/H444, "NA")</f>
        <v>2.8880043584127355E-2</v>
      </c>
      <c r="J167" s="9"/>
      <c r="K167" s="7">
        <v>272.02</v>
      </c>
      <c r="L167" s="8">
        <f>IFERROR(K167/K444, "NA")</f>
        <v>3.2854164804664949E-3</v>
      </c>
      <c r="M167" s="9"/>
      <c r="N167" s="10">
        <f t="shared" si="41"/>
        <v>12.269999999999982</v>
      </c>
      <c r="O167" s="8">
        <f>IFERROR(N167/N444, "NA")</f>
        <v>6.9345148947954167E-3</v>
      </c>
      <c r="P167" s="9"/>
      <c r="Q167" s="7">
        <v>2218.17</v>
      </c>
      <c r="R167" s="8">
        <f>IFERROR(Q167/Q444, "NA")</f>
        <v>3.4407871793623694E-3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-2218.17</v>
      </c>
      <c r="X167" s="8">
        <f>IFERROR(W167/W444, "NA")</f>
        <v>3.2560924483233999E-2</v>
      </c>
      <c r="Y167" s="9"/>
      <c r="Z167" s="7">
        <v>2394.06</v>
      </c>
      <c r="AA167" s="8">
        <f>IFERROR(Z167/Z444, "NA")</f>
        <v>3.8840252002997084E-3</v>
      </c>
      <c r="AB167" s="9"/>
      <c r="AC167" s="10">
        <f t="shared" si="43"/>
        <v>175.88999999999987</v>
      </c>
      <c r="AD167" s="8">
        <f>IFERROR(AC167/AC444, "NA")</f>
        <v>6.2189257017107704E-3</v>
      </c>
    </row>
    <row r="168" spans="1:30" ht="16.5" customHeight="1" x14ac:dyDescent="0.45">
      <c r="A168" s="6" t="s">
        <v>156</v>
      </c>
      <c r="B168" s="7">
        <v>30.62</v>
      </c>
      <c r="C168" s="8">
        <f>IFERROR(B168/B444, "NA")</f>
        <v>3.6208572255317501E-4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-30.62</v>
      </c>
      <c r="I168" s="8">
        <f>IFERROR(H168/H444, "NA")</f>
        <v>3.4044540309758598E-3</v>
      </c>
      <c r="J168" s="9"/>
      <c r="K168" s="7">
        <v>32.6</v>
      </c>
      <c r="L168" s="8">
        <f>IFERROR(K168/K444, "NA")</f>
        <v>3.9373787685908292E-4</v>
      </c>
      <c r="M168" s="9"/>
      <c r="N168" s="10">
        <f t="shared" si="41"/>
        <v>1.9800000000000004</v>
      </c>
      <c r="O168" s="8">
        <f>IFERROR(N168/N444, "NA")</f>
        <v>1.1190170734877707E-3</v>
      </c>
      <c r="P168" s="9"/>
      <c r="Q168" s="7">
        <v>245.02</v>
      </c>
      <c r="R168" s="8">
        <f>IFERROR(Q168/Q444, "NA")</f>
        <v>3.8007081273634018E-4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-245.02</v>
      </c>
      <c r="X168" s="8">
        <f>IFERROR(W168/W444, "NA")</f>
        <v>3.5966935432730561E-3</v>
      </c>
      <c r="Y168" s="9"/>
      <c r="Z168" s="7">
        <v>265.2</v>
      </c>
      <c r="AA168" s="8">
        <f>IFERROR(Z168/Z444, "NA")</f>
        <v>4.3024965252311248E-4</v>
      </c>
      <c r="AB168" s="9"/>
      <c r="AC168" s="10">
        <f t="shared" si="43"/>
        <v>20.179999999999978</v>
      </c>
      <c r="AD168" s="8">
        <f>IFERROR(AC168/AC444, "NA")</f>
        <v>7.1350230633079371E-4</v>
      </c>
    </row>
    <row r="169" spans="1:30" ht="16.5" customHeight="1" x14ac:dyDescent="0.45">
      <c r="A169" s="6" t="s">
        <v>157</v>
      </c>
      <c r="B169" s="7">
        <v>-1402.31</v>
      </c>
      <c r="C169" s="8">
        <f>IFERROR(B169/B444, "NA")</f>
        <v>-1.6582509131075857E-2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1402.31</v>
      </c>
      <c r="I169" s="8">
        <f>IFERROR(H169/H444, "NA")</f>
        <v>-0.15591443279483205</v>
      </c>
      <c r="J169" s="9"/>
      <c r="K169" s="7">
        <v>-2462.1</v>
      </c>
      <c r="L169" s="8">
        <f>IFERROR(K169/K444, "NA")</f>
        <v>-2.9736871982047487E-2</v>
      </c>
      <c r="M169" s="9"/>
      <c r="N169" s="10">
        <f t="shared" si="41"/>
        <v>-1059.79</v>
      </c>
      <c r="O169" s="8">
        <f>IFERROR(N169/N444, "NA")</f>
        <v>-0.59895106278363852</v>
      </c>
      <c r="P169" s="9"/>
      <c r="Q169" s="7">
        <v>-11651.45</v>
      </c>
      <c r="R169" s="8">
        <f>IFERROR(Q169/Q444, "NA")</f>
        <v>-1.8073528981539591E-2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11651.45</v>
      </c>
      <c r="X169" s="8">
        <f>IFERROR(W169/W444, "NA")</f>
        <v>-0.17103377269108175</v>
      </c>
      <c r="Y169" s="9"/>
      <c r="Z169" s="7">
        <v>-11801.81</v>
      </c>
      <c r="AA169" s="8">
        <f>IFERROR(Z169/Z444, "NA")</f>
        <v>-1.9146774704539193E-2</v>
      </c>
      <c r="AB169" s="9"/>
      <c r="AC169" s="10">
        <f t="shared" si="43"/>
        <v>-150.35999999999876</v>
      </c>
      <c r="AD169" s="8">
        <f>IFERROR(AC169/AC444, "NA")</f>
        <v>-5.316263963324944E-3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2466.9399999999996</v>
      </c>
      <c r="C170" s="15">
        <f>IFERROR(B170/B444, "NA")</f>
        <v>2.9171905695471238E-2</v>
      </c>
      <c r="D170" s="2"/>
      <c r="E170" s="14">
        <f>IFERROR(E151+E153+E154+E155+E156+E157+E160+E161+E162+E163+E164+E165+E167+E168+E169, "NA")</f>
        <v>1684.07</v>
      </c>
      <c r="F170" s="15">
        <f>IFERROR(E170/E444, "NA")</f>
        <v>1.7999948909632146E-2</v>
      </c>
      <c r="G170" s="2"/>
      <c r="H170" s="14">
        <f t="shared" si="40"/>
        <v>-782.86999999999966</v>
      </c>
      <c r="I170" s="15">
        <f>IFERROR(H170/H444, "NA")</f>
        <v>8.7042616826586219E-2</v>
      </c>
      <c r="J170" s="2"/>
      <c r="K170" s="14">
        <f>IFERROR(K151+K153+K154+K155+K156+K157+K160+K161+K162+K163+K164+K165+K167+K168+K169, "NA")</f>
        <v>1636.7900000000004</v>
      </c>
      <c r="L170" s="15">
        <f>IFERROR(K170/K444, "NA")</f>
        <v>1.9768902437551486E-2</v>
      </c>
      <c r="M170" s="2"/>
      <c r="N170" s="14">
        <f t="shared" si="41"/>
        <v>-830.14999999999918</v>
      </c>
      <c r="O170" s="15">
        <f>IFERROR(N170/N444, "NA")</f>
        <v>-0.46916768866458169</v>
      </c>
      <c r="P170" s="2"/>
      <c r="Q170" s="14">
        <f>IFERROR(Q151+Q153+Q154+Q155+Q156+Q157+Q160+Q161+Q162+Q163+Q164+Q165+Q167+Q168+Q169, "NA")</f>
        <v>20118.589999999997</v>
      </c>
      <c r="R170" s="15">
        <f>IFERROR(Q170/Q444, "NA")</f>
        <v>3.1207611021178697E-2</v>
      </c>
      <c r="S170" s="2"/>
      <c r="T170" s="14">
        <f>IFERROR(T151+T153+T154+T155+T156+T157+T160+T161+T162+T163+T164+T165+T167+T168+T169, "NA")</f>
        <v>13979.01</v>
      </c>
      <c r="U170" s="15">
        <f>IFERROR(T170/T444, "NA")</f>
        <v>1.96115977678906E-2</v>
      </c>
      <c r="V170" s="2"/>
      <c r="W170" s="14">
        <f t="shared" si="42"/>
        <v>-6139.5799999999963</v>
      </c>
      <c r="X170" s="15">
        <f>IFERROR(W170/W444, "NA")</f>
        <v>9.012402148562719E-2</v>
      </c>
      <c r="Y170" s="2"/>
      <c r="Z170" s="14">
        <f>IFERROR(Z151+Z153+Z154+Z155+Z156+Z157+Z160+Z161+Z162+Z163+Z164+Z165+Z167+Z168+Z169, "NA")</f>
        <v>21051.310000000005</v>
      </c>
      <c r="AA170" s="15">
        <f>IFERROR(Z170/Z444, "NA")</f>
        <v>3.4152785869744816E-2</v>
      </c>
      <c r="AB170" s="2"/>
      <c r="AC170" s="14">
        <f t="shared" si="43"/>
        <v>932.72000000000844</v>
      </c>
      <c r="AD170" s="15">
        <f>IFERROR(AC170/AC444, "NA")</f>
        <v>3.2978090741370897E-2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23653.879999999994</v>
      </c>
      <c r="C171" s="15">
        <f>IFERROR(B171/B444, "NA")</f>
        <v>0.27971039291267447</v>
      </c>
      <c r="D171" s="2"/>
      <c r="E171" s="14">
        <f>IFERROR(E127+E129+E130+E131+E132+E133+E134+E135+E136+E137+E138+E139+E140+E143+E144+E145+E146+E147+E151+E153+E154+E155+E156+E157+E160+E161+E162+E163+E164+E165+E167+E168+E169, "NA")</f>
        <v>22360.77</v>
      </c>
      <c r="F171" s="15">
        <f>IFERROR(E171/E444, "NA")</f>
        <v>0.23899999262503058</v>
      </c>
      <c r="G171" s="2"/>
      <c r="H171" s="14">
        <f t="shared" si="40"/>
        <v>-1293.1099999999933</v>
      </c>
      <c r="I171" s="15">
        <f>IFERROR(H171/H444, "NA")</f>
        <v>0.14377314016966594</v>
      </c>
      <c r="J171" s="2"/>
      <c r="K171" s="14">
        <f>IFERROR(K127+K129+K130+K131+K132+K133+K134+K135+K136+K137+K138+K139+K140+K143+K144+K145+K146+K147+K151+K153+K154+K155+K156+K157+K160+K161+K162+K163+K164+K165+K167+K168+K169, "NA")</f>
        <v>21181.059999999994</v>
      </c>
      <c r="L171" s="15">
        <f>IFERROR(K171/K444, "NA")</f>
        <v>0.25582164398849216</v>
      </c>
      <c r="M171" s="2"/>
      <c r="N171" s="14">
        <f t="shared" si="41"/>
        <v>-2472.8199999999997</v>
      </c>
      <c r="O171" s="15">
        <f>IFERROR(N171/N444, "NA")</f>
        <v>-1.3975392927586003</v>
      </c>
      <c r="P171" s="2"/>
      <c r="Q171" s="14">
        <f>IFERROR(Q127+Q129+Q130+Q131+Q132+Q133+Q134+Q135+Q136+Q137+Q138+Q139+Q140+Q143+Q144+Q145+Q146+Q147+Q151+Q153+Q154+Q155+Q156+Q157+Q160+Q161+Q162+Q163+Q164+Q165+Q167+Q168+Q169, "NA")</f>
        <v>182249.68999999997</v>
      </c>
      <c r="R171" s="15">
        <f>IFERROR(Q171/Q444, "NA")</f>
        <v>0.28270258672453691</v>
      </c>
      <c r="S171" s="2"/>
      <c r="T171" s="14">
        <f>IFERROR(T127+T129+T130+T131+T132+T133+T134+T135+T136+T137+T138+T139+T140+T143+T144+T145+T146+T147+T151+T153+T154+T155+T156+T157+T160+T161+T162+T163+T164+T165+T167+T168+T169, "NA")</f>
        <v>174863.07</v>
      </c>
      <c r="U171" s="15">
        <f>IFERROR(T171/T444, "NA")</f>
        <v>0.24532096287923807</v>
      </c>
      <c r="V171" s="2"/>
      <c r="W171" s="14">
        <f t="shared" si="42"/>
        <v>-7386.6199999999662</v>
      </c>
      <c r="X171" s="15">
        <f>IFERROR(W171/W444, "NA")</f>
        <v>0.10842955048817035</v>
      </c>
      <c r="Y171" s="2"/>
      <c r="Z171" s="14">
        <f>IFERROR(Z127+Z129+Z130+Z131+Z132+Z133+Z134+Z135+Z136+Z137+Z138+Z139+Z140+Z143+Z144+Z145+Z146+Z147+Z151+Z153+Z154+Z155+Z156+Z157+Z160+Z161+Z162+Z163+Z164+Z165+Z167+Z168+Z169, "NA")</f>
        <v>166487.91</v>
      </c>
      <c r="AA171" s="15">
        <f>IFERROR(Z171/Z444, "NA")</f>
        <v>0.27010318788385834</v>
      </c>
      <c r="AB171" s="2"/>
      <c r="AC171" s="14">
        <f t="shared" si="43"/>
        <v>-15761.77999999997</v>
      </c>
      <c r="AD171" s="15">
        <f>IFERROR(AC171/AC444, "NA")</f>
        <v>-0.55728772952817485</v>
      </c>
    </row>
    <row r="172" spans="1:30" ht="16.5" customHeight="1" x14ac:dyDescent="0.45">
      <c r="A172" s="22" t="s">
        <v>160</v>
      </c>
      <c r="B172" s="23">
        <f>IFERROR(B124-B171, "NA")</f>
        <v>60911.73000000004</v>
      </c>
      <c r="C172" s="24">
        <f>IFERROR(B172/B444, "NA")</f>
        <v>0.72028960708732592</v>
      </c>
      <c r="D172" s="25"/>
      <c r="E172" s="23">
        <f>IFERROR(E124-E171, "NA")</f>
        <v>71198.939999999988</v>
      </c>
      <c r="F172" s="24">
        <f>IFERROR(E172/E444, "NA")</f>
        <v>0.7610000073749692</v>
      </c>
      <c r="G172" s="25"/>
      <c r="H172" s="23">
        <f>IFERROR(B172-E172, "NA")</f>
        <v>-10287.209999999948</v>
      </c>
      <c r="I172" s="24">
        <f>IFERROR(H172/H444, "NA")</f>
        <v>1.1437731401696603</v>
      </c>
      <c r="J172" s="25"/>
      <c r="K172" s="23">
        <f>IFERROR(K124-K171, "NA")</f>
        <v>61615.140000000014</v>
      </c>
      <c r="L172" s="24">
        <f>IFERROR(K172/K444, "NA")</f>
        <v>0.74417835601150795</v>
      </c>
      <c r="M172" s="25"/>
      <c r="N172" s="23">
        <f>IFERROR(B172-K172, "NA")</f>
        <v>-703.40999999997439</v>
      </c>
      <c r="O172" s="24">
        <f>IFERROR(N172/N444, "NA")</f>
        <v>-0.3975392927585879</v>
      </c>
      <c r="P172" s="25"/>
      <c r="Q172" s="23">
        <f>IFERROR(Q124-Q171, "NA")</f>
        <v>462419.65000000026</v>
      </c>
      <c r="R172" s="24">
        <f>IFERROR(Q172/Q444, "NA")</f>
        <v>0.71729741327546348</v>
      </c>
      <c r="S172" s="25"/>
      <c r="T172" s="23">
        <f>IFERROR(T124-T171, "NA")</f>
        <v>537929.94999999995</v>
      </c>
      <c r="U172" s="24">
        <f>IFERROR(T172/T444, "NA")</f>
        <v>0.7546790371207619</v>
      </c>
      <c r="V172" s="25"/>
      <c r="W172" s="23">
        <f>IFERROR(Q172-T172, "NA")</f>
        <v>-75510.299999999697</v>
      </c>
      <c r="X172" s="24">
        <f>IFERROR(W172/W444, "NA")</f>
        <v>1.1084295504881656</v>
      </c>
      <c r="Y172" s="25"/>
      <c r="Z172" s="23">
        <f>IFERROR(Z124-Z171, "NA")</f>
        <v>449898.40999999992</v>
      </c>
      <c r="AA172" s="24">
        <f>IFERROR(Z172/Z444, "NA")</f>
        <v>0.72989681211614166</v>
      </c>
      <c r="AB172" s="25"/>
      <c r="AC172" s="23">
        <f>IFERROR(Q172-Z172, "NA")</f>
        <v>12521.24000000034</v>
      </c>
      <c r="AD172" s="24">
        <f>IFERROR(AC172/AC444, "NA")</f>
        <v>0.44271227047183548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6.6693777766162865E-2</v>
      </c>
      <c r="D178" s="9"/>
      <c r="E178" s="7">
        <v>5576.92</v>
      </c>
      <c r="F178" s="8">
        <f>IFERROR(E178/E444, "NA")</f>
        <v>5.9608136878577321E-2</v>
      </c>
      <c r="G178" s="9"/>
      <c r="H178" s="10">
        <f t="shared" si="44"/>
        <v>-63.079999999999927</v>
      </c>
      <c r="I178" s="8">
        <f>IFERROR(H178/H444, "NA")</f>
        <v>7.01348661900578E-3</v>
      </c>
      <c r="J178" s="9"/>
      <c r="K178" s="7">
        <v>5423.08</v>
      </c>
      <c r="L178" s="8">
        <f>IFERROR(K178/K444, "NA")</f>
        <v>6.5499141264937277E-2</v>
      </c>
      <c r="M178" s="9"/>
      <c r="N178" s="10">
        <f t="shared" si="45"/>
        <v>-216.92000000000007</v>
      </c>
      <c r="O178" s="8">
        <f>IFERROR(N178/N444, "NA")</f>
        <v>-0.12259453716210468</v>
      </c>
      <c r="P178" s="9"/>
      <c r="Q178" s="7">
        <v>42025</v>
      </c>
      <c r="R178" s="8">
        <f>IFERROR(Q178/Q444, "NA")</f>
        <v>6.5188457698329511E-2</v>
      </c>
      <c r="S178" s="9"/>
      <c r="T178" s="7">
        <v>41826.9</v>
      </c>
      <c r="U178" s="8">
        <f>IFERROR(T178/T444, "NA")</f>
        <v>5.8680288423699774E-2</v>
      </c>
      <c r="V178" s="9"/>
      <c r="W178" s="10">
        <f t="shared" si="46"/>
        <v>-198.09999999999854</v>
      </c>
      <c r="X178" s="8">
        <f>IFERROR(W178/W444, "NA")</f>
        <v>2.907946253050311E-3</v>
      </c>
      <c r="Y178" s="9"/>
      <c r="Z178" s="7">
        <v>40673.1</v>
      </c>
      <c r="AA178" s="8">
        <f>IFERROR(Z178/Z444, "NA")</f>
        <v>6.5986376855346182E-2</v>
      </c>
      <c r="AB178" s="9"/>
      <c r="AC178" s="10">
        <f t="shared" si="47"/>
        <v>-1351.9000000000015</v>
      </c>
      <c r="AD178" s="8">
        <f>IFERROR(AC178/AC444, "NA")</f>
        <v>-4.7798997419653225E-2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16885.57</v>
      </c>
      <c r="C180" s="8">
        <f>IFERROR(B180/B444, "NA")</f>
        <v>0.19967419380052956</v>
      </c>
      <c r="D180" s="9"/>
      <c r="E180" s="7">
        <v>17963.46</v>
      </c>
      <c r="F180" s="8">
        <f>IFERROR(E180/E444, "NA")</f>
        <v>0.19199995382627841</v>
      </c>
      <c r="G180" s="9"/>
      <c r="H180" s="10">
        <f t="shared" si="44"/>
        <v>1077.8899999999994</v>
      </c>
      <c r="I180" s="8">
        <f>IFERROR(H180/H444, "NA")</f>
        <v>-0.11984412003424452</v>
      </c>
      <c r="J180" s="9"/>
      <c r="K180" s="7">
        <v>17833</v>
      </c>
      <c r="L180" s="8">
        <f>IFERROR(K180/K444, "NA")</f>
        <v>0.21538428092110509</v>
      </c>
      <c r="M180" s="9"/>
      <c r="N180" s="10">
        <f t="shared" si="45"/>
        <v>947.43000000000029</v>
      </c>
      <c r="O180" s="8">
        <f>IFERROR(N180/N444, "NA")</f>
        <v>0.5354496696638984</v>
      </c>
      <c r="P180" s="9"/>
      <c r="Q180" s="7">
        <v>135135.38</v>
      </c>
      <c r="R180" s="8">
        <f>IFERROR(Q180/Q444, "NA")</f>
        <v>0.20961967882635774</v>
      </c>
      <c r="S180" s="9"/>
      <c r="T180" s="7">
        <v>141900.92000000001</v>
      </c>
      <c r="U180" s="8">
        <f>IFERROR(T180/T444, "NA")</f>
        <v>0.19907731419704419</v>
      </c>
      <c r="V180" s="9"/>
      <c r="W180" s="10">
        <f t="shared" si="46"/>
        <v>6765.5400000000081</v>
      </c>
      <c r="X180" s="8">
        <f>IFERROR(W180/W444, "NA")</f>
        <v>-9.9312603194660107E-2</v>
      </c>
      <c r="Y180" s="9"/>
      <c r="Z180" s="7">
        <v>131516.51999999999</v>
      </c>
      <c r="AA180" s="8">
        <f>IFERROR(Z180/Z444, "NA")</f>
        <v>0.21336703254543352</v>
      </c>
      <c r="AB180" s="9"/>
      <c r="AC180" s="10">
        <f t="shared" si="47"/>
        <v>-3618.8600000000151</v>
      </c>
      <c r="AD180" s="8">
        <f>IFERROR(AC180/AC444, "NA")</f>
        <v>-0.12795168267038007</v>
      </c>
    </row>
    <row r="181" spans="1:30" ht="16.5" customHeight="1" x14ac:dyDescent="0.45">
      <c r="A181" s="12" t="s">
        <v>166</v>
      </c>
      <c r="B181" s="7">
        <v>85.3</v>
      </c>
      <c r="C181" s="8">
        <f>IFERROR(B181/B444, "NA")</f>
        <v>1.0086842630237043E-3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-85.3</v>
      </c>
      <c r="I181" s="8">
        <f>IFERROR(H181/H444, "NA")</f>
        <v>9.4839950634304643E-3</v>
      </c>
      <c r="J181" s="9"/>
      <c r="K181" s="7">
        <v>9.6</v>
      </c>
      <c r="L181" s="8">
        <f>IFERROR(K181/K444, "NA")</f>
        <v>1.1594735024071153E-4</v>
      </c>
      <c r="M181" s="9"/>
      <c r="N181" s="10">
        <f t="shared" si="45"/>
        <v>-75.7</v>
      </c>
      <c r="O181" s="8">
        <f>IFERROR(N181/N444, "NA")</f>
        <v>-4.2782622456072845E-2</v>
      </c>
      <c r="P181" s="9"/>
      <c r="Q181" s="7">
        <v>1093.19</v>
      </c>
      <c r="R181" s="8">
        <f>IFERROR(Q181/Q444, "NA")</f>
        <v>1.6957375388753561E-3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-1093.19</v>
      </c>
      <c r="X181" s="8">
        <f>IFERROR(W181/W444, "NA")</f>
        <v>1.6047136619748069E-2</v>
      </c>
      <c r="Y181" s="9"/>
      <c r="Z181" s="7">
        <v>234.11</v>
      </c>
      <c r="AA181" s="8">
        <f>IFERROR(Z181/Z444, "NA")</f>
        <v>3.7981050585288791E-4</v>
      </c>
      <c r="AB181" s="9"/>
      <c r="AC181" s="10">
        <f t="shared" si="47"/>
        <v>-859.08</v>
      </c>
      <c r="AD181" s="8">
        <f>IFERROR(AC181/AC444, "NA")</f>
        <v>-3.0374408390617391E-2</v>
      </c>
    </row>
    <row r="182" spans="1:30" ht="16.5" customHeight="1" x14ac:dyDescent="0.45">
      <c r="A182" s="13" t="s">
        <v>167</v>
      </c>
      <c r="B182" s="14">
        <f>IFERROR(B177+B178+B179+B180+B181, "NA")</f>
        <v>22610.87</v>
      </c>
      <c r="C182" s="15">
        <f>IFERROR(B182/B444, "NA")</f>
        <v>0.26737665582971609</v>
      </c>
      <c r="D182" s="2"/>
      <c r="E182" s="14">
        <f>IFERROR(E177+E178+E179+E180+E181, "NA")</f>
        <v>23540.379999999997</v>
      </c>
      <c r="F182" s="15">
        <f>IFERROR(E182/E444, "NA")</f>
        <v>0.25160809070485574</v>
      </c>
      <c r="G182" s="2"/>
      <c r="H182" s="14">
        <f t="shared" si="44"/>
        <v>929.5099999999984</v>
      </c>
      <c r="I182" s="15">
        <f>IFERROR(H182/H444, "NA")</f>
        <v>-0.10334663835180816</v>
      </c>
      <c r="J182" s="2"/>
      <c r="K182" s="14">
        <f>IFERROR(K177+K178+K179+K180+K181, "NA")</f>
        <v>23265.68</v>
      </c>
      <c r="L182" s="15">
        <f>IFERROR(K182/K444, "NA")</f>
        <v>0.28099936953628307</v>
      </c>
      <c r="M182" s="2"/>
      <c r="N182" s="14">
        <f t="shared" si="45"/>
        <v>654.81000000000131</v>
      </c>
      <c r="O182" s="15">
        <f>IFERROR(N182/N444, "NA")</f>
        <v>0.37007251004572145</v>
      </c>
      <c r="P182" s="2"/>
      <c r="Q182" s="14">
        <f>IFERROR(Q177+Q178+Q179+Q180+Q181, "NA")</f>
        <v>178253.57</v>
      </c>
      <c r="R182" s="15">
        <f>IFERROR(Q182/Q444, "NA")</f>
        <v>0.27650387406356258</v>
      </c>
      <c r="S182" s="2"/>
      <c r="T182" s="14">
        <f>IFERROR(T177+T178+T179+T180+T181, "NA")</f>
        <v>183727.82</v>
      </c>
      <c r="U182" s="15">
        <f>IFERROR(T182/T444, "NA")</f>
        <v>0.25775760262074399</v>
      </c>
      <c r="V182" s="2"/>
      <c r="W182" s="14">
        <f t="shared" si="46"/>
        <v>5474.25</v>
      </c>
      <c r="X182" s="15">
        <f>IFERROR(W182/W444, "NA")</f>
        <v>-8.0357520321861595E-2</v>
      </c>
      <c r="Y182" s="2"/>
      <c r="Z182" s="14">
        <f>IFERROR(Z177+Z178+Z179+Z180+Z181, "NA")</f>
        <v>172423.72999999998</v>
      </c>
      <c r="AA182" s="15">
        <f>IFERROR(Z182/Z444, "NA")</f>
        <v>0.27973321990663258</v>
      </c>
      <c r="AB182" s="2"/>
      <c r="AC182" s="14">
        <f t="shared" si="47"/>
        <v>-5829.8400000000256</v>
      </c>
      <c r="AD182" s="15">
        <f>IFERROR(AC182/AC444, "NA")</f>
        <v>-0.206125088480651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-1000</v>
      </c>
      <c r="C184" s="8">
        <f>IFERROR(B184/B444, "NA")</f>
        <v>-1.1825137901801926E-2</v>
      </c>
      <c r="D184" s="9"/>
      <c r="E184" s="7">
        <v>500</v>
      </c>
      <c r="F184" s="8">
        <f>IFERROR(E184/E444, "NA")</f>
        <v>5.344180737627339E-3</v>
      </c>
      <c r="G184" s="9"/>
      <c r="H184" s="10">
        <f t="shared" si="44"/>
        <v>1500</v>
      </c>
      <c r="I184" s="8">
        <f>IFERROR(H184/H444, "NA")</f>
        <v>-0.16677599759842554</v>
      </c>
      <c r="J184" s="9"/>
      <c r="K184" s="7">
        <v>300</v>
      </c>
      <c r="L184" s="8">
        <f>IFERROR(K184/K444, "NA")</f>
        <v>3.6233546950222356E-3</v>
      </c>
      <c r="M184" s="9"/>
      <c r="N184" s="10">
        <f t="shared" si="45"/>
        <v>1300</v>
      </c>
      <c r="O184" s="8">
        <f>IFERROR(N184/N444, "NA")</f>
        <v>0.73470817956267764</v>
      </c>
      <c r="P184" s="9"/>
      <c r="Q184" s="7">
        <v>1200</v>
      </c>
      <c r="R184" s="8">
        <f>IFERROR(Q184/Q444, "NA")</f>
        <v>1.861419375086149E-3</v>
      </c>
      <c r="S184" s="9"/>
      <c r="T184" s="7">
        <v>3500</v>
      </c>
      <c r="U184" s="8">
        <f>IFERROR(T184/T444, "NA")</f>
        <v>4.9102613266330808E-3</v>
      </c>
      <c r="V184" s="9"/>
      <c r="W184" s="10">
        <f t="shared" si="46"/>
        <v>2300</v>
      </c>
      <c r="X184" s="8">
        <f>IFERROR(W184/W444, "NA")</f>
        <v>-3.3762122069741364E-2</v>
      </c>
      <c r="Y184" s="9"/>
      <c r="Z184" s="7">
        <v>1650</v>
      </c>
      <c r="AA184" s="8">
        <f>IFERROR(Z184/Z444, "NA")</f>
        <v>2.6768926344763787E-3</v>
      </c>
      <c r="AB184" s="9"/>
      <c r="AC184" s="10">
        <f t="shared" si="47"/>
        <v>450</v>
      </c>
      <c r="AD184" s="8">
        <f>IFERROR(AC184/AC444, "NA")</f>
        <v>1.5910606434532088E-2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1957.02</v>
      </c>
      <c r="C186" s="8">
        <f>IFERROR(B186/B444, "NA")</f>
        <v>2.3142031376584406E-2</v>
      </c>
      <c r="D186" s="9"/>
      <c r="E186" s="7">
        <v>2401.1799999999998</v>
      </c>
      <c r="F186" s="8">
        <f>IFERROR(E186/E444, "NA")</f>
        <v>2.5664679807152029E-2</v>
      </c>
      <c r="G186" s="9"/>
      <c r="H186" s="10">
        <f t="shared" ref="H186:H197" si="48">IFERROR(-(B186-E186), "NA")</f>
        <v>444.15999999999985</v>
      </c>
      <c r="I186" s="8">
        <f>IFERROR(H186/H444, "NA")</f>
        <v>-4.9383484728877769E-2</v>
      </c>
      <c r="J186" s="9"/>
      <c r="K186" s="7">
        <v>2116.59</v>
      </c>
      <c r="L186" s="8">
        <f>IFERROR(K186/K444, "NA")</f>
        <v>2.556385437979038E-2</v>
      </c>
      <c r="M186" s="9"/>
      <c r="N186" s="10">
        <f t="shared" ref="N186:N197" si="49">IFERROR(-(B186-K186), "NA")</f>
        <v>159.57000000000016</v>
      </c>
      <c r="O186" s="8">
        <f>IFERROR(N186/N444, "NA")</f>
        <v>9.0182603240628142E-2</v>
      </c>
      <c r="P186" s="9"/>
      <c r="Q186" s="7">
        <v>16052.64</v>
      </c>
      <c r="R186" s="8">
        <f>IFERROR(Q186/Q444, "NA")</f>
        <v>2.490057926440243E-2</v>
      </c>
      <c r="S186" s="9"/>
      <c r="T186" s="7">
        <v>20762.240000000002</v>
      </c>
      <c r="U186" s="8">
        <f>IFERROR(T186/T444, "NA")</f>
        <v>2.9128006893221262E-2</v>
      </c>
      <c r="V186" s="9"/>
      <c r="W186" s="10">
        <f t="shared" ref="W186:W197" si="50">IFERROR(-(Q186-T186), "NA")</f>
        <v>4709.6000000000022</v>
      </c>
      <c r="X186" s="8">
        <f>IFERROR(W186/W444, "NA")</f>
        <v>-6.9133082652023475E-2</v>
      </c>
      <c r="Y186" s="9"/>
      <c r="Z186" s="7">
        <v>15823.55</v>
      </c>
      <c r="AA186" s="8">
        <f>IFERROR(Z186/Z444, "NA")</f>
        <v>2.5671481482587091E-2</v>
      </c>
      <c r="AB186" s="9"/>
      <c r="AC186" s="10">
        <f t="shared" ref="AC186:AC197" si="51">IFERROR(-(Q186-Z186), "NA")</f>
        <v>-229.09000000000015</v>
      </c>
      <c r="AD186" s="8">
        <f>IFERROR(AC186/AC444, "NA")</f>
        <v>-8.099912951304352E-3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3.2447183448198532E-8</v>
      </c>
      <c r="AB187" s="9"/>
      <c r="AC187" s="10">
        <f t="shared" si="51"/>
        <v>0.02</v>
      </c>
      <c r="AD187" s="8">
        <f>IFERROR(AC187/AC444, "NA")</f>
        <v>7.0713806375698168E-7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1957.02</v>
      </c>
      <c r="C193" s="15">
        <f>IFERROR(B193/B444, "NA")</f>
        <v>2.3142031376584406E-2</v>
      </c>
      <c r="D193" s="2"/>
      <c r="E193" s="14">
        <f>IFERROR(E186+E187+E188+E189+E190+E191+E192, "NA")</f>
        <v>2401.1799999999998</v>
      </c>
      <c r="F193" s="15">
        <f>IFERROR(E193/E444, "NA")</f>
        <v>2.5664679807152029E-2</v>
      </c>
      <c r="G193" s="2"/>
      <c r="H193" s="14">
        <f t="shared" si="48"/>
        <v>444.15999999999985</v>
      </c>
      <c r="I193" s="15">
        <f>IFERROR(H193/H444, "NA")</f>
        <v>-4.9383484728877769E-2</v>
      </c>
      <c r="J193" s="2"/>
      <c r="K193" s="14">
        <f>IFERROR(K186+K187+K188+K189+K190+K191+K192, "NA")</f>
        <v>2116.59</v>
      </c>
      <c r="L193" s="15">
        <f>IFERROR(K193/K444, "NA")</f>
        <v>2.556385437979038E-2</v>
      </c>
      <c r="M193" s="2"/>
      <c r="N193" s="14">
        <f t="shared" si="49"/>
        <v>159.57000000000016</v>
      </c>
      <c r="O193" s="15">
        <f>IFERROR(N193/N444, "NA")</f>
        <v>9.0182603240628142E-2</v>
      </c>
      <c r="P193" s="2"/>
      <c r="Q193" s="14">
        <f>IFERROR(Q186+Q187+Q188+Q189+Q190+Q191+Q192, "NA")</f>
        <v>16052.64</v>
      </c>
      <c r="R193" s="15">
        <f>IFERROR(Q193/Q444, "NA")</f>
        <v>2.490057926440243E-2</v>
      </c>
      <c r="S193" s="2"/>
      <c r="T193" s="14">
        <f>IFERROR(T186+T187+T188+T189+T190+T191+T192, "NA")</f>
        <v>20762.240000000002</v>
      </c>
      <c r="U193" s="15">
        <f>IFERROR(T193/T444, "NA")</f>
        <v>2.9128006893221262E-2</v>
      </c>
      <c r="V193" s="2"/>
      <c r="W193" s="14">
        <f t="shared" si="50"/>
        <v>4709.6000000000022</v>
      </c>
      <c r="X193" s="15">
        <f>IFERROR(W193/W444, "NA")</f>
        <v>-6.9133082652023475E-2</v>
      </c>
      <c r="Y193" s="2"/>
      <c r="Z193" s="14">
        <f>IFERROR(Z186+Z187+Z188+Z189+Z190+Z191+Z192, "NA")</f>
        <v>15823.57</v>
      </c>
      <c r="AA193" s="15">
        <f>IFERROR(Z193/Z444, "NA")</f>
        <v>2.5671513929770538E-2</v>
      </c>
      <c r="AB193" s="2"/>
      <c r="AC193" s="14">
        <f t="shared" si="51"/>
        <v>-229.06999999999971</v>
      </c>
      <c r="AD193" s="15">
        <f>IFERROR(AC193/AC444, "NA")</f>
        <v>-8.099205813240579E-3</v>
      </c>
    </row>
    <row r="194" spans="1:30" ht="16.5" customHeight="1" x14ac:dyDescent="0.45">
      <c r="A194" s="6" t="s">
        <v>178</v>
      </c>
      <c r="B194" s="7">
        <v>224</v>
      </c>
      <c r="C194" s="8">
        <f>IFERROR(B194/B444, "NA")</f>
        <v>2.6488308900036316E-3</v>
      </c>
      <c r="D194" s="9"/>
      <c r="E194" s="7">
        <v>192.32</v>
      </c>
      <c r="F194" s="8">
        <f>IFERROR(E194/E444, "NA")</f>
        <v>2.0555856789209797E-3</v>
      </c>
      <c r="G194" s="9"/>
      <c r="H194" s="10">
        <f t="shared" si="48"/>
        <v>-31.680000000000007</v>
      </c>
      <c r="I194" s="8">
        <f>IFERROR(H194/H444, "NA")</f>
        <v>3.522309069278748E-3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-224</v>
      </c>
      <c r="O194" s="8">
        <f>IFERROR(N194/N444, "NA")</f>
        <v>-0.12659587094003061</v>
      </c>
      <c r="P194" s="9"/>
      <c r="Q194" s="7">
        <v>1834</v>
      </c>
      <c r="R194" s="8">
        <f>IFERROR(Q194/Q444, "NA")</f>
        <v>2.8448692782566641E-3</v>
      </c>
      <c r="S194" s="9"/>
      <c r="T194" s="7">
        <v>1497.83</v>
      </c>
      <c r="U194" s="8">
        <f>IFERROR(T194/T444, "NA")</f>
        <v>2.1013533493916647E-3</v>
      </c>
      <c r="V194" s="9"/>
      <c r="W194" s="10">
        <f t="shared" si="50"/>
        <v>-336.17000000000007</v>
      </c>
      <c r="X194" s="8">
        <f>IFERROR(W194/W444, "NA")</f>
        <v>4.9347011200804158E-3</v>
      </c>
      <c r="Y194" s="9"/>
      <c r="Z194" s="7">
        <v>1353</v>
      </c>
      <c r="AA194" s="8">
        <f>IFERROR(Z194/Z444, "NA")</f>
        <v>2.1950519602706303E-3</v>
      </c>
      <c r="AB194" s="9"/>
      <c r="AC194" s="10">
        <f t="shared" si="51"/>
        <v>-481</v>
      </c>
      <c r="AD194" s="8">
        <f>IFERROR(AC194/AC444, "NA")</f>
        <v>-1.7006670433355409E-2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23791.89</v>
      </c>
      <c r="C196" s="15">
        <f>IFERROR(B196/B444, "NA")</f>
        <v>0.28134238019450225</v>
      </c>
      <c r="D196" s="2"/>
      <c r="E196" s="14">
        <f>IFERROR(E175+E177+E178+E179+E180+E181+E183+E184+E186+E187+E188+E189+E190+E191+E192+E194+E195, "NA")</f>
        <v>26633.879999999997</v>
      </c>
      <c r="F196" s="15">
        <f>IFERROR(E196/E444, "NA")</f>
        <v>0.28467253692855604</v>
      </c>
      <c r="G196" s="2"/>
      <c r="H196" s="14">
        <f t="shared" si="48"/>
        <v>2841.989999999998</v>
      </c>
      <c r="I196" s="15">
        <f>IFERROR(H196/H444, "NA")</f>
        <v>-0.31598381160983269</v>
      </c>
      <c r="J196" s="2"/>
      <c r="K196" s="14">
        <f>IFERROR(K175+K177+K178+K179+K180+K181+K183+K184+K186+K187+K188+K189+K190+K191+K192+K194+K195, "NA")</f>
        <v>25682.27</v>
      </c>
      <c r="L196" s="15">
        <f>IFERROR(K196/K444, "NA")</f>
        <v>0.31018657861109572</v>
      </c>
      <c r="M196" s="2"/>
      <c r="N196" s="14">
        <f t="shared" si="49"/>
        <v>1890.380000000001</v>
      </c>
      <c r="O196" s="15">
        <f>IFERROR(N196/N444, "NA")</f>
        <v>1.0683674219089965</v>
      </c>
      <c r="P196" s="2"/>
      <c r="Q196" s="14">
        <f>IFERROR(Q175+Q177+Q178+Q179+Q180+Q181+Q183+Q184+Q186+Q187+Q188+Q189+Q190+Q191+Q192+Q194+Q195, "NA")</f>
        <v>197340.21000000002</v>
      </c>
      <c r="R196" s="15">
        <f>IFERROR(Q196/Q444, "NA")</f>
        <v>0.30611074198130789</v>
      </c>
      <c r="S196" s="2"/>
      <c r="T196" s="14">
        <f>IFERROR(T175+T177+T178+T179+T180+T181+T183+T184+T186+T187+T188+T189+T190+T191+T192+T194+T195, "NA")</f>
        <v>209487.88999999998</v>
      </c>
      <c r="U196" s="15">
        <f>IFERROR(T196/T444, "NA")</f>
        <v>0.29389722418998993</v>
      </c>
      <c r="V196" s="2"/>
      <c r="W196" s="14">
        <f t="shared" si="50"/>
        <v>12147.679999999964</v>
      </c>
      <c r="X196" s="15">
        <f>IFERROR(W196/W444, "NA")</f>
        <v>-0.17831802392354545</v>
      </c>
      <c r="Y196" s="2"/>
      <c r="Z196" s="14">
        <f>IFERROR(Z175+Z177+Z178+Z179+Z180+Z181+Z183+Z184+Z186+Z187+Z188+Z189+Z190+Z191+Z192+Z194+Z195, "NA")</f>
        <v>191250.29999999996</v>
      </c>
      <c r="AA196" s="15">
        <f>IFERROR(Z196/Z444, "NA")</f>
        <v>0.31027667843115009</v>
      </c>
      <c r="AB196" s="2"/>
      <c r="AC196" s="14">
        <f t="shared" si="51"/>
        <v>-6089.9100000000617</v>
      </c>
      <c r="AD196" s="15">
        <f>IFERROR(AC196/AC444, "NA")</f>
        <v>-0.21532035829271617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23791.89</v>
      </c>
      <c r="C197" s="15">
        <f>IFERROR(B197/B444, "NA")</f>
        <v>0.28134238019450225</v>
      </c>
      <c r="D197" s="2"/>
      <c r="E197" s="14">
        <f>IFERROR(E175+E177+E178+E179+E180+E181+E183+E184+E186+E187+E188+E189+E190+E191+E192+E194+E195, "NA")</f>
        <v>26633.879999999997</v>
      </c>
      <c r="F197" s="15">
        <f>IFERROR(E197/E444, "NA")</f>
        <v>0.28467253692855604</v>
      </c>
      <c r="G197" s="2"/>
      <c r="H197" s="14">
        <f t="shared" si="48"/>
        <v>2841.989999999998</v>
      </c>
      <c r="I197" s="15">
        <f>IFERROR(H197/H444, "NA")</f>
        <v>-0.31598381160983269</v>
      </c>
      <c r="J197" s="2"/>
      <c r="K197" s="14">
        <f>IFERROR(K175+K177+K178+K179+K180+K181+K183+K184+K186+K187+K188+K189+K190+K191+K192+K194+K195, "NA")</f>
        <v>25682.27</v>
      </c>
      <c r="L197" s="15">
        <f>IFERROR(K197/K444, "NA")</f>
        <v>0.31018657861109572</v>
      </c>
      <c r="M197" s="2"/>
      <c r="N197" s="14">
        <f t="shared" si="49"/>
        <v>1890.380000000001</v>
      </c>
      <c r="O197" s="15">
        <f>IFERROR(N197/N444, "NA")</f>
        <v>1.0683674219089965</v>
      </c>
      <c r="P197" s="2"/>
      <c r="Q197" s="14">
        <f>IFERROR(Q175+Q177+Q178+Q179+Q180+Q181+Q183+Q184+Q186+Q187+Q188+Q189+Q190+Q191+Q192+Q194+Q195, "NA")</f>
        <v>197340.21000000002</v>
      </c>
      <c r="R197" s="15">
        <f>IFERROR(Q197/Q444, "NA")</f>
        <v>0.30611074198130789</v>
      </c>
      <c r="S197" s="2"/>
      <c r="T197" s="14">
        <f>IFERROR(T175+T177+T178+T179+T180+T181+T183+T184+T186+T187+T188+T189+T190+T191+T192+T194+T195, "NA")</f>
        <v>209487.88999999998</v>
      </c>
      <c r="U197" s="15">
        <f>IFERROR(T197/T444, "NA")</f>
        <v>0.29389722418998993</v>
      </c>
      <c r="V197" s="2"/>
      <c r="W197" s="14">
        <f t="shared" si="50"/>
        <v>12147.679999999964</v>
      </c>
      <c r="X197" s="15">
        <f>IFERROR(W197/W444, "NA")</f>
        <v>-0.17831802392354545</v>
      </c>
      <c r="Y197" s="2"/>
      <c r="Z197" s="14">
        <f>IFERROR(Z175+Z177+Z178+Z179+Z180+Z181+Z183+Z184+Z186+Z187+Z188+Z189+Z190+Z191+Z192+Z194+Z195, "NA")</f>
        <v>191250.29999999996</v>
      </c>
      <c r="AA197" s="15">
        <f>IFERROR(Z197/Z444, "NA")</f>
        <v>0.31027667843115009</v>
      </c>
      <c r="AB197" s="2"/>
      <c r="AC197" s="14">
        <f t="shared" si="51"/>
        <v>-6089.9100000000617</v>
      </c>
      <c r="AD197" s="15">
        <f>IFERROR(AC197/AC444, "NA")</f>
        <v>-0.21532035829271617</v>
      </c>
    </row>
    <row r="198" spans="1:30" ht="16.5" customHeight="1" x14ac:dyDescent="0.45">
      <c r="A198" s="22" t="s">
        <v>181</v>
      </c>
      <c r="B198" s="23">
        <f>IFERROR(B172-B197, "NA")</f>
        <v>37119.84000000004</v>
      </c>
      <c r="C198" s="24">
        <f>IFERROR(B198/B444, "NA")</f>
        <v>0.43894722689282367</v>
      </c>
      <c r="D198" s="25"/>
      <c r="E198" s="23">
        <f>IFERROR(E172-E197, "NA")</f>
        <v>44565.05999999999</v>
      </c>
      <c r="F198" s="24">
        <f>IFERROR(E198/E444, "NA")</f>
        <v>0.47632747044641316</v>
      </c>
      <c r="G198" s="25"/>
      <c r="H198" s="23">
        <f>IFERROR(B198-E198, "NA")</f>
        <v>-7445.2199999999502</v>
      </c>
      <c r="I198" s="24">
        <f>IFERROR(H198/H444, "NA")</f>
        <v>0.82778932855982756</v>
      </c>
      <c r="J198" s="25"/>
      <c r="K198" s="23">
        <f>IFERROR(K172-K197, "NA")</f>
        <v>35932.87000000001</v>
      </c>
      <c r="L198" s="24">
        <f>IFERROR(K198/K444, "NA")</f>
        <v>0.43399177740041223</v>
      </c>
      <c r="M198" s="25"/>
      <c r="N198" s="23">
        <f>IFERROR(B198-K198, "NA")</f>
        <v>1186.9700000000303</v>
      </c>
      <c r="O198" s="24">
        <f>IFERROR(N198/N444, "NA")</f>
        <v>0.67082812915041057</v>
      </c>
      <c r="P198" s="25"/>
      <c r="Q198" s="23">
        <f>IFERROR(Q172-Q197, "NA")</f>
        <v>265079.44000000024</v>
      </c>
      <c r="R198" s="24">
        <f>IFERROR(Q198/Q444, "NA")</f>
        <v>0.41118667129415559</v>
      </c>
      <c r="S198" s="25"/>
      <c r="T198" s="23">
        <f>IFERROR(T172-T197, "NA")</f>
        <v>328442.05999999994</v>
      </c>
      <c r="U198" s="24">
        <f>IFERROR(T198/T444, "NA")</f>
        <v>0.46078181293077186</v>
      </c>
      <c r="V198" s="25"/>
      <c r="W198" s="23">
        <f>IFERROR(Q198-T198, "NA")</f>
        <v>-63362.619999999704</v>
      </c>
      <c r="X198" s="24">
        <f>IFERROR(W198/W444, "NA")</f>
        <v>0.93011152656461982</v>
      </c>
      <c r="Y198" s="25"/>
      <c r="Z198" s="23">
        <f>IFERROR(Z172-Z197, "NA")</f>
        <v>258648.10999999996</v>
      </c>
      <c r="AA198" s="24">
        <f>IFERROR(Z198/Z444, "NA")</f>
        <v>0.41962013368499157</v>
      </c>
      <c r="AB198" s="25"/>
      <c r="AC198" s="23">
        <f>IFERROR(Q198-Z198, "NA")</f>
        <v>6431.3300000002782</v>
      </c>
      <c r="AD198" s="24">
        <f>IFERROR(AC198/AC444, "NA")</f>
        <v>0.22739191217911928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1684.07</v>
      </c>
      <c r="F201" s="8">
        <f>IFERROR(E201/E444, "NA")</f>
        <v>1.7999948909632146E-2</v>
      </c>
      <c r="G201" s="9"/>
      <c r="H201" s="10">
        <f t="shared" ref="H201:H209" si="52">IFERROR(-(B201-E201), "NA")</f>
        <v>1684.07</v>
      </c>
      <c r="I201" s="8">
        <f>IFERROR(H201/H444, "NA")</f>
        <v>-0.18724163618372031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13085.54</v>
      </c>
      <c r="U201" s="8">
        <f>IFERROR(T201/T444, "NA")</f>
        <v>1.8358120285745783E-2</v>
      </c>
      <c r="V201" s="9"/>
      <c r="W201" s="10">
        <f t="shared" ref="W201:W209" si="54">IFERROR(-(Q201-T201), "NA")</f>
        <v>13085.54</v>
      </c>
      <c r="X201" s="8">
        <f>IFERROR(W201/W444, "NA")</f>
        <v>-0.19208504296890583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1062.3399999999999</v>
      </c>
      <c r="C202" s="8">
        <f>IFERROR(B202/B444, "NA")</f>
        <v>1.2562316998600257E-2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-1062.3399999999999</v>
      </c>
      <c r="I202" s="8">
        <f>IFERROR(H202/H444, "NA")</f>
        <v>0.11811520885914091</v>
      </c>
      <c r="J202" s="9"/>
      <c r="K202" s="7">
        <v>880.82</v>
      </c>
      <c r="L202" s="8">
        <f>IFERROR(K202/K444, "NA")</f>
        <v>1.0638410941564952E-2</v>
      </c>
      <c r="M202" s="9"/>
      <c r="N202" s="10">
        <f t="shared" si="53"/>
        <v>-181.51999999999987</v>
      </c>
      <c r="O202" s="8">
        <f>IFERROR(N202/N444, "NA")</f>
        <v>-0.10258786827247472</v>
      </c>
      <c r="P202" s="9"/>
      <c r="Q202" s="7">
        <v>6864.42</v>
      </c>
      <c r="R202" s="8">
        <f>IFERROR(Q202/Q444, "NA")</f>
        <v>1.0647970322274053E-2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-6864.42</v>
      </c>
      <c r="X202" s="8">
        <f>IFERROR(W202/W444, "NA")</f>
        <v>0.1007640808599887</v>
      </c>
      <c r="Y202" s="9"/>
      <c r="Z202" s="7">
        <v>6617.52</v>
      </c>
      <c r="AA202" s="8">
        <f>IFERROR(Z202/Z444, "NA")</f>
        <v>1.0735994270606137E-2</v>
      </c>
      <c r="AB202" s="9"/>
      <c r="AC202" s="10">
        <f t="shared" si="55"/>
        <v>-246.89999999999964</v>
      </c>
      <c r="AD202" s="8">
        <f>IFERROR(AC202/AC444, "NA")</f>
        <v>-8.7296193970799255E-3</v>
      </c>
    </row>
    <row r="203" spans="1:30" ht="16.5" customHeight="1" x14ac:dyDescent="0.45">
      <c r="A203" s="6" t="s">
        <v>185</v>
      </c>
      <c r="B203" s="7">
        <v>581.74</v>
      </c>
      <c r="C203" s="8">
        <f>IFERROR(B203/B444, "NA")</f>
        <v>6.8791557229942527E-3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-581.74</v>
      </c>
      <c r="I203" s="8">
        <f>IFERROR(H203/H444, "NA")</f>
        <v>6.4680179228605375E-2</v>
      </c>
      <c r="J203" s="9"/>
      <c r="K203" s="7">
        <v>587.24</v>
      </c>
      <c r="L203" s="8">
        <f>IFERROR(K203/K444, "NA")</f>
        <v>7.0925960370161918E-3</v>
      </c>
      <c r="M203" s="9"/>
      <c r="N203" s="10">
        <f t="shared" si="53"/>
        <v>5.5</v>
      </c>
      <c r="O203" s="8">
        <f>IFERROR(N203/N444, "NA")</f>
        <v>3.1083807596882515E-3</v>
      </c>
      <c r="P203" s="9"/>
      <c r="Q203" s="7">
        <v>5817.13</v>
      </c>
      <c r="R203" s="8">
        <f>IFERROR(Q203/Q444, "NA")</f>
        <v>9.0234320744957408E-3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-5817.13</v>
      </c>
      <c r="X203" s="8">
        <f>IFERROR(W203/W444, "NA")</f>
        <v>8.5390718763284593E-2</v>
      </c>
      <c r="Y203" s="9"/>
      <c r="Z203" s="7">
        <v>3452.35</v>
      </c>
      <c r="AA203" s="8">
        <f>IFERROR(Z203/Z444, "NA")</f>
        <v>5.6009516888694093E-3</v>
      </c>
      <c r="AB203" s="9"/>
      <c r="AC203" s="10">
        <f t="shared" si="55"/>
        <v>-2364.7800000000002</v>
      </c>
      <c r="AD203" s="8">
        <f>IFERROR(AC203/AC444, "NA")</f>
        <v>-8.3611297520561761E-2</v>
      </c>
    </row>
    <row r="204" spans="1:30" ht="16.5" customHeight="1" x14ac:dyDescent="0.45">
      <c r="A204" s="6" t="s">
        <v>186</v>
      </c>
      <c r="B204" s="7">
        <v>309.20999999999998</v>
      </c>
      <c r="C204" s="8">
        <f>IFERROR(B204/B444, "NA")</f>
        <v>3.6564508906161736E-3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-309.20999999999998</v>
      </c>
      <c r="I204" s="8">
        <f>IFERROR(H204/H444, "NA")</f>
        <v>3.4379204144939439E-2</v>
      </c>
      <c r="J204" s="9"/>
      <c r="K204" s="7">
        <v>14.05</v>
      </c>
      <c r="L204" s="8">
        <f>IFERROR(K204/K444, "NA")</f>
        <v>1.6969377821687471E-4</v>
      </c>
      <c r="M204" s="9"/>
      <c r="N204" s="10">
        <f t="shared" si="53"/>
        <v>-295.15999999999997</v>
      </c>
      <c r="O204" s="8">
        <f>IFERROR(N204/N444, "NA")</f>
        <v>-0.16681266636901532</v>
      </c>
      <c r="P204" s="9"/>
      <c r="Q204" s="7">
        <v>1323.05</v>
      </c>
      <c r="R204" s="8">
        <f>IFERROR(Q204/Q444, "NA")</f>
        <v>2.0522924201731075E-3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-1323.05</v>
      </c>
      <c r="X204" s="8">
        <f>IFERROR(W204/W444, "NA")</f>
        <v>1.9421293741031003E-2</v>
      </c>
      <c r="Y204" s="9"/>
      <c r="Z204" s="7">
        <v>593.47</v>
      </c>
      <c r="AA204" s="8">
        <f>IFERROR(Z204/Z444, "NA")</f>
        <v>9.6282149805011904E-4</v>
      </c>
      <c r="AB204" s="9"/>
      <c r="AC204" s="10">
        <f t="shared" si="55"/>
        <v>-729.57999999999993</v>
      </c>
      <c r="AD204" s="8">
        <f>IFERROR(AC204/AC444, "NA")</f>
        <v>-2.5795689427790931E-2</v>
      </c>
    </row>
    <row r="205" spans="1:30" ht="16.5" customHeight="1" x14ac:dyDescent="0.45">
      <c r="A205" s="6" t="s">
        <v>187</v>
      </c>
      <c r="B205" s="7">
        <v>348.96</v>
      </c>
      <c r="C205" s="8">
        <f>IFERROR(B205/B444, "NA")</f>
        <v>4.1265001222127997E-3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-348.96</v>
      </c>
      <c r="I205" s="8">
        <f>IFERROR(H205/H444, "NA")</f>
        <v>3.8798768081297709E-2</v>
      </c>
      <c r="J205" s="9"/>
      <c r="K205" s="7">
        <v>344</v>
      </c>
      <c r="L205" s="8">
        <f>IFERROR(K205/K444, "NA")</f>
        <v>4.1547800502921631E-3</v>
      </c>
      <c r="M205" s="9"/>
      <c r="N205" s="10">
        <f t="shared" si="53"/>
        <v>-4.9599999999999795</v>
      </c>
      <c r="O205" s="8">
        <f>IFERROR(N205/N444, "NA")</f>
        <v>-2.8031942851006663E-3</v>
      </c>
      <c r="P205" s="9"/>
      <c r="Q205" s="7">
        <v>2437.7800000000002</v>
      </c>
      <c r="R205" s="8">
        <f>IFERROR(Q205/Q444, "NA")</f>
        <v>3.7814424368312603E-3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-2437.7800000000002</v>
      </c>
      <c r="X205" s="8">
        <f>IFERROR(W205/W444, "NA")</f>
        <v>3.5784619973553956E-2</v>
      </c>
      <c r="Y205" s="9"/>
      <c r="Z205" s="7">
        <v>2414.09</v>
      </c>
      <c r="AA205" s="8">
        <f>IFERROR(Z205/Z444, "NA")</f>
        <v>3.9165210545230797E-3</v>
      </c>
      <c r="AB205" s="9"/>
      <c r="AC205" s="10">
        <f t="shared" si="55"/>
        <v>-23.690000000000055</v>
      </c>
      <c r="AD205" s="8">
        <f>IFERROR(AC205/AC444, "NA")</f>
        <v>-8.3760503652014666E-4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9.84</v>
      </c>
      <c r="L206" s="8">
        <f>IFERROR(K206/K444, "NA")</f>
        <v>1.1884603399672932E-4</v>
      </c>
      <c r="M206" s="9"/>
      <c r="N206" s="10">
        <f t="shared" si="53"/>
        <v>9.84</v>
      </c>
      <c r="O206" s="8">
        <f>IFERROR(N206/N444, "NA")</f>
        <v>5.5611757591513449E-3</v>
      </c>
      <c r="P206" s="9"/>
      <c r="Q206" s="7">
        <v>490.43</v>
      </c>
      <c r="R206" s="8">
        <f>IFERROR(Q206/Q444, "NA")</f>
        <v>7.607465867695833E-4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-490.43</v>
      </c>
      <c r="X206" s="8">
        <f>IFERROR(W206/W444, "NA")</f>
        <v>7.1991119681144595E-3</v>
      </c>
      <c r="Y206" s="9"/>
      <c r="Z206" s="7">
        <v>206.02</v>
      </c>
      <c r="AA206" s="8">
        <f>IFERROR(Z206/Z444, "NA")</f>
        <v>3.3423843669989304E-4</v>
      </c>
      <c r="AB206" s="9"/>
      <c r="AC206" s="10">
        <f t="shared" si="55"/>
        <v>-284.40999999999997</v>
      </c>
      <c r="AD206" s="8">
        <f>IFERROR(AC206/AC444, "NA")</f>
        <v>-1.0055856835656156E-2</v>
      </c>
    </row>
    <row r="207" spans="1:30" ht="16.5" customHeight="1" x14ac:dyDescent="0.45">
      <c r="A207" s="6" t="s">
        <v>189</v>
      </c>
      <c r="B207" s="7">
        <v>174.68</v>
      </c>
      <c r="C207" s="8">
        <f>IFERROR(B207/B444, "NA")</f>
        <v>2.0656150886867604E-3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-174.68</v>
      </c>
      <c r="I207" s="8">
        <f>IFERROR(H207/H444, "NA")</f>
        <v>1.9421620840328647E-2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-174.68</v>
      </c>
      <c r="O207" s="8">
        <f>IFERROR(N207/N444, "NA")</f>
        <v>-9.8722172927698873E-2</v>
      </c>
      <c r="P207" s="9"/>
      <c r="Q207" s="7">
        <v>762.98</v>
      </c>
      <c r="R207" s="8">
        <f>IFERROR(Q207/Q444, "NA")</f>
        <v>1.183521462336025E-3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1.1199923433378811E-2</v>
      </c>
      <c r="Y207" s="9"/>
      <c r="Z207" s="7">
        <v>308.3</v>
      </c>
      <c r="AA207" s="8">
        <f>IFERROR(Z207/Z444, "NA")</f>
        <v>5.001733328539803E-4</v>
      </c>
      <c r="AB207" s="9"/>
      <c r="AC207" s="10">
        <f t="shared" si="55"/>
        <v>-454.68</v>
      </c>
      <c r="AD207" s="8">
        <f>IFERROR(AC207/AC444, "NA")</f>
        <v>-1.6076076741451222E-2</v>
      </c>
    </row>
    <row r="208" spans="1:30" ht="16.5" customHeight="1" x14ac:dyDescent="0.45">
      <c r="A208" s="6" t="s">
        <v>190</v>
      </c>
      <c r="B208" s="7">
        <v>200.02</v>
      </c>
      <c r="C208" s="8">
        <f>IFERROR(B208/B444, "NA")</f>
        <v>2.3652640831184216E-3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-200.02</v>
      </c>
      <c r="I208" s="8">
        <f>IFERROR(H208/H444, "NA")</f>
        <v>2.223902335975805E-2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-200.02</v>
      </c>
      <c r="O208" s="8">
        <f>IFERROR(N208/N444, "NA")</f>
        <v>-0.11304333082778983</v>
      </c>
      <c r="P208" s="9"/>
      <c r="Q208" s="7">
        <v>907.84</v>
      </c>
      <c r="R208" s="8">
        <f>IFERROR(Q208/Q444, "NA")</f>
        <v>1.4082258045651746E-3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-907.84</v>
      </c>
      <c r="X208" s="8">
        <f>IFERROR(W208/W444, "NA")</f>
        <v>1.3326349956432174E-2</v>
      </c>
      <c r="Y208" s="9"/>
      <c r="Z208" s="7">
        <v>1007.91</v>
      </c>
      <c r="AA208" s="8">
        <f>IFERROR(Z208/Z444, "NA")</f>
        <v>1.6351920334636888E-3</v>
      </c>
      <c r="AB208" s="9"/>
      <c r="AC208" s="10">
        <f t="shared" si="55"/>
        <v>100.06999999999994</v>
      </c>
      <c r="AD208" s="8">
        <f>IFERROR(AC208/AC444, "NA")</f>
        <v>3.5381653020080555E-3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2676.95</v>
      </c>
      <c r="C209" s="15">
        <f>IFERROR(B209/B444, "NA")</f>
        <v>3.1655302906228665E-2</v>
      </c>
      <c r="D209" s="2"/>
      <c r="E209" s="14">
        <f>IFERROR(E201+E202+E203+E204+E205+E206+E207+E208, "NA")</f>
        <v>1684.07</v>
      </c>
      <c r="F209" s="15">
        <f>IFERROR(E209/E444, "NA")</f>
        <v>1.7999948909632146E-2</v>
      </c>
      <c r="G209" s="2"/>
      <c r="H209" s="14">
        <f t="shared" si="52"/>
        <v>-992.87999999999988</v>
      </c>
      <c r="I209" s="15">
        <f>IFERROR(H209/H444, "NA")</f>
        <v>0.11039236833034981</v>
      </c>
      <c r="J209" s="2"/>
      <c r="K209" s="14">
        <f>IFERROR(K201+K202+K203+K204+K205+K206+K207+K208, "NA")</f>
        <v>1835.9499999999998</v>
      </c>
      <c r="L209" s="15">
        <f>IFERROR(K209/K444, "NA")</f>
        <v>2.217432684108691E-2</v>
      </c>
      <c r="M209" s="2"/>
      <c r="N209" s="14">
        <f t="shared" si="53"/>
        <v>-841</v>
      </c>
      <c r="O209" s="15">
        <f>IFERROR(N209/N444, "NA")</f>
        <v>-0.47529967616323993</v>
      </c>
      <c r="P209" s="2"/>
      <c r="Q209" s="14">
        <f>IFERROR(Q201+Q202+Q203+Q204+Q205+Q206+Q207+Q208, "NA")</f>
        <v>18603.629999999997</v>
      </c>
      <c r="R209" s="15">
        <f>IFERROR(Q209/Q444, "NA")</f>
        <v>2.885763110744494E-2</v>
      </c>
      <c r="S209" s="2"/>
      <c r="T209" s="14">
        <f>IFERROR(T201+T202+T203+T204+T205+T206+T207+T208, "NA")</f>
        <v>13085.54</v>
      </c>
      <c r="U209" s="15">
        <f>IFERROR(T209/T444, "NA")</f>
        <v>1.8358120285745783E-2</v>
      </c>
      <c r="V209" s="2"/>
      <c r="W209" s="14">
        <f t="shared" si="54"/>
        <v>-5518.0899999999965</v>
      </c>
      <c r="X209" s="15">
        <f>IFERROR(W209/W444, "NA")</f>
        <v>8.1001055726877824E-2</v>
      </c>
      <c r="Y209" s="2"/>
      <c r="Z209" s="14">
        <f>IFERROR(Z201+Z202+Z203+Z204+Z205+Z206+Z207+Z208, "NA")</f>
        <v>14599.66</v>
      </c>
      <c r="AA209" s="15">
        <f>IFERROR(Z209/Z444, "NA")</f>
        <v>2.3685892315066306E-2</v>
      </c>
      <c r="AB209" s="2"/>
      <c r="AC209" s="14">
        <f t="shared" si="55"/>
        <v>-4003.9699999999975</v>
      </c>
      <c r="AD209" s="15">
        <f>IFERROR(AC209/AC444, "NA")</f>
        <v>-0.14156797965705201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3691.16</v>
      </c>
      <c r="F213" s="8">
        <f>IFERROR(E213/E444, "NA")</f>
        <v>3.9452452343001057E-2</v>
      </c>
      <c r="G213" s="9"/>
      <c r="H213" s="10">
        <f t="shared" ref="H213:H227" si="56">IFERROR(-(B213-E213), "NA")</f>
        <v>3691.16</v>
      </c>
      <c r="I213" s="8">
        <f>IFERROR(H213/H444, "NA")</f>
        <v>-0.41039792753026955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27479.31</v>
      </c>
      <c r="U213" s="8">
        <f>IFERROR(T213/T444, "NA")</f>
        <v>3.8551598050160479E-2</v>
      </c>
      <c r="V213" s="9"/>
      <c r="W213" s="10">
        <f t="shared" ref="W213:W227" si="58">IFERROR(-(Q213-T213), "NA")</f>
        <v>27479.31</v>
      </c>
      <c r="X213" s="8">
        <f>IFERROR(W213/W444, "NA")</f>
        <v>-0.40337383417924544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1779.9</v>
      </c>
      <c r="C214" s="8">
        <f>IFERROR(B214/B444, "NA")</f>
        <v>2.1047562951417249E-2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-1779.9</v>
      </c>
      <c r="I214" s="8">
        <f>IFERROR(H214/H444, "NA")</f>
        <v>0.19789639875029175</v>
      </c>
      <c r="J214" s="9"/>
      <c r="K214" s="7">
        <v>570</v>
      </c>
      <c r="L214" s="8">
        <f>IFERROR(K214/K444, "NA")</f>
        <v>6.8843739205422475E-3</v>
      </c>
      <c r="M214" s="9"/>
      <c r="N214" s="10">
        <f t="shared" si="57"/>
        <v>-1209.9000000000001</v>
      </c>
      <c r="O214" s="8">
        <f>IFERROR(N214/N444, "NA")</f>
        <v>-0.68378725111760286</v>
      </c>
      <c r="P214" s="9"/>
      <c r="Q214" s="7">
        <v>18737.47</v>
      </c>
      <c r="R214" s="8">
        <f>IFERROR(Q214/Q444, "NA")</f>
        <v>2.9065241415079553E-2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-18737.47</v>
      </c>
      <c r="X214" s="8">
        <f>IFERROR(W214/W444, "NA")</f>
        <v>0.27505076061657247</v>
      </c>
      <c r="Y214" s="9"/>
      <c r="Z214" s="7">
        <v>3345</v>
      </c>
      <c r="AA214" s="8">
        <f>IFERROR(Z214/Z444, "NA")</f>
        <v>5.4267914317112035E-3</v>
      </c>
      <c r="AB214" s="9"/>
      <c r="AC214" s="10">
        <f t="shared" si="59"/>
        <v>-15392.470000000001</v>
      </c>
      <c r="AD214" s="8">
        <f>IFERROR(AC214/AC444, "NA")</f>
        <v>-0.54423007161187142</v>
      </c>
    </row>
    <row r="215" spans="1:30" ht="16.5" customHeight="1" x14ac:dyDescent="0.45">
      <c r="A215" s="12" t="s">
        <v>195</v>
      </c>
      <c r="B215" s="7">
        <v>170.71</v>
      </c>
      <c r="C215" s="8">
        <f>IFERROR(B215/B444, "NA")</f>
        <v>2.0186692912166071E-3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-170.71</v>
      </c>
      <c r="I215" s="8">
        <f>IFERROR(H215/H444, "NA")</f>
        <v>1.8980220366684817E-2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-170.71</v>
      </c>
      <c r="O215" s="8">
        <f>IFERROR(N215/N444, "NA")</f>
        <v>-9.6478487179342085E-2</v>
      </c>
      <c r="P215" s="9"/>
      <c r="Q215" s="7">
        <v>193.12</v>
      </c>
      <c r="R215" s="8">
        <f>IFERROR(Q215/Q444, "NA")</f>
        <v>2.9956442476386421E-4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-193.12</v>
      </c>
      <c r="X215" s="8">
        <f>IFERROR(W215/W444, "NA")</f>
        <v>2.8348439191775879E-3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-193.12</v>
      </c>
      <c r="AD215" s="8">
        <f>IFERROR(AC215/AC444, "NA")</f>
        <v>-6.8281251436374145E-3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5.73</v>
      </c>
      <c r="R216" s="8">
        <f>IFERROR(Q216/Q444, "NA")</f>
        <v>8.8882775160363626E-6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8.4111721504181753E-5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-5.73</v>
      </c>
      <c r="AD216" s="8">
        <f>IFERROR(AC216/AC444, "NA")</f>
        <v>-2.0259505526637526E-4</v>
      </c>
    </row>
    <row r="217" spans="1:30" ht="16.5" customHeight="1" x14ac:dyDescent="0.45">
      <c r="A217" s="12" t="s">
        <v>197</v>
      </c>
      <c r="B217" s="7">
        <v>1462.22</v>
      </c>
      <c r="C217" s="8">
        <f>IFERROR(B217/B444, "NA")</f>
        <v>1.7290953142772812E-2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-1462.22</v>
      </c>
      <c r="I217" s="8">
        <f>IFERROR(H217/H444, "NA")</f>
        <v>0.16257546613891319</v>
      </c>
      <c r="J217" s="9"/>
      <c r="K217" s="7">
        <v>230.5</v>
      </c>
      <c r="L217" s="8">
        <f>IFERROR(K217/K444, "NA")</f>
        <v>2.7839441906754177E-3</v>
      </c>
      <c r="M217" s="9"/>
      <c r="N217" s="10">
        <f t="shared" si="57"/>
        <v>-1231.72</v>
      </c>
      <c r="O217" s="8">
        <f>IFERROR(N217/N444, "NA")</f>
        <v>-0.69611904533149327</v>
      </c>
      <c r="P217" s="9"/>
      <c r="Q217" s="7">
        <v>18104.490000000002</v>
      </c>
      <c r="R217" s="8">
        <f>IFERROR(Q217/Q444, "NA")</f>
        <v>2.8083373718377862E-2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-18104.490000000002</v>
      </c>
      <c r="X217" s="8">
        <f>IFERROR(W217/W444, "NA")</f>
        <v>0.26575913103930948</v>
      </c>
      <c r="Y217" s="9"/>
      <c r="Z217" s="7">
        <v>1759.47</v>
      </c>
      <c r="AA217" s="8">
        <f>IFERROR(Z217/Z444, "NA")</f>
        <v>2.8544922930800933E-3</v>
      </c>
      <c r="AB217" s="9"/>
      <c r="AC217" s="10">
        <f t="shared" si="59"/>
        <v>-16345.020000000002</v>
      </c>
      <c r="AD217" s="8">
        <f>IFERROR(AC217/AC444, "NA")</f>
        <v>-0.57790928974345712</v>
      </c>
    </row>
    <row r="218" spans="1:30" ht="16.5" customHeight="1" x14ac:dyDescent="0.45">
      <c r="A218" s="13" t="s">
        <v>198</v>
      </c>
      <c r="B218" s="14">
        <f>IFERROR(B213+B214+B215+B216+B217, "NA")</f>
        <v>3412.83</v>
      </c>
      <c r="C218" s="15">
        <f>IFERROR(B218/B444, "NA")</f>
        <v>4.0357185385406669E-2</v>
      </c>
      <c r="D218" s="2"/>
      <c r="E218" s="14">
        <f>IFERROR(E213+E214+E215+E216+E217, "NA")</f>
        <v>3691.16</v>
      </c>
      <c r="F218" s="15">
        <f>IFERROR(E218/E444, "NA")</f>
        <v>3.9452452343001057E-2</v>
      </c>
      <c r="G218" s="2"/>
      <c r="H218" s="14">
        <f t="shared" si="56"/>
        <v>278.32999999999993</v>
      </c>
      <c r="I218" s="15">
        <f>IFERROR(H218/H444, "NA")</f>
        <v>-3.0945842274379843E-2</v>
      </c>
      <c r="J218" s="2"/>
      <c r="K218" s="14">
        <f>IFERROR(K213+K214+K215+K216+K217, "NA")</f>
        <v>800.5</v>
      </c>
      <c r="L218" s="15">
        <f>IFERROR(K218/K444, "NA")</f>
        <v>9.6683181112176657E-3</v>
      </c>
      <c r="M218" s="2"/>
      <c r="N218" s="14">
        <f t="shared" si="57"/>
        <v>-2612.33</v>
      </c>
      <c r="O218" s="15">
        <f>IFERROR(N218/N444, "NA")</f>
        <v>-1.4763847836284381</v>
      </c>
      <c r="P218" s="2"/>
      <c r="Q218" s="14">
        <f>IFERROR(Q213+Q214+Q215+Q216+Q217, "NA")</f>
        <v>37040.81</v>
      </c>
      <c r="R218" s="15">
        <f>IFERROR(Q218/Q444, "NA")</f>
        <v>5.7457067835737306E-2</v>
      </c>
      <c r="S218" s="2"/>
      <c r="T218" s="14">
        <f>IFERROR(T213+T214+T215+T216+T217, "NA")</f>
        <v>27479.31</v>
      </c>
      <c r="U218" s="15">
        <f>IFERROR(T218/T444, "NA")</f>
        <v>3.8551598050160479E-2</v>
      </c>
      <c r="V218" s="2"/>
      <c r="W218" s="14">
        <f t="shared" si="58"/>
        <v>-9561.4999999999964</v>
      </c>
      <c r="X218" s="15">
        <f>IFERROR(W218/W444, "NA")</f>
        <v>0.14035501311731821</v>
      </c>
      <c r="Y218" s="2"/>
      <c r="Z218" s="14">
        <f>IFERROR(Z213+Z214+Z215+Z216+Z217, "NA")</f>
        <v>5104.47</v>
      </c>
      <c r="AA218" s="15">
        <f>IFERROR(Z218/Z444, "NA")</f>
        <v>8.2812837247912968E-3</v>
      </c>
      <c r="AB218" s="2"/>
      <c r="AC218" s="14">
        <f t="shared" si="59"/>
        <v>-31936.339999999997</v>
      </c>
      <c r="AD218" s="15">
        <f>IFERROR(AC218/AC444, "NA")</f>
        <v>-1.129170081554232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147.51</v>
      </c>
      <c r="C222" s="8">
        <f>IFERROR(B222/B444, "NA")</f>
        <v>1.7443260918948021E-3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-147.51</v>
      </c>
      <c r="I222" s="8">
        <f>IFERROR(H222/H444, "NA")</f>
        <v>1.6400751603829165E-2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-147.51</v>
      </c>
      <c r="O222" s="8">
        <f>IFERROR(N222/N444, "NA")</f>
        <v>-8.3366771974838896E-2</v>
      </c>
      <c r="P222" s="9"/>
      <c r="Q222" s="7">
        <v>1255.93</v>
      </c>
      <c r="R222" s="8">
        <f>IFERROR(Q222/Q444, "NA")</f>
        <v>1.9481770297932893E-3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-1255.93</v>
      </c>
      <c r="X222" s="8">
        <f>IFERROR(W222/W444, "NA")</f>
        <v>1.84360269439349E-2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-1255.93</v>
      </c>
      <c r="AD222" s="8">
        <f>IFERROR(AC222/AC444, "NA")</f>
        <v>-4.4405795420715301E-2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93.56</v>
      </c>
      <c r="F226" s="8">
        <f>IFERROR(E226/E444, "NA")</f>
        <v>1.0000030996248279E-3</v>
      </c>
      <c r="G226" s="9"/>
      <c r="H226" s="10">
        <f t="shared" si="56"/>
        <v>93.56</v>
      </c>
      <c r="I226" s="8">
        <f>IFERROR(H226/H444, "NA")</f>
        <v>-1.0402374890205795E-2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712.79</v>
      </c>
      <c r="U226" s="8">
        <f>IFERROR(T226/T444, "NA")</f>
        <v>9.9999576314594102E-4</v>
      </c>
      <c r="V226" s="9"/>
      <c r="W226" s="10">
        <f t="shared" si="58"/>
        <v>712.79</v>
      </c>
      <c r="X226" s="8">
        <f>IFERROR(W226/W444, "NA")</f>
        <v>-1.046317521308302E-2</v>
      </c>
      <c r="Y226" s="9"/>
      <c r="Z226" s="7">
        <v>1334.74</v>
      </c>
      <c r="AA226" s="8">
        <f>IFERROR(Z226/Z444, "NA")</f>
        <v>2.1654276817824254E-3</v>
      </c>
      <c r="AB226" s="9"/>
      <c r="AC226" s="10">
        <f t="shared" si="59"/>
        <v>1334.74</v>
      </c>
      <c r="AD226" s="8">
        <f>IFERROR(AC226/AC444, "NA")</f>
        <v>4.7192272960949681E-2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3560.34</v>
      </c>
      <c r="C227" s="15">
        <f>IFERROR(B227/B444, "NA")</f>
        <v>4.210151147730147E-2</v>
      </c>
      <c r="D227" s="2"/>
      <c r="E227" s="14">
        <f>IFERROR(E211+E213+E214+E215+E216+E217+E219+E220+E221+E222+E223+E224+E225+E226, "NA")</f>
        <v>3784.72</v>
      </c>
      <c r="F227" s="15">
        <f>IFERROR(E227/E444, "NA")</f>
        <v>4.0452455442625886E-2</v>
      </c>
      <c r="G227" s="2"/>
      <c r="H227" s="14">
        <f t="shared" si="56"/>
        <v>224.37999999999965</v>
      </c>
      <c r="I227" s="15">
        <f>IFERROR(H227/H444, "NA")</f>
        <v>-2.494746556075644E-2</v>
      </c>
      <c r="J227" s="2"/>
      <c r="K227" s="14">
        <f>IFERROR(K211+K213+K214+K215+K216+K217+K219+K220+K221+K222+K223+K224+K225+K226, "NA")</f>
        <v>800.5</v>
      </c>
      <c r="L227" s="15">
        <f>IFERROR(K227/K444, "NA")</f>
        <v>9.6683181112176657E-3</v>
      </c>
      <c r="M227" s="2"/>
      <c r="N227" s="14">
        <f t="shared" si="57"/>
        <v>-2759.84</v>
      </c>
      <c r="O227" s="15">
        <f>IFERROR(N227/N444, "NA")</f>
        <v>-1.5597515556032773</v>
      </c>
      <c r="P227" s="2"/>
      <c r="Q227" s="14">
        <f>IFERROR(Q211+Q213+Q214+Q215+Q216+Q217+Q219+Q220+Q221+Q222+Q223+Q224+Q225+Q226, "NA")</f>
        <v>38296.74</v>
      </c>
      <c r="R227" s="15">
        <f>IFERROR(Q227/Q444, "NA")</f>
        <v>5.9405244865530601E-2</v>
      </c>
      <c r="S227" s="2"/>
      <c r="T227" s="14">
        <f>IFERROR(T211+T213+T214+T215+T216+T217+T219+T220+T221+T222+T223+T224+T225+T226, "NA")</f>
        <v>28192.100000000002</v>
      </c>
      <c r="U227" s="15">
        <f>IFERROR(T227/T444, "NA")</f>
        <v>3.9551593813306425E-2</v>
      </c>
      <c r="V227" s="2"/>
      <c r="W227" s="14">
        <f t="shared" si="58"/>
        <v>-10104.639999999996</v>
      </c>
      <c r="X227" s="15">
        <f>IFERROR(W227/W444, "NA")</f>
        <v>0.14832786484817009</v>
      </c>
      <c r="Y227" s="2"/>
      <c r="Z227" s="14">
        <f>IFERROR(Z211+Z213+Z214+Z215+Z216+Z217+Z219+Z220+Z221+Z222+Z223+Z224+Z225+Z226, "NA")</f>
        <v>6439.21</v>
      </c>
      <c r="AA227" s="15">
        <f>IFERROR(Z227/Z444, "NA")</f>
        <v>1.0446711406573722E-2</v>
      </c>
      <c r="AB227" s="2"/>
      <c r="AC227" s="14">
        <f t="shared" si="59"/>
        <v>-31857.53</v>
      </c>
      <c r="AD227" s="15">
        <f>IFERROR(AC227/AC444, "NA")</f>
        <v>-1.1263836040139976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1234.99</v>
      </c>
      <c r="F229" s="8">
        <f>IFERROR(E229/E444, "NA")</f>
        <v>1.3200019538324776E-2</v>
      </c>
      <c r="G229" s="9"/>
      <c r="H229" s="10">
        <f t="shared" ref="H229:H236" si="60">IFERROR(-(B229-E229), "NA")</f>
        <v>1234.99</v>
      </c>
      <c r="I229" s="8">
        <f>IFERROR(H229/H444, "NA")</f>
        <v>-0.13731112618271971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9408.8799999999992</v>
      </c>
      <c r="U229" s="8">
        <f>IFERROR(T229/T444, "NA")</f>
        <v>1.3200017025980415E-2</v>
      </c>
      <c r="V229" s="9"/>
      <c r="W229" s="10">
        <f t="shared" ref="W229:W236" si="62">IFERROR(-(Q229-T229), "NA")</f>
        <v>9408.8799999999992</v>
      </c>
      <c r="X229" s="8">
        <f>IFERROR(W229/W444, "NA")</f>
        <v>-0.13811467613023828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-7.3006162758446693E-5</v>
      </c>
      <c r="AB230" s="9"/>
      <c r="AC230" s="10">
        <f t="shared" si="63"/>
        <v>-45</v>
      </c>
      <c r="AD230" s="8">
        <f>IFERROR(AC230/AC444, "NA")</f>
        <v>-1.5910606434532087E-3</v>
      </c>
    </row>
    <row r="231" spans="1:30" ht="16.5" customHeight="1" x14ac:dyDescent="0.45">
      <c r="A231" s="6" t="s">
        <v>210</v>
      </c>
      <c r="B231" s="7">
        <v>238</v>
      </c>
      <c r="C231" s="8">
        <f>IFERROR(B231/B444, "NA")</f>
        <v>2.8143828206288585E-3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-238</v>
      </c>
      <c r="I231" s="8">
        <f>IFERROR(H231/H444, "NA")</f>
        <v>2.6461791618950185E-2</v>
      </c>
      <c r="J231" s="9"/>
      <c r="K231" s="7">
        <v>476.54</v>
      </c>
      <c r="L231" s="8">
        <f>IFERROR(K231/K444, "NA")</f>
        <v>5.7555781545529875E-3</v>
      </c>
      <c r="M231" s="9"/>
      <c r="N231" s="10">
        <f t="shared" si="61"/>
        <v>238.54000000000002</v>
      </c>
      <c r="O231" s="8">
        <f>IFERROR(N231/N444, "NA")</f>
        <v>0.13481329934837011</v>
      </c>
      <c r="P231" s="9"/>
      <c r="Q231" s="7">
        <v>1662.13</v>
      </c>
      <c r="R231" s="8">
        <f>IFERROR(Q231/Q444, "NA")</f>
        <v>2.5782674882599507E-3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-1662.13</v>
      </c>
      <c r="X231" s="8">
        <f>IFERROR(W231/W444, "NA")</f>
        <v>2.4398711285121399E-2</v>
      </c>
      <c r="Y231" s="9"/>
      <c r="Z231" s="7">
        <v>2431.23</v>
      </c>
      <c r="AA231" s="8">
        <f>IFERROR(Z231/Z444, "NA")</f>
        <v>3.9443282907381857E-3</v>
      </c>
      <c r="AB231" s="9"/>
      <c r="AC231" s="10">
        <f t="shared" si="63"/>
        <v>769.09999999999991</v>
      </c>
      <c r="AD231" s="8">
        <f>IFERROR(AC231/AC444, "NA")</f>
        <v>2.7192994241774727E-2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677.24</v>
      </c>
      <c r="C234" s="8">
        <f>IFERROR(B234/B444, "NA")</f>
        <v>8.0084563926163359E-3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-677.24</v>
      </c>
      <c r="I234" s="8">
        <f>IFERROR(H234/H444, "NA")</f>
        <v>7.5298251075705133E-2</v>
      </c>
      <c r="J234" s="9"/>
      <c r="K234" s="7">
        <v>1022.85</v>
      </c>
      <c r="L234" s="8">
        <f>IFERROR(K234/K444, "NA")</f>
        <v>1.2353827832678311E-2</v>
      </c>
      <c r="M234" s="9"/>
      <c r="N234" s="10">
        <f t="shared" si="61"/>
        <v>345.61</v>
      </c>
      <c r="O234" s="8">
        <f>IFERROR(N234/N444, "NA")</f>
        <v>0.19532499533742848</v>
      </c>
      <c r="P234" s="9"/>
      <c r="Q234" s="7">
        <v>7002.53</v>
      </c>
      <c r="R234" s="8">
        <f>IFERROR(Q234/Q444, "NA")</f>
        <v>1.0862204180518342E-2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-7002.53</v>
      </c>
      <c r="X234" s="8">
        <f>IFERROR(W234/W444, "NA")</f>
        <v>0.10279142289435912</v>
      </c>
      <c r="Y234" s="9"/>
      <c r="Z234" s="7">
        <v>9899.83</v>
      </c>
      <c r="AA234" s="8">
        <f>IFERROR(Z234/Z444, "NA")</f>
        <v>1.606108000579896E-2</v>
      </c>
      <c r="AB234" s="9"/>
      <c r="AC234" s="10">
        <f t="shared" si="63"/>
        <v>2897.3</v>
      </c>
      <c r="AD234" s="8">
        <f>IFERROR(AC234/AC444, "NA")</f>
        <v>0.10243955560615516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915.24</v>
      </c>
      <c r="C236" s="15">
        <f>IFERROR(B236/B444, "NA")</f>
        <v>1.0822839213245195E-2</v>
      </c>
      <c r="D236" s="2"/>
      <c r="E236" s="14">
        <f>IFERROR(E229+E230+E231+E232+E233+E234+E235, "NA")</f>
        <v>1234.99</v>
      </c>
      <c r="F236" s="15">
        <f>IFERROR(E236/E444, "NA")</f>
        <v>1.3200019538324776E-2</v>
      </c>
      <c r="G236" s="2"/>
      <c r="H236" s="14">
        <f t="shared" si="60"/>
        <v>319.75</v>
      </c>
      <c r="I236" s="15">
        <f>IFERROR(H236/H444, "NA")</f>
        <v>-3.5551083488064378E-2</v>
      </c>
      <c r="J236" s="2"/>
      <c r="K236" s="14">
        <f>IFERROR(K229+K230+K231+K232+K233+K234+K235, "NA")</f>
        <v>1499.39</v>
      </c>
      <c r="L236" s="15">
        <f>IFERROR(K236/K444, "NA")</f>
        <v>1.8109405987231299E-2</v>
      </c>
      <c r="M236" s="2"/>
      <c r="N236" s="14">
        <f t="shared" si="61"/>
        <v>584.15000000000009</v>
      </c>
      <c r="O236" s="15">
        <f>IFERROR(N236/N444, "NA")</f>
        <v>0.33013829468579864</v>
      </c>
      <c r="P236" s="2"/>
      <c r="Q236" s="14">
        <f>IFERROR(Q229+Q230+Q231+Q232+Q233+Q234+Q235, "NA")</f>
        <v>8664.66</v>
      </c>
      <c r="R236" s="15">
        <f>IFERROR(Q236/Q444, "NA")</f>
        <v>1.3440471668778292E-2</v>
      </c>
      <c r="S236" s="2"/>
      <c r="T236" s="14">
        <f>IFERROR(T229+T230+T231+T232+T233+T234+T235, "NA")</f>
        <v>9408.8799999999992</v>
      </c>
      <c r="U236" s="15">
        <f>IFERROR(T236/T444, "NA")</f>
        <v>1.3200017025980415E-2</v>
      </c>
      <c r="V236" s="2"/>
      <c r="W236" s="14">
        <f t="shared" si="62"/>
        <v>744.21999999999935</v>
      </c>
      <c r="X236" s="15">
        <f>IFERROR(W236/W444, "NA")</f>
        <v>-1.0924541950757781E-2</v>
      </c>
      <c r="Y236" s="2"/>
      <c r="Z236" s="14">
        <f>IFERROR(Z229+Z230+Z231+Z232+Z233+Z234+Z235, "NA")</f>
        <v>12286.06</v>
      </c>
      <c r="AA236" s="15">
        <f>IFERROR(Z236/Z444, "NA")</f>
        <v>1.9932402133778698E-2</v>
      </c>
      <c r="AB236" s="2"/>
      <c r="AC236" s="14">
        <f t="shared" si="63"/>
        <v>3621.3999999999996</v>
      </c>
      <c r="AD236" s="15">
        <f>IFERROR(AC236/AC444, "NA")</f>
        <v>0.12804148920447667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5713.13</v>
      </c>
      <c r="F240" s="8">
        <f>IFERROR(E240/E444, "NA")</f>
        <v>6.1063998595121766E-2</v>
      </c>
      <c r="G240" s="9"/>
      <c r="H240" s="10">
        <f t="shared" ref="H240:H263" si="64">IFERROR(-(B240-E240), "NA")</f>
        <v>5713.13</v>
      </c>
      <c r="I240" s="8">
        <f>IFERROR(H240/H444, "NA")</f>
        <v>-0.63520863677299522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43850.98</v>
      </c>
      <c r="U240" s="8">
        <f>IFERROR(T240/T444, "NA")</f>
        <v>6.1519934636845915E-2</v>
      </c>
      <c r="V240" s="9"/>
      <c r="W240" s="10">
        <f t="shared" ref="W240:W263" si="66">IFERROR(-(Q240-T240), "NA")</f>
        <v>43850.98</v>
      </c>
      <c r="X240" s="8">
        <f>IFERROR(W240/W444, "NA")</f>
        <v>-0.64369658245121186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1499.86</v>
      </c>
      <c r="C242" s="8">
        <f>IFERROR(B242/B444, "NA")</f>
        <v>1.7736051333396636E-2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-1499.86</v>
      </c>
      <c r="I242" s="8">
        <f>IFERROR(H242/H444, "NA")</f>
        <v>0.16676043183864966</v>
      </c>
      <c r="J242" s="9"/>
      <c r="K242" s="7">
        <v>1028.4100000000001</v>
      </c>
      <c r="L242" s="8">
        <f>IFERROR(K242/K444, "NA")</f>
        <v>1.2420980673026058E-2</v>
      </c>
      <c r="M242" s="9"/>
      <c r="N242" s="10">
        <f t="shared" si="65"/>
        <v>-471.44999999999982</v>
      </c>
      <c r="O242" s="8">
        <f>IFERROR(N242/N444, "NA")</f>
        <v>-0.26644474711909555</v>
      </c>
      <c r="P242" s="9"/>
      <c r="Q242" s="7">
        <v>10132.17</v>
      </c>
      <c r="R242" s="8">
        <f>IFERROR(Q242/Q444, "NA")</f>
        <v>1.5716847958055523E-2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-10132.17</v>
      </c>
      <c r="X242" s="8">
        <f>IFERROR(W242/W444, "NA")</f>
        <v>0.14873198277016145</v>
      </c>
      <c r="Y242" s="9"/>
      <c r="Z242" s="7">
        <v>7531.68</v>
      </c>
      <c r="AA242" s="8">
        <f>IFERROR(Z242/Z444, "NA")</f>
        <v>1.2219090131656396E-2</v>
      </c>
      <c r="AB242" s="9"/>
      <c r="AC242" s="10">
        <f t="shared" si="67"/>
        <v>-2600.4899999999998</v>
      </c>
      <c r="AD242" s="8">
        <f>IFERROR(AC242/AC444, "NA")</f>
        <v>-9.1945273170969649E-2</v>
      </c>
    </row>
    <row r="243" spans="1:30" ht="16.5" customHeight="1" x14ac:dyDescent="0.45">
      <c r="A243" s="12" t="s">
        <v>220</v>
      </c>
      <c r="B243" s="7">
        <v>938.83</v>
      </c>
      <c r="C243" s="8">
        <f>IFERROR(B243/B444, "NA")</f>
        <v>1.1101794216348703E-2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-938.83</v>
      </c>
      <c r="I243" s="8">
        <f>IFERROR(H243/H444, "NA")</f>
        <v>0.10438287321688657</v>
      </c>
      <c r="J243" s="9"/>
      <c r="K243" s="7">
        <v>1688.93</v>
      </c>
      <c r="L243" s="8">
        <f>IFERROR(K243/K444, "NA")</f>
        <v>2.0398641483546347E-2</v>
      </c>
      <c r="M243" s="9"/>
      <c r="N243" s="10">
        <f t="shared" si="65"/>
        <v>750.1</v>
      </c>
      <c r="O243" s="8">
        <f>IFERROR(N243/N444, "NA")</f>
        <v>0.42392661960766503</v>
      </c>
      <c r="P243" s="9"/>
      <c r="Q243" s="7">
        <v>8568.4</v>
      </c>
      <c r="R243" s="8">
        <f>IFERROR(Q243/Q444, "NA")</f>
        <v>1.3291154811240132E-2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-8568.4</v>
      </c>
      <c r="X243" s="8">
        <f>IFERROR(W243/W444, "NA")</f>
        <v>0.12577711597494429</v>
      </c>
      <c r="Y243" s="9"/>
      <c r="Z243" s="7">
        <v>15421.08</v>
      </c>
      <c r="AA243" s="8">
        <f>IFERROR(Z243/Z444, "NA")</f>
        <v>2.5018530586467268E-2</v>
      </c>
      <c r="AB243" s="9"/>
      <c r="AC243" s="10">
        <f t="shared" si="67"/>
        <v>6852.68</v>
      </c>
      <c r="AD243" s="8">
        <f>IFERROR(AC243/AC444, "NA")</f>
        <v>0.24228954333730965</v>
      </c>
    </row>
    <row r="244" spans="1:30" ht="16.5" customHeight="1" x14ac:dyDescent="0.45">
      <c r="A244" s="12" t="s">
        <v>221</v>
      </c>
      <c r="B244" s="7">
        <v>831.84</v>
      </c>
      <c r="C244" s="8">
        <f>IFERROR(B244/B444, "NA")</f>
        <v>9.8366227122349149E-3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-831.84</v>
      </c>
      <c r="I244" s="8">
        <f>IFERROR(H244/H444, "NA")</f>
        <v>9.2487297228182858E-2</v>
      </c>
      <c r="J244" s="9"/>
      <c r="K244" s="7">
        <v>84.24</v>
      </c>
      <c r="L244" s="8">
        <f>IFERROR(K244/K444, "NA")</f>
        <v>1.0174379983622437E-3</v>
      </c>
      <c r="M244" s="9"/>
      <c r="N244" s="10">
        <f t="shared" si="65"/>
        <v>-747.6</v>
      </c>
      <c r="O244" s="8">
        <f>IFERROR(N244/N444, "NA")</f>
        <v>-0.42251371926235215</v>
      </c>
      <c r="P244" s="9"/>
      <c r="Q244" s="7">
        <v>3951.9</v>
      </c>
      <c r="R244" s="8">
        <f>IFERROR(Q244/Q444, "NA")</f>
        <v>6.1301193570024604E-3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-3951.9</v>
      </c>
      <c r="X244" s="8">
        <f>IFERROR(W244/W444, "NA")</f>
        <v>5.8010665307569952E-2</v>
      </c>
      <c r="Y244" s="9"/>
      <c r="Z244" s="7">
        <v>405.63</v>
      </c>
      <c r="AA244" s="8">
        <f>IFERROR(Z244/Z444, "NA")</f>
        <v>6.5807755110463845E-4</v>
      </c>
      <c r="AB244" s="9"/>
      <c r="AC244" s="10">
        <f t="shared" si="67"/>
        <v>-3546.27</v>
      </c>
      <c r="AD244" s="8">
        <f>IFERROR(AC244/AC444, "NA")</f>
        <v>-0.12538512506797356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255.94</v>
      </c>
      <c r="C246" s="8">
        <f>IFERROR(B246/B444, "NA")</f>
        <v>3.0265257945871851E-3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-255.94</v>
      </c>
      <c r="I246" s="8">
        <f>IFERROR(H246/H444, "NA")</f>
        <v>2.8456432550227354E-2</v>
      </c>
      <c r="J246" s="9"/>
      <c r="K246" s="7">
        <v>86.42</v>
      </c>
      <c r="L246" s="8">
        <f>IFERROR(K246/K444, "NA")</f>
        <v>1.0437677091460721E-3</v>
      </c>
      <c r="M246" s="9"/>
      <c r="N246" s="10">
        <f t="shared" si="65"/>
        <v>-169.51999999999998</v>
      </c>
      <c r="O246" s="8">
        <f>IFERROR(N246/N444, "NA")</f>
        <v>-9.5805946614973159E-2</v>
      </c>
      <c r="P246" s="9"/>
      <c r="Q246" s="7">
        <v>2892.19</v>
      </c>
      <c r="R246" s="8">
        <f>IFERROR(Q246/Q444, "NA")</f>
        <v>4.4863154186920075E-3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-2892.19</v>
      </c>
      <c r="X246" s="8">
        <f>IFERROR(W246/W444, "NA")</f>
        <v>4.2454987751689252E-2</v>
      </c>
      <c r="Y246" s="9"/>
      <c r="Z246" s="7">
        <v>86.42</v>
      </c>
      <c r="AA246" s="8">
        <f>IFERROR(Z246/Z444, "NA")</f>
        <v>1.4020427967966585E-4</v>
      </c>
      <c r="AB246" s="9"/>
      <c r="AC246" s="10">
        <f t="shared" si="67"/>
        <v>-2805.77</v>
      </c>
      <c r="AD246" s="8">
        <f>IFERROR(AC246/AC444, "NA")</f>
        <v>-9.9203338257371321E-2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1.75</v>
      </c>
      <c r="L247" s="8">
        <f>IFERROR(K247/K444, "NA")</f>
        <v>2.1136235720963038E-5</v>
      </c>
      <c r="M247" s="9"/>
      <c r="N247" s="10">
        <f t="shared" si="65"/>
        <v>1.75</v>
      </c>
      <c r="O247" s="8">
        <f>IFERROR(N247/N444, "NA")</f>
        <v>9.8903024171898913E-4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141.09</v>
      </c>
      <c r="AA247" s="8">
        <f>IFERROR(Z247/Z444, "NA")</f>
        <v>2.2889865563531652E-4</v>
      </c>
      <c r="AB247" s="9"/>
      <c r="AC247" s="10">
        <f t="shared" si="67"/>
        <v>141.09</v>
      </c>
      <c r="AD247" s="8">
        <f>IFERROR(AC247/AC444, "NA")</f>
        <v>4.9885054707736274E-3</v>
      </c>
    </row>
    <row r="248" spans="1:30" ht="16.5" customHeight="1" x14ac:dyDescent="0.45">
      <c r="A248" s="12" t="s">
        <v>225</v>
      </c>
      <c r="B248" s="7">
        <v>261.33999999999997</v>
      </c>
      <c r="C248" s="8">
        <f>IFERROR(B248/B444, "NA")</f>
        <v>3.0903815392569153E-3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-261.33999999999997</v>
      </c>
      <c r="I248" s="8">
        <f>IFERROR(H248/H444, "NA")</f>
        <v>2.9056826141581681E-2</v>
      </c>
      <c r="J248" s="9"/>
      <c r="K248" s="7">
        <v>270.29000000000002</v>
      </c>
      <c r="L248" s="8">
        <f>IFERROR(K248/K444, "NA")</f>
        <v>3.2645218017252004E-3</v>
      </c>
      <c r="M248" s="9"/>
      <c r="N248" s="10">
        <f t="shared" si="65"/>
        <v>8.9500000000000455</v>
      </c>
      <c r="O248" s="8">
        <f>IFERROR(N248/N444, "NA")</f>
        <v>5.0581832362199984E-3</v>
      </c>
      <c r="P248" s="9"/>
      <c r="Q248" s="7">
        <v>1857.95</v>
      </c>
      <c r="R248" s="8">
        <f>IFERROR(Q248/Q444, "NA")</f>
        <v>2.8820201066177588E-3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-1857.95</v>
      </c>
      <c r="X248" s="8">
        <f>IFERROR(W248/W444, "NA")</f>
        <v>2.7273188999772158E-2</v>
      </c>
      <c r="Y248" s="9"/>
      <c r="Z248" s="7">
        <v>1721.38</v>
      </c>
      <c r="AA248" s="8">
        <f>IFERROR(Z248/Z444, "NA")</f>
        <v>2.7926966322029995E-3</v>
      </c>
      <c r="AB248" s="9"/>
      <c r="AC248" s="10">
        <f t="shared" si="67"/>
        <v>-136.56999999999994</v>
      </c>
      <c r="AD248" s="8">
        <f>IFERROR(AC248/AC444, "NA")</f>
        <v>-4.8286922683645466E-3</v>
      </c>
    </row>
    <row r="249" spans="1:30" ht="16.5" customHeight="1" x14ac:dyDescent="0.45">
      <c r="A249" s="12" t="s">
        <v>226</v>
      </c>
      <c r="B249" s="7">
        <v>1363.35</v>
      </c>
      <c r="C249" s="8">
        <f>IFERROR(B249/B444, "NA")</f>
        <v>1.6121801758421653E-2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-1363.35</v>
      </c>
      <c r="I249" s="8">
        <f>IFERROR(H249/H444, "NA")</f>
        <v>0.15158270421720896</v>
      </c>
      <c r="J249" s="9"/>
      <c r="K249" s="7">
        <v>1263.4000000000001</v>
      </c>
      <c r="L249" s="8">
        <f>IFERROR(K249/K444, "NA")</f>
        <v>1.5259154405636976E-2</v>
      </c>
      <c r="M249" s="9"/>
      <c r="N249" s="10">
        <f t="shared" si="65"/>
        <v>-99.949999999999818</v>
      </c>
      <c r="O249" s="8">
        <f>IFERROR(N249/N444, "NA")</f>
        <v>-5.6487755805607304E-2</v>
      </c>
      <c r="P249" s="9"/>
      <c r="Q249" s="7">
        <v>12780.63</v>
      </c>
      <c r="R249" s="8">
        <f>IFERROR(Q249/Q444, "NA")</f>
        <v>1.9825093589839405E-2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-12780.63</v>
      </c>
      <c r="X249" s="8">
        <f>IFERROR(W249/W444, "NA")</f>
        <v>0.18760921312530371</v>
      </c>
      <c r="Y249" s="9"/>
      <c r="Z249" s="7">
        <v>9698.9699999999993</v>
      </c>
      <c r="AA249" s="8">
        <f>IFERROR(Z249/Z444, "NA")</f>
        <v>1.5735212942428703E-2</v>
      </c>
      <c r="AB249" s="9"/>
      <c r="AC249" s="10">
        <f t="shared" si="67"/>
        <v>-3081.66</v>
      </c>
      <c r="AD249" s="8">
        <f>IFERROR(AC249/AC444, "NA")</f>
        <v>-0.108957954277867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9.7341550344595574E-7</v>
      </c>
      <c r="AB250" s="9"/>
      <c r="AC250" s="10">
        <f t="shared" si="67"/>
        <v>0.6</v>
      </c>
      <c r="AD250" s="8">
        <f>IFERROR(AC250/AC444, "NA")</f>
        <v>2.1214141912709449E-5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348.47</v>
      </c>
      <c r="R251" s="8">
        <f>IFERROR(Q251/Q444, "NA")</f>
        <v>5.4054067469689194E-4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-348.47</v>
      </c>
      <c r="X251" s="8">
        <f>IFERROR(W251/W444, "NA")</f>
        <v>5.1152550772359884E-3</v>
      </c>
      <c r="Y251" s="9"/>
      <c r="Z251" s="7">
        <v>359.11</v>
      </c>
      <c r="AA251" s="8">
        <f>IFERROR(Z251/Z444, "NA")</f>
        <v>5.8260540240412872E-4</v>
      </c>
      <c r="AB251" s="9"/>
      <c r="AC251" s="10">
        <f t="shared" si="67"/>
        <v>10.639999999999986</v>
      </c>
      <c r="AD251" s="8">
        <f>IFERROR(AC251/AC444, "NA")</f>
        <v>3.7619744991871377E-4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9.8800000000000008</v>
      </c>
      <c r="L255" s="8">
        <f>IFERROR(K255/K444, "NA")</f>
        <v>1.1932914795606563E-4</v>
      </c>
      <c r="M255" s="9"/>
      <c r="N255" s="10">
        <f t="shared" si="65"/>
        <v>9.8800000000000008</v>
      </c>
      <c r="O255" s="8">
        <f>IFERROR(N255/N444, "NA")</f>
        <v>5.5837821646763505E-3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224.54</v>
      </c>
      <c r="AA255" s="8">
        <f>IFERROR(Z255/Z444, "NA")</f>
        <v>3.6428452857292489E-4</v>
      </c>
      <c r="AB255" s="9"/>
      <c r="AC255" s="10">
        <f t="shared" si="67"/>
        <v>224.54</v>
      </c>
      <c r="AD255" s="8">
        <f>IFERROR(AC255/AC444, "NA")</f>
        <v>7.9390390417996334E-3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6.0919586923992735E-5</v>
      </c>
      <c r="AB256" s="9"/>
      <c r="AC256" s="10">
        <f t="shared" si="67"/>
        <v>37.549999999999997</v>
      </c>
      <c r="AD256" s="8">
        <f>IFERROR(AC256/AC444, "NA")</f>
        <v>1.3276517147037328E-3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719.76</v>
      </c>
      <c r="C258" s="8">
        <f>IFERROR(B258/B444, "NA")</f>
        <v>8.5112612562009537E-3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-719.76</v>
      </c>
      <c r="I258" s="8">
        <f>IFERROR(H258/H444, "NA")</f>
        <v>8.0025794687628507E-2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-719.76</v>
      </c>
      <c r="O258" s="8">
        <f>IFERROR(N258/N444, "NA")</f>
        <v>-0.40677966101694835</v>
      </c>
      <c r="P258" s="9"/>
      <c r="Q258" s="7">
        <v>2169.4299999999998</v>
      </c>
      <c r="R258" s="8">
        <f>IFERROR(Q258/Q444, "NA")</f>
        <v>3.3651825290776198E-3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-2169.4299999999998</v>
      </c>
      <c r="X258" s="8">
        <f>IFERROR(W258/W444, "NA")</f>
        <v>3.1845461079025653E-2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-2169.4299999999998</v>
      </c>
      <c r="AD258" s="8">
        <f>IFERROR(AC258/AC444, "NA")</f>
        <v>-7.670432648281543E-2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5870.92</v>
      </c>
      <c r="C262" s="15">
        <f>IFERROR(B262/B444, "NA")</f>
        <v>6.9424438610446962E-2</v>
      </c>
      <c r="D262" s="2"/>
      <c r="E262" s="14">
        <f>IFERROR(E240+E241+E242+E243+E244+E245+E246+E247+E248+E249+E250+E251+E252+E253+E254+E255+E256+E257+E258+E259+E260+E261, "NA")</f>
        <v>5713.13</v>
      </c>
      <c r="F262" s="15">
        <f>IFERROR(E262/E444, "NA")</f>
        <v>6.1063998595121766E-2</v>
      </c>
      <c r="G262" s="2"/>
      <c r="H262" s="14">
        <f t="shared" si="64"/>
        <v>-157.78999999999996</v>
      </c>
      <c r="I262" s="15">
        <f>IFERROR(H262/H444, "NA")</f>
        <v>1.754372310737037E-2</v>
      </c>
      <c r="J262" s="2"/>
      <c r="K262" s="14">
        <f>IFERROR(K240+K241+K242+K243+K244+K245+K246+K247+K248+K249+K250+K251+K252+K253+K254+K255+K256+K257+K258+K259+K260+K261, "NA")</f>
        <v>4433.3200000000006</v>
      </c>
      <c r="L262" s="15">
        <f>IFERROR(K262/K444, "NA")</f>
        <v>5.3544969455119933E-2</v>
      </c>
      <c r="M262" s="2"/>
      <c r="N262" s="14">
        <f t="shared" si="65"/>
        <v>-1437.5999999999995</v>
      </c>
      <c r="O262" s="15">
        <f>IFERROR(N262/N444, "NA")</f>
        <v>-0.81247421456869617</v>
      </c>
      <c r="P262" s="2"/>
      <c r="Q262" s="14">
        <f>IFERROR(Q240+Q241+Q242+Q243+Q244+Q245+Q246+Q247+Q248+Q249+Q250+Q251+Q252+Q253+Q254+Q255+Q256+Q257+Q258+Q259+Q260+Q261, "NA")</f>
        <v>42701.14</v>
      </c>
      <c r="R262" s="15">
        <f>IFERROR(Q262/Q444, "NA")</f>
        <v>6.6237274445221803E-2</v>
      </c>
      <c r="S262" s="2"/>
      <c r="T262" s="14">
        <f>IFERROR(T240+T241+T242+T243+T244+T245+T246+T247+T248+T249+T250+T251+T252+T253+T254+T255+T256+T257+T258+T259+T260+T261, "NA")</f>
        <v>43850.98</v>
      </c>
      <c r="U262" s="15">
        <f>IFERROR(T262/T444, "NA")</f>
        <v>6.1519934636845915E-2</v>
      </c>
      <c r="V262" s="2"/>
      <c r="W262" s="14">
        <f t="shared" si="66"/>
        <v>1149.8400000000038</v>
      </c>
      <c r="X262" s="15">
        <f>IFERROR(W262/W444, "NA")</f>
        <v>-1.6878712365509363E-2</v>
      </c>
      <c r="Y262" s="2"/>
      <c r="Z262" s="14">
        <f>IFERROR(Z240+Z241+Z242+Z243+Z244+Z245+Z246+Z247+Z248+Z249+Z250+Z251+Z252+Z253+Z254+Z255+Z256+Z257+Z258+Z259+Z260+Z261, "NA")</f>
        <v>35628.050000000003</v>
      </c>
      <c r="AA262" s="15">
        <f>IFERROR(Z262/Z444, "NA")</f>
        <v>5.7801493712579484E-2</v>
      </c>
      <c r="AB262" s="2"/>
      <c r="AC262" s="14">
        <f t="shared" si="67"/>
        <v>-7073.0899999999965</v>
      </c>
      <c r="AD262" s="15">
        <f>IFERROR(AC262/AC444, "NA")</f>
        <v>-0.25008255836894333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5870.92</v>
      </c>
      <c r="C263" s="15">
        <f>IFERROR(B263/B444, "NA")</f>
        <v>6.9424438610446962E-2</v>
      </c>
      <c r="D263" s="2"/>
      <c r="E263" s="14">
        <f>IFERROR(E238+E240+E241+E242+E243+E244+E245+E246+E247+E248+E249+E250+E251+E252+E253+E254+E255+E256+E257+E258+E259+E260+E261, "NA")</f>
        <v>5713.13</v>
      </c>
      <c r="F263" s="15">
        <f>IFERROR(E263/E444, "NA")</f>
        <v>6.1063998595121766E-2</v>
      </c>
      <c r="G263" s="2"/>
      <c r="H263" s="14">
        <f t="shared" si="64"/>
        <v>-157.78999999999996</v>
      </c>
      <c r="I263" s="15">
        <f>IFERROR(H263/H444, "NA")</f>
        <v>1.754372310737037E-2</v>
      </c>
      <c r="J263" s="2"/>
      <c r="K263" s="14">
        <f>IFERROR(K238+K240+K241+K242+K243+K244+K245+K246+K247+K248+K249+K250+K251+K252+K253+K254+K255+K256+K257+K258+K259+K260+K261, "NA")</f>
        <v>4433.3200000000006</v>
      </c>
      <c r="L263" s="15">
        <f>IFERROR(K263/K444, "NA")</f>
        <v>5.3544969455119933E-2</v>
      </c>
      <c r="M263" s="2"/>
      <c r="N263" s="14">
        <f t="shared" si="65"/>
        <v>-1437.5999999999995</v>
      </c>
      <c r="O263" s="15">
        <f>IFERROR(N263/N444, "NA")</f>
        <v>-0.81247421456869617</v>
      </c>
      <c r="P263" s="2"/>
      <c r="Q263" s="14">
        <f>IFERROR(Q238+Q240+Q241+Q242+Q243+Q244+Q245+Q246+Q247+Q248+Q249+Q250+Q251+Q252+Q253+Q254+Q255+Q256+Q257+Q258+Q259+Q260+Q261, "NA")</f>
        <v>42701.14</v>
      </c>
      <c r="R263" s="15">
        <f>IFERROR(Q263/Q444, "NA")</f>
        <v>6.6237274445221803E-2</v>
      </c>
      <c r="S263" s="2"/>
      <c r="T263" s="14">
        <f>IFERROR(T238+T240+T241+T242+T243+T244+T245+T246+T247+T248+T249+T250+T251+T252+T253+T254+T255+T256+T257+T258+T259+T260+T261, "NA")</f>
        <v>43850.98</v>
      </c>
      <c r="U263" s="15">
        <f>IFERROR(T263/T444, "NA")</f>
        <v>6.1519934636845915E-2</v>
      </c>
      <c r="V263" s="2"/>
      <c r="W263" s="14">
        <f t="shared" si="66"/>
        <v>1149.8400000000038</v>
      </c>
      <c r="X263" s="15">
        <f>IFERROR(W263/W444, "NA")</f>
        <v>-1.6878712365509363E-2</v>
      </c>
      <c r="Y263" s="2"/>
      <c r="Z263" s="14">
        <f>IFERROR(Z238+Z240+Z241+Z242+Z243+Z244+Z245+Z246+Z247+Z248+Z249+Z250+Z251+Z252+Z253+Z254+Z255+Z256+Z257+Z258+Z259+Z260+Z261, "NA")</f>
        <v>35628.050000000003</v>
      </c>
      <c r="AA263" s="15">
        <f>IFERROR(Z263/Z444, "NA")</f>
        <v>5.7801493712579484E-2</v>
      </c>
      <c r="AB263" s="2"/>
      <c r="AC263" s="14">
        <f t="shared" si="67"/>
        <v>-7073.0899999999965</v>
      </c>
      <c r="AD263" s="15">
        <f>IFERROR(AC263/AC444, "NA")</f>
        <v>-0.25008255836894333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2083.34</v>
      </c>
      <c r="C265" s="8">
        <f>IFERROR(B265/B444, "NA")</f>
        <v>2.4635782796340027E-2</v>
      </c>
      <c r="D265" s="9"/>
      <c r="E265" s="7">
        <v>2432.5500000000002</v>
      </c>
      <c r="F265" s="8">
        <f>IFERROR(E265/E444, "NA")</f>
        <v>2.599997370663077E-2</v>
      </c>
      <c r="G265" s="9"/>
      <c r="H265" s="10">
        <f>IFERROR(-(B265-E265), "NA")</f>
        <v>349.21000000000004</v>
      </c>
      <c r="I265" s="8">
        <f>IFERROR(H265/H444, "NA")</f>
        <v>-3.8826564080897456E-2</v>
      </c>
      <c r="J265" s="9"/>
      <c r="K265" s="7">
        <v>2258.2800000000002</v>
      </c>
      <c r="L265" s="8">
        <f>IFERROR(K265/K444, "NA")</f>
        <v>2.7275164802249383E-2</v>
      </c>
      <c r="M265" s="9"/>
      <c r="N265" s="10">
        <f>IFERROR(-(B265-K265), "NA")</f>
        <v>174.94000000000005</v>
      </c>
      <c r="O265" s="8">
        <f>IFERROR(N265/N444, "NA")</f>
        <v>9.8869114563611429E-2</v>
      </c>
      <c r="P265" s="9"/>
      <c r="Q265" s="7">
        <v>15463.78</v>
      </c>
      <c r="R265" s="8">
        <f>IFERROR(Q265/Q444, "NA")</f>
        <v>2.3987149753391408E-2</v>
      </c>
      <c r="S265" s="9"/>
      <c r="T265" s="7">
        <v>18660.25</v>
      </c>
      <c r="U265" s="8">
        <f>IFERROR(T265/T444, "NA")</f>
        <v>2.6179058262944269E-2</v>
      </c>
      <c r="V265" s="9"/>
      <c r="W265" s="10">
        <f>IFERROR(-(Q265-T265), "NA")</f>
        <v>3196.4699999999993</v>
      </c>
      <c r="X265" s="8">
        <f>IFERROR(W265/W444, "NA")</f>
        <v>-4.6921569709680935E-2</v>
      </c>
      <c r="Y265" s="9"/>
      <c r="Z265" s="7">
        <v>16563.55</v>
      </c>
      <c r="AA265" s="8">
        <f>IFERROR(Z265/Z444, "NA")</f>
        <v>2.6872027270170434E-2</v>
      </c>
      <c r="AB265" s="9"/>
      <c r="AC265" s="10">
        <f>IFERROR(-(Q265-Z265), "NA")</f>
        <v>1099.7699999999986</v>
      </c>
      <c r="AD265" s="8">
        <f>IFERROR(AC265/AC444, "NA")</f>
        <v>3.8884461418900736E-2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8.4600000000000009</v>
      </c>
      <c r="L266" s="8">
        <f>IFERROR(K266/K444, "NA")</f>
        <v>1.0217860239962704E-4</v>
      </c>
      <c r="M266" s="9"/>
      <c r="N266" s="10">
        <f>IFERROR(-(B266-K266), "NA")</f>
        <v>8.4600000000000009</v>
      </c>
      <c r="O266" s="8">
        <f>IFERROR(N266/N444, "NA")</f>
        <v>4.7812547685386567E-3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8.4600000000000009</v>
      </c>
      <c r="AA266" s="8">
        <f>IFERROR(Z266/Z444, "NA")</f>
        <v>1.3725158598587979E-5</v>
      </c>
      <c r="AB266" s="9"/>
      <c r="AC266" s="10">
        <f>IFERROR(-(Q266-Z266), "NA")</f>
        <v>8.4600000000000009</v>
      </c>
      <c r="AD266" s="8">
        <f>IFERROR(AC266/AC444, "NA")</f>
        <v>2.9911940096920324E-4</v>
      </c>
    </row>
    <row r="267" spans="1:30" ht="16.5" customHeight="1" x14ac:dyDescent="0.45">
      <c r="A267" s="19" t="s">
        <v>243</v>
      </c>
      <c r="B267" s="14">
        <f>IFERROR(B265+B266, "NA")</f>
        <v>2083.34</v>
      </c>
      <c r="C267" s="15">
        <f>IFERROR(B267/B444, "NA")</f>
        <v>2.4635782796340027E-2</v>
      </c>
      <c r="D267" s="2"/>
      <c r="E267" s="14">
        <f>IFERROR(E265+E266, "NA")</f>
        <v>2432.5500000000002</v>
      </c>
      <c r="F267" s="15">
        <f>IFERROR(E267/E444, "NA")</f>
        <v>2.599997370663077E-2</v>
      </c>
      <c r="G267" s="2"/>
      <c r="H267" s="14">
        <f>IFERROR(-(B267-E267), "NA")</f>
        <v>349.21000000000004</v>
      </c>
      <c r="I267" s="15">
        <f>IFERROR(H267/H444, "NA")</f>
        <v>-3.8826564080897456E-2</v>
      </c>
      <c r="J267" s="2"/>
      <c r="K267" s="14">
        <f>IFERROR(K265+K266, "NA")</f>
        <v>2266.7400000000002</v>
      </c>
      <c r="L267" s="15">
        <f>IFERROR(K267/K444, "NA")</f>
        <v>2.7377343404649011E-2</v>
      </c>
      <c r="M267" s="2"/>
      <c r="N267" s="14">
        <f>IFERROR(-(B267-K267), "NA")</f>
        <v>183.40000000000009</v>
      </c>
      <c r="O267" s="15">
        <f>IFERROR(N267/N444, "NA")</f>
        <v>0.10365036933215011</v>
      </c>
      <c r="P267" s="2"/>
      <c r="Q267" s="14">
        <f>IFERROR(Q265+Q266, "NA")</f>
        <v>15463.78</v>
      </c>
      <c r="R267" s="15">
        <f>IFERROR(Q267/Q444, "NA")</f>
        <v>2.3987149753391408E-2</v>
      </c>
      <c r="S267" s="2"/>
      <c r="T267" s="14">
        <f>IFERROR(T265+T266, "NA")</f>
        <v>18660.25</v>
      </c>
      <c r="U267" s="15">
        <f>IFERROR(T267/T444, "NA")</f>
        <v>2.6179058262944269E-2</v>
      </c>
      <c r="V267" s="2"/>
      <c r="W267" s="14">
        <f>IFERROR(-(Q267-T267), "NA")</f>
        <v>3196.4699999999993</v>
      </c>
      <c r="X267" s="15">
        <f>IFERROR(W267/W444, "NA")</f>
        <v>-4.6921569709680935E-2</v>
      </c>
      <c r="Y267" s="2"/>
      <c r="Z267" s="14">
        <f>IFERROR(Z265+Z266, "NA")</f>
        <v>16572.009999999998</v>
      </c>
      <c r="AA267" s="15">
        <f>IFERROR(Z267/Z444, "NA")</f>
        <v>2.6885752428769023E-2</v>
      </c>
      <c r="AB267" s="2"/>
      <c r="AC267" s="14">
        <f>IFERROR(-(Q267-Z267), "NA")</f>
        <v>1108.2299999999977</v>
      </c>
      <c r="AD267" s="15">
        <f>IFERROR(AC267/AC444, "NA")</f>
        <v>3.9183580819869911E-2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3.6411964627228494E-3</v>
      </c>
      <c r="D270" s="9"/>
      <c r="E270" s="7">
        <v>144.24</v>
      </c>
      <c r="F270" s="8">
        <f>IFERROR(E270/E444, "NA")</f>
        <v>1.541689259190735E-3</v>
      </c>
      <c r="G270" s="9"/>
      <c r="H270" s="10">
        <f>IFERROR(-(B270-E270), "NA")</f>
        <v>-163.68</v>
      </c>
      <c r="I270" s="8">
        <f>IFERROR(H270/H444, "NA")</f>
        <v>1.8198596857940195E-2</v>
      </c>
      <c r="J270" s="9"/>
      <c r="K270" s="7">
        <v>296.5</v>
      </c>
      <c r="L270" s="8">
        <f>IFERROR(K270/K444, "NA")</f>
        <v>3.5810822235803094E-3</v>
      </c>
      <c r="M270" s="9"/>
      <c r="N270" s="10">
        <f>IFERROR(-(B270-K270), "NA")</f>
        <v>-11.420000000000016</v>
      </c>
      <c r="O270" s="8">
        <f>IFERROR(N270/N444, "NA")</f>
        <v>-6.4541287773890697E-3</v>
      </c>
      <c r="P270" s="9"/>
      <c r="Q270" s="7">
        <v>2709.91</v>
      </c>
      <c r="R270" s="8">
        <f>IFERROR(Q270/Q444, "NA")</f>
        <v>4.203565815616421E-3</v>
      </c>
      <c r="S270" s="9"/>
      <c r="T270" s="7">
        <v>1262.03</v>
      </c>
      <c r="U270" s="8">
        <f>IFERROR(T270/T444, "NA")</f>
        <v>1.7705420291573562E-3</v>
      </c>
      <c r="V270" s="9"/>
      <c r="W270" s="10">
        <f>IFERROR(-(Q270-T270), "NA")</f>
        <v>-1447.8799999999999</v>
      </c>
      <c r="X270" s="8">
        <f>IFERROR(W270/W444, "NA")</f>
        <v>2.1253696218407444E-2</v>
      </c>
      <c r="Y270" s="9"/>
      <c r="Z270" s="7">
        <v>2075.5</v>
      </c>
      <c r="AA270" s="8">
        <f>IFERROR(Z270/Z444, "NA")</f>
        <v>3.3672064623368023E-3</v>
      </c>
      <c r="AB270" s="9"/>
      <c r="AC270" s="10">
        <f>IFERROR(-(Q270-Z270), "NA")</f>
        <v>-634.40999999999985</v>
      </c>
      <c r="AD270" s="8">
        <f>IFERROR(AC270/AC444, "NA")</f>
        <v>-2.2430772951403329E-2</v>
      </c>
    </row>
    <row r="271" spans="1:30" ht="16.5" customHeight="1" x14ac:dyDescent="0.45">
      <c r="A271" s="6" t="s">
        <v>246</v>
      </c>
      <c r="B271" s="7">
        <v>905.41</v>
      </c>
      <c r="C271" s="8">
        <f>IFERROR(B271/B444, "NA")</f>
        <v>1.0706598107670481E-2</v>
      </c>
      <c r="D271" s="9"/>
      <c r="E271" s="7">
        <v>561.36</v>
      </c>
      <c r="F271" s="8">
        <f>IFERROR(E271/E444, "NA")</f>
        <v>6.0000185977489668E-3</v>
      </c>
      <c r="G271" s="9"/>
      <c r="H271" s="10">
        <f>IFERROR(-(B271-E271), "NA")</f>
        <v>-344.04999999999995</v>
      </c>
      <c r="I271" s="8">
        <f>IFERROR(H271/H444, "NA")</f>
        <v>3.8252854649158861E-2</v>
      </c>
      <c r="J271" s="9"/>
      <c r="K271" s="7">
        <v>762</v>
      </c>
      <c r="L271" s="8">
        <f>IFERROR(K271/K444, "NA")</f>
        <v>9.2033209253564782E-3</v>
      </c>
      <c r="M271" s="9"/>
      <c r="N271" s="10">
        <f>IFERROR(-(B271-K271), "NA")</f>
        <v>-143.40999999999997</v>
      </c>
      <c r="O271" s="8">
        <f>IFERROR(N271/N444, "NA")</f>
        <v>-8.104961540852583E-2</v>
      </c>
      <c r="P271" s="9"/>
      <c r="Q271" s="7">
        <v>6621.92</v>
      </c>
      <c r="R271" s="8">
        <f>IFERROR(Q271/Q444, "NA")</f>
        <v>1.0271808490225394E-2</v>
      </c>
      <c r="S271" s="9"/>
      <c r="T271" s="7">
        <v>4276.76</v>
      </c>
      <c r="U271" s="8">
        <f>IFERROR(T271/T444, "NA")</f>
        <v>6.0000026375117985E-3</v>
      </c>
      <c r="V271" s="9"/>
      <c r="W271" s="10">
        <f>IFERROR(-(Q271-T271), "NA")</f>
        <v>-2345.16</v>
      </c>
      <c r="X271" s="8">
        <f>IFERROR(W271/W444, "NA")</f>
        <v>3.4425033996988978E-2</v>
      </c>
      <c r="Y271" s="9"/>
      <c r="Z271" s="7">
        <v>5334.1</v>
      </c>
      <c r="AA271" s="8">
        <f>IFERROR(Z271/Z444, "NA")</f>
        <v>8.6538260615517896E-3</v>
      </c>
      <c r="AB271" s="9"/>
      <c r="AC271" s="10">
        <f>IFERROR(-(Q271-Z271), "NA")</f>
        <v>-1287.8199999999997</v>
      </c>
      <c r="AD271" s="8">
        <f>IFERROR(AC271/AC444, "NA")</f>
        <v>-4.5533327063375796E-2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1213.33</v>
      </c>
      <c r="C273" s="15">
        <f>IFERROR(B273/B444, "NA")</f>
        <v>1.434779457039333E-2</v>
      </c>
      <c r="D273" s="2"/>
      <c r="E273" s="14">
        <f>IFERROR(E269+E270+E271+E272, "NA")</f>
        <v>705.6</v>
      </c>
      <c r="F273" s="15">
        <f>IFERROR(E273/E444, "NA")</f>
        <v>7.5417078569397014E-3</v>
      </c>
      <c r="G273" s="2"/>
      <c r="H273" s="14">
        <f>IFERROR(-(B273-E273), "NA")</f>
        <v>-507.7299999999999</v>
      </c>
      <c r="I273" s="15">
        <f>IFERROR(H273/H444, "NA")</f>
        <v>5.645145150709905E-2</v>
      </c>
      <c r="J273" s="2"/>
      <c r="K273" s="14">
        <f>IFERROR(K269+K270+K271+K272, "NA")</f>
        <v>1058.5</v>
      </c>
      <c r="L273" s="15">
        <f>IFERROR(K273/K444, "NA")</f>
        <v>1.2784403148936788E-2</v>
      </c>
      <c r="M273" s="2"/>
      <c r="N273" s="14">
        <f>IFERROR(-(B273-K273), "NA")</f>
        <v>-154.82999999999993</v>
      </c>
      <c r="O273" s="15">
        <f>IFERROR(N273/N444, "NA")</f>
        <v>-8.7503744185914861E-2</v>
      </c>
      <c r="P273" s="2"/>
      <c r="Q273" s="14">
        <f>IFERROR(Q269+Q270+Q271+Q272, "NA")</f>
        <v>9331.83</v>
      </c>
      <c r="R273" s="15">
        <f>IFERROR(Q273/Q444, "NA")</f>
        <v>1.4475374305841815E-2</v>
      </c>
      <c r="S273" s="2"/>
      <c r="T273" s="14">
        <f>IFERROR(T269+T270+T271+T272, "NA")</f>
        <v>5538.79</v>
      </c>
      <c r="U273" s="15">
        <f>IFERROR(T273/T444, "NA")</f>
        <v>7.7705446666691547E-3</v>
      </c>
      <c r="V273" s="2"/>
      <c r="W273" s="14">
        <f>IFERROR(-(Q273-T273), "NA")</f>
        <v>-3793.04</v>
      </c>
      <c r="X273" s="15">
        <f>IFERROR(W273/W444, "NA")</f>
        <v>5.5678730215396426E-2</v>
      </c>
      <c r="Y273" s="2"/>
      <c r="Z273" s="14">
        <f>IFERROR(Z269+Z270+Z271+Z272, "NA")</f>
        <v>7409.6</v>
      </c>
      <c r="AA273" s="15">
        <f>IFERROR(Z273/Z444, "NA")</f>
        <v>1.2021032523888591E-2</v>
      </c>
      <c r="AB273" s="2"/>
      <c r="AC273" s="14">
        <f>IFERROR(-(Q273-Z273), "NA")</f>
        <v>-1922.2299999999996</v>
      </c>
      <c r="AD273" s="15">
        <f>IFERROR(AC273/AC444, "NA")</f>
        <v>-6.7964100014779122E-2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3.5378476483092988E-3</v>
      </c>
      <c r="G287" s="9"/>
      <c r="H287" s="10">
        <f t="shared" si="72"/>
        <v>331</v>
      </c>
      <c r="I287" s="8">
        <f>IFERROR(H287/H444, "NA")</f>
        <v>-3.6801903470052563E-2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2317</v>
      </c>
      <c r="U287" s="8">
        <f>IFERROR(T287/T444, "NA")</f>
        <v>3.2505929982310994E-3</v>
      </c>
      <c r="V287" s="9"/>
      <c r="W287" s="10">
        <f t="shared" si="74"/>
        <v>2317</v>
      </c>
      <c r="X287" s="8">
        <f>IFERROR(W287/W444, "NA")</f>
        <v>-3.4011668189387279E-2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1.6259564614977649E-3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1.5287799779855673E-2</v>
      </c>
      <c r="J288" s="9"/>
      <c r="K288" s="7">
        <v>142.19999999999999</v>
      </c>
      <c r="L288" s="8">
        <f>IFERROR(K288/K444, "NA")</f>
        <v>1.7174701254405395E-3</v>
      </c>
      <c r="M288" s="9"/>
      <c r="N288" s="10">
        <f t="shared" si="73"/>
        <v>4.6999999999999886</v>
      </c>
      <c r="O288" s="8">
        <f>IFERROR(N288/N444, "NA")</f>
        <v>2.656252649188136E-3</v>
      </c>
      <c r="P288" s="9"/>
      <c r="Q288" s="7">
        <v>962.5</v>
      </c>
      <c r="R288" s="8">
        <f>IFERROR(Q288/Q444, "NA")</f>
        <v>1.4930134571003485E-3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-962.5</v>
      </c>
      <c r="X288" s="8">
        <f>IFERROR(W288/W444, "NA")</f>
        <v>1.4128714127011331E-2</v>
      </c>
      <c r="Y288" s="9"/>
      <c r="Z288" s="7">
        <v>924.9</v>
      </c>
      <c r="AA288" s="8">
        <f>IFERROR(Z288/Z444, "NA")</f>
        <v>1.5005199985619409E-3</v>
      </c>
      <c r="AB288" s="9"/>
      <c r="AC288" s="10">
        <f t="shared" si="75"/>
        <v>-37.600000000000023</v>
      </c>
      <c r="AD288" s="8">
        <f>IFERROR(AC288/AC444, "NA")</f>
        <v>-1.3294195598631262E-3</v>
      </c>
    </row>
    <row r="289" spans="1:30" ht="16.5" customHeight="1" x14ac:dyDescent="0.45">
      <c r="A289" s="6" t="s">
        <v>262</v>
      </c>
      <c r="B289" s="7">
        <v>228.86</v>
      </c>
      <c r="C289" s="8">
        <f>IFERROR(B289/B444, "NA")</f>
        <v>2.7063010602063889E-3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-228.86</v>
      </c>
      <c r="I289" s="8">
        <f>IFERROR(H289/H444, "NA")</f>
        <v>2.5445569873583779E-2</v>
      </c>
      <c r="J289" s="9"/>
      <c r="K289" s="7">
        <v>198.58</v>
      </c>
      <c r="L289" s="8">
        <f>IFERROR(K289/K444, "NA")</f>
        <v>2.3984192511250519E-3</v>
      </c>
      <c r="M289" s="9"/>
      <c r="N289" s="10">
        <f t="shared" si="73"/>
        <v>-30.28</v>
      </c>
      <c r="O289" s="8">
        <f>IFERROR(N289/N444, "NA")</f>
        <v>-1.7113048982429137E-2</v>
      </c>
      <c r="P289" s="9"/>
      <c r="Q289" s="7">
        <v>1564.28</v>
      </c>
      <c r="R289" s="8">
        <f>IFERROR(Q289/Q444, "NA")</f>
        <v>2.4264842500498008E-3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-1564.28</v>
      </c>
      <c r="X289" s="8">
        <f>IFERROR(W289/W444, "NA")</f>
        <v>2.296235317880653E-2</v>
      </c>
      <c r="Y289" s="9"/>
      <c r="Z289" s="7">
        <v>1390.06</v>
      </c>
      <c r="AA289" s="8">
        <f>IFERROR(Z289/Z444, "NA")</f>
        <v>2.2551765912001425E-3</v>
      </c>
      <c r="AB289" s="9"/>
      <c r="AC289" s="10">
        <f t="shared" si="75"/>
        <v>-174.22000000000003</v>
      </c>
      <c r="AD289" s="8">
        <f>IFERROR(AC289/AC444, "NA")</f>
        <v>-6.1598796733870684E-3</v>
      </c>
    </row>
    <row r="290" spans="1:30" ht="16.5" customHeight="1" x14ac:dyDescent="0.45">
      <c r="A290" s="6" t="s">
        <v>263</v>
      </c>
      <c r="B290" s="7">
        <v>2214.4</v>
      </c>
      <c r="C290" s="8">
        <f>IFERROR(B290/B444, "NA")</f>
        <v>2.6185585369750186E-2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-2214.4</v>
      </c>
      <c r="I290" s="8">
        <f>IFERROR(H290/H444, "NA")</f>
        <v>0.24620584605463566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-2214.4</v>
      </c>
      <c r="O290" s="8">
        <f>IFERROR(N290/N444, "NA")</f>
        <v>-1.2514906098643026</v>
      </c>
      <c r="P290" s="9"/>
      <c r="Q290" s="7">
        <v>8244.44</v>
      </c>
      <c r="R290" s="8">
        <f>IFERROR(Q290/Q444, "NA")</f>
        <v>1.2788633627279375E-2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-8244.44</v>
      </c>
      <c r="X290" s="8">
        <f>IFERROR(W290/W444, "NA")</f>
        <v>0.12102164768550369</v>
      </c>
      <c r="Y290" s="9"/>
      <c r="Z290" s="7">
        <v>5181.43</v>
      </c>
      <c r="AA290" s="8">
        <f>IFERROR(Z290/Z444, "NA")</f>
        <v>8.4061404866999662E-3</v>
      </c>
      <c r="AB290" s="9"/>
      <c r="AC290" s="10">
        <f t="shared" si="75"/>
        <v>-3063.01</v>
      </c>
      <c r="AD290" s="8">
        <f>IFERROR(AC290/AC444, "NA")</f>
        <v>-0.10829854803341363</v>
      </c>
    </row>
    <row r="291" spans="1:30" ht="16.5" customHeight="1" x14ac:dyDescent="0.45">
      <c r="A291" s="6" t="s">
        <v>264</v>
      </c>
      <c r="B291" s="7">
        <v>2562.7399999999998</v>
      </c>
      <c r="C291" s="8">
        <f>IFERROR(B291/B444, "NA")</f>
        <v>3.0304753906463866E-2</v>
      </c>
      <c r="D291" s="9"/>
      <c r="E291" s="7">
        <v>1122.72</v>
      </c>
      <c r="F291" s="8">
        <f>IFERROR(E291/E444, "NA")</f>
        <v>1.2000037195497934E-2</v>
      </c>
      <c r="G291" s="9"/>
      <c r="H291" s="10">
        <f t="shared" si="72"/>
        <v>-1440.0199999999998</v>
      </c>
      <c r="I291" s="8">
        <f>IFERROR(H291/H444, "NA")</f>
        <v>0.16010718137445645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-2562.7399999999998</v>
      </c>
      <c r="O291" s="8">
        <f>IFERROR(N291/N444, "NA")</f>
        <v>-1.4483584923788126</v>
      </c>
      <c r="P291" s="9"/>
      <c r="Q291" s="7">
        <v>11323.29</v>
      </c>
      <c r="R291" s="8">
        <f>IFERROR(Q291/Q444, "NA")</f>
        <v>1.7564492829766035E-2</v>
      </c>
      <c r="S291" s="9"/>
      <c r="T291" s="7">
        <v>8553.52</v>
      </c>
      <c r="U291" s="8">
        <f>IFERROR(T291/T444, "NA")</f>
        <v>1.2000005275023597E-2</v>
      </c>
      <c r="V291" s="9"/>
      <c r="W291" s="10">
        <f t="shared" si="74"/>
        <v>-2769.7700000000004</v>
      </c>
      <c r="X291" s="8">
        <f>IFERROR(W291/W444, "NA")</f>
        <v>4.0657962106568503E-2</v>
      </c>
      <c r="Y291" s="9"/>
      <c r="Z291" s="7">
        <v>1564.43</v>
      </c>
      <c r="AA291" s="8">
        <f>IFERROR(Z291/Z444, "NA")</f>
        <v>2.5380673600932614E-3</v>
      </c>
      <c r="AB291" s="9"/>
      <c r="AC291" s="10">
        <f t="shared" si="75"/>
        <v>-9758.86</v>
      </c>
      <c r="AD291" s="8">
        <f>IFERROR(AC291/AC444, "NA")</f>
        <v>-0.3450430682437729</v>
      </c>
    </row>
    <row r="292" spans="1:30" ht="16.5" customHeight="1" x14ac:dyDescent="0.45">
      <c r="A292" s="6" t="s">
        <v>265</v>
      </c>
      <c r="B292" s="7">
        <v>500</v>
      </c>
      <c r="C292" s="8">
        <f>IFERROR(B292/B444, "NA")</f>
        <v>5.912568950900963E-3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-500</v>
      </c>
      <c r="I292" s="8">
        <f>IFERROR(H292/H444, "NA")</f>
        <v>5.5591999199475176E-2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-500</v>
      </c>
      <c r="O292" s="8">
        <f>IFERROR(N292/N444, "NA")</f>
        <v>-0.28258006906256833</v>
      </c>
      <c r="P292" s="9"/>
      <c r="Q292" s="7">
        <v>2310.42</v>
      </c>
      <c r="R292" s="8">
        <f>IFERROR(Q292/Q444, "NA")</f>
        <v>3.5838837938221169E-3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-2310.42</v>
      </c>
      <c r="X292" s="8">
        <f>IFERROR(W292/W444, "NA")</f>
        <v>3.3915079161900799E-2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-2310.42</v>
      </c>
      <c r="AD292" s="8">
        <f>IFERROR(AC292/AC444, "NA")</f>
        <v>-8.1689296263270275E-2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1398.84</v>
      </c>
      <c r="R293" s="8">
        <f>IFERROR(Q293/Q444, "NA")</f>
        <v>2.1698565655379237E-3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2.0533829059146524E-2</v>
      </c>
      <c r="Y293" s="9"/>
      <c r="Z293" s="7">
        <v>1091.2</v>
      </c>
      <c r="AA293" s="8">
        <f>IFERROR(Z293/Z444, "NA")</f>
        <v>1.7703183289337118E-3</v>
      </c>
      <c r="AB293" s="9"/>
      <c r="AC293" s="10">
        <f t="shared" si="75"/>
        <v>-307.63999999999987</v>
      </c>
      <c r="AD293" s="8">
        <f>IFERROR(AC293/AC444, "NA")</f>
        <v>-1.0877197696709888E-2</v>
      </c>
    </row>
    <row r="294" spans="1:30" ht="16.5" customHeight="1" x14ac:dyDescent="0.45">
      <c r="A294" s="6" t="s">
        <v>267</v>
      </c>
      <c r="B294" s="7">
        <v>312.49</v>
      </c>
      <c r="C294" s="8">
        <f>IFERROR(B294/B444, "NA")</f>
        <v>3.695237342934084E-3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-312.49</v>
      </c>
      <c r="I294" s="8">
        <f>IFERROR(H294/H444, "NA")</f>
        <v>3.4743887659687993E-2</v>
      </c>
      <c r="J294" s="9"/>
      <c r="K294" s="7">
        <v>-2135</v>
      </c>
      <c r="L294" s="8">
        <f>IFERROR(K294/K444, "NA")</f>
        <v>-2.5786207579574907E-2</v>
      </c>
      <c r="M294" s="9"/>
      <c r="N294" s="10">
        <f t="shared" si="73"/>
        <v>-2447.4899999999998</v>
      </c>
      <c r="O294" s="8">
        <f>IFERROR(N294/N444, "NA")</f>
        <v>-1.3832237864598906</v>
      </c>
      <c r="P294" s="9"/>
      <c r="Q294" s="7">
        <v>2622.93</v>
      </c>
      <c r="R294" s="8">
        <f>IFERROR(Q294/Q444, "NA")</f>
        <v>4.0686439345789267E-3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-2622.93</v>
      </c>
      <c r="X294" s="8">
        <f>IFERROR(W294/W444, "NA")</f>
        <v>3.850247080016813E-2</v>
      </c>
      <c r="Y294" s="9"/>
      <c r="Z294" s="7">
        <v>-65</v>
      </c>
      <c r="AA294" s="8">
        <f>IFERROR(Z294/Z444, "NA")</f>
        <v>-1.0545334620664522E-4</v>
      </c>
      <c r="AB294" s="9"/>
      <c r="AC294" s="10">
        <f t="shared" si="75"/>
        <v>-2687.93</v>
      </c>
      <c r="AD294" s="8">
        <f>IFERROR(AC294/AC444, "NA")</f>
        <v>-9.5036880785715178E-2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5955.99</v>
      </c>
      <c r="C295" s="15">
        <f>IFERROR(B295/B444, "NA")</f>
        <v>7.0430403091753246E-2</v>
      </c>
      <c r="D295" s="2"/>
      <c r="E295" s="14">
        <f>IFERROR(E286+E287+E288+E289+E290+E291+E292+E293+E294, "NA")</f>
        <v>1453.72</v>
      </c>
      <c r="F295" s="15">
        <f>IFERROR(E295/E444, "NA")</f>
        <v>1.5537884843807232E-2</v>
      </c>
      <c r="G295" s="2"/>
      <c r="H295" s="14">
        <f t="shared" si="72"/>
        <v>-4502.2699999999995</v>
      </c>
      <c r="I295" s="15">
        <f>IFERROR(H295/H444, "NA")</f>
        <v>0.50058038047164211</v>
      </c>
      <c r="J295" s="2"/>
      <c r="K295" s="14">
        <f>IFERROR(K286+K287+K288+K289+K290+K291+K292+K293+K294, "NA")</f>
        <v>-1794.22</v>
      </c>
      <c r="L295" s="15">
        <f>IFERROR(K295/K444, "NA")</f>
        <v>-2.1670318203009319E-2</v>
      </c>
      <c r="M295" s="2"/>
      <c r="N295" s="14">
        <f t="shared" si="73"/>
        <v>-7750.21</v>
      </c>
      <c r="O295" s="15">
        <f>IFERROR(N295/N444, "NA")</f>
        <v>-4.3801097540988154</v>
      </c>
      <c r="P295" s="2"/>
      <c r="Q295" s="14">
        <f>IFERROR(Q286+Q287+Q288+Q289+Q290+Q291+Q292+Q293+Q294, "NA")</f>
        <v>28426.7</v>
      </c>
      <c r="R295" s="15">
        <f>IFERROR(Q295/Q444, "NA")</f>
        <v>4.4095008458134528E-2</v>
      </c>
      <c r="S295" s="2"/>
      <c r="T295" s="14">
        <f>IFERROR(T286+T287+T288+T289+T290+T291+T292+T293+T294, "NA")</f>
        <v>10870.52</v>
      </c>
      <c r="U295" s="15">
        <f>IFERROR(T295/T444, "NA")</f>
        <v>1.5250598273254696E-2</v>
      </c>
      <c r="V295" s="2"/>
      <c r="W295" s="14">
        <f t="shared" si="74"/>
        <v>-17556.18</v>
      </c>
      <c r="X295" s="15">
        <f>IFERROR(W295/W444, "NA")</f>
        <v>0.25771038792971823</v>
      </c>
      <c r="Y295" s="2"/>
      <c r="Z295" s="14">
        <f>IFERROR(Z286+Z287+Z288+Z289+Z290+Z291+Z292+Z293+Z294, "NA")</f>
        <v>10087.02</v>
      </c>
      <c r="AA295" s="15">
        <f>IFERROR(Z295/Z444, "NA")</f>
        <v>1.6364769419282377E-2</v>
      </c>
      <c r="AB295" s="2"/>
      <c r="AC295" s="14">
        <f t="shared" si="75"/>
        <v>-18339.68</v>
      </c>
      <c r="AD295" s="15">
        <f>IFERROR(AC295/AC444, "NA")</f>
        <v>-0.64843429025613208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1216.28</v>
      </c>
      <c r="F297" s="8">
        <f>IFERROR(E297/E444, "NA")</f>
        <v>1.300004029512276E-2</v>
      </c>
      <c r="G297" s="9"/>
      <c r="H297" s="10">
        <f t="shared" ref="H297:H325" si="76">IFERROR(-(B297-E297), "NA")</f>
        <v>1216.28</v>
      </c>
      <c r="I297" s="8">
        <f>IFERROR(H297/H444, "NA")</f>
        <v>-0.13523087357267533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9266.31</v>
      </c>
      <c r="U297" s="8">
        <f>IFERROR(T297/T444, "NA")</f>
        <v>1.3000001038169536E-2</v>
      </c>
      <c r="V297" s="9"/>
      <c r="W297" s="10">
        <f t="shared" ref="W297:W325" si="78">IFERROR(-(Q297-T297), "NA")</f>
        <v>9266.31</v>
      </c>
      <c r="X297" s="8">
        <f>IFERROR(W297/W444, "NA")</f>
        <v>-0.13602186493741961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411.65</v>
      </c>
      <c r="R299" s="8">
        <f>IFERROR(Q299/Q444, "NA")</f>
        <v>6.3854440479517763E-4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-411.65</v>
      </c>
      <c r="X299" s="8">
        <f>IFERROR(W299/W444, "NA")</f>
        <v>6.0426858913082745E-3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-411.65</v>
      </c>
      <c r="AD299" s="8">
        <f>IFERROR(AC299/AC444, "NA")</f>
        <v>-1.4554669197278073E-2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4.1610478947238285E-4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3.9376909761774433E-3</v>
      </c>
      <c r="Y304" s="9"/>
      <c r="Z304" s="7">
        <v>74.680000000000007</v>
      </c>
      <c r="AA304" s="8">
        <f>IFERROR(Z304/Z444, "NA")</f>
        <v>1.2115778299557332E-4</v>
      </c>
      <c r="AB304" s="9"/>
      <c r="AC304" s="10">
        <f t="shared" si="79"/>
        <v>-193.57</v>
      </c>
      <c r="AD304" s="8">
        <f>IFERROR(AC304/AC444, "NA")</f>
        <v>-6.8440357500719464E-3</v>
      </c>
    </row>
    <row r="305" spans="1:30" ht="16.5" customHeight="1" x14ac:dyDescent="0.45">
      <c r="A305" s="6" t="s">
        <v>277</v>
      </c>
      <c r="B305" s="7">
        <v>79.400000000000006</v>
      </c>
      <c r="C305" s="8">
        <f>IFERROR(B305/B444, "NA")</f>
        <v>9.38915949403073E-4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-79.400000000000006</v>
      </c>
      <c r="I305" s="8">
        <f>IFERROR(H305/H444, "NA")</f>
        <v>8.8280094728766592E-3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-79.400000000000006</v>
      </c>
      <c r="O305" s="8">
        <f>IFERROR(N305/N444, "NA")</f>
        <v>-4.4873714967135853E-2</v>
      </c>
      <c r="P305" s="9"/>
      <c r="Q305" s="7">
        <v>142.19</v>
      </c>
      <c r="R305" s="8">
        <f>IFERROR(Q305/Q444, "NA")</f>
        <v>2.2056268411958292E-4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-142.19</v>
      </c>
      <c r="X305" s="8">
        <f>IFERROR(W305/W444, "NA")</f>
        <v>2.0872331030854455E-3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-142.19</v>
      </c>
      <c r="AD305" s="8">
        <f>IFERROR(AC305/AC444, "NA")</f>
        <v>-5.0273980642802606E-3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285.64999999999998</v>
      </c>
      <c r="R310" s="8">
        <f>IFERROR(Q310/Q444, "NA")</f>
        <v>4.4309537041113201E-4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-285.64999999999998</v>
      </c>
      <c r="X310" s="8">
        <f>IFERROR(W310/W444, "NA")</f>
        <v>4.1931087692267908E-3</v>
      </c>
      <c r="Y310" s="9"/>
      <c r="Z310" s="7">
        <v>40.119999999999997</v>
      </c>
      <c r="AA310" s="8">
        <f>IFERROR(Z310/Z444, "NA")</f>
        <v>6.5089049997086251E-5</v>
      </c>
      <c r="AB310" s="9"/>
      <c r="AC310" s="10">
        <f t="shared" si="79"/>
        <v>-245.52999999999997</v>
      </c>
      <c r="AD310" s="8">
        <f>IFERROR(AC310/AC444, "NA")</f>
        <v>-8.6811804397125842E-3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9.4032702098101957E-5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8.8985210429031359E-4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-2.1433354712474114E-3</v>
      </c>
    </row>
    <row r="312" spans="1:30" ht="16.5" customHeight="1" x14ac:dyDescent="0.45">
      <c r="A312" s="6" t="s">
        <v>284</v>
      </c>
      <c r="B312" s="7">
        <v>203.57</v>
      </c>
      <c r="C312" s="8">
        <f>IFERROR(B312/B444, "NA")</f>
        <v>2.4072433226698178E-3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-203.57</v>
      </c>
      <c r="I312" s="8">
        <f>IFERROR(H312/H444, "NA")</f>
        <v>2.2633726554074321E-2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-203.57</v>
      </c>
      <c r="O312" s="8">
        <f>IFERROR(N312/N444, "NA")</f>
        <v>-0.11504964931813406</v>
      </c>
      <c r="P312" s="9"/>
      <c r="Q312" s="7">
        <v>712.07</v>
      </c>
      <c r="R312" s="8">
        <f>IFERROR(Q312/Q444, "NA")</f>
        <v>1.1045507453479951E-3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-712.07</v>
      </c>
      <c r="X312" s="8">
        <f>IFERROR(W312/W444, "NA")</f>
        <v>1.0452606200956841E-2</v>
      </c>
      <c r="Y312" s="9"/>
      <c r="Z312" s="7">
        <v>146.1</v>
      </c>
      <c r="AA312" s="8">
        <f>IFERROR(Z312/Z444, "NA")</f>
        <v>2.3702667508909025E-4</v>
      </c>
      <c r="AB312" s="9"/>
      <c r="AC312" s="10">
        <f t="shared" si="79"/>
        <v>-565.97</v>
      </c>
      <c r="AD312" s="8">
        <f>IFERROR(AC312/AC444, "NA")</f>
        <v>-2.0010946497226945E-2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34</v>
      </c>
      <c r="R313" s="8">
        <f>IFERROR(Q313/Q444, "NA")</f>
        <v>5.2740215627440884E-5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-34</v>
      </c>
      <c r="X313" s="8">
        <f>IFERROR(W313/W444, "NA")</f>
        <v>4.9909223929182889E-4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-34</v>
      </c>
      <c r="AD313" s="8">
        <f>IFERROR(AC313/AC444, "NA")</f>
        <v>-1.2021347083868688E-3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455.6</v>
      </c>
      <c r="C315" s="8">
        <f>IFERROR(B315/B444, "NA")</f>
        <v>5.3875328280609579E-3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-455.6</v>
      </c>
      <c r="I315" s="8">
        <f>IFERROR(H315/H444, "NA")</f>
        <v>5.0655429670561782E-2</v>
      </c>
      <c r="J315" s="9"/>
      <c r="K315" s="7">
        <v>605.45000000000005</v>
      </c>
      <c r="L315" s="8">
        <f>IFERROR(K315/K444, "NA")</f>
        <v>7.3125336670040418E-3</v>
      </c>
      <c r="M315" s="9"/>
      <c r="N315" s="10">
        <f t="shared" si="77"/>
        <v>149.85000000000002</v>
      </c>
      <c r="O315" s="8">
        <f>IFERROR(N315/N444, "NA")</f>
        <v>8.4689246698051737E-2</v>
      </c>
      <c r="P315" s="9"/>
      <c r="Q315" s="7">
        <v>3188.72</v>
      </c>
      <c r="R315" s="8">
        <f>IFERROR(Q315/Q444, "NA")</f>
        <v>4.94628765810392E-3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-3188.72</v>
      </c>
      <c r="X315" s="8">
        <f>IFERROR(W315/W444, "NA")</f>
        <v>4.6807806037489422E-2</v>
      </c>
      <c r="Y315" s="9"/>
      <c r="Z315" s="7">
        <v>4238.09</v>
      </c>
      <c r="AA315" s="8">
        <f>IFERROR(Z315/Z444, "NA")</f>
        <v>6.8757041849987852E-3</v>
      </c>
      <c r="AB315" s="9"/>
      <c r="AC315" s="10">
        <f t="shared" si="79"/>
        <v>1049.3700000000003</v>
      </c>
      <c r="AD315" s="8">
        <f>IFERROR(AC315/AC444, "NA")</f>
        <v>3.7102473498233202E-2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4.9024656713290427E-3</v>
      </c>
      <c r="D318" s="9"/>
      <c r="E318" s="7">
        <v>415</v>
      </c>
      <c r="F318" s="8">
        <f>IFERROR(E318/E444, "NA")</f>
        <v>4.4356700122306914E-3</v>
      </c>
      <c r="G318" s="9"/>
      <c r="H318" s="10">
        <f t="shared" si="76"/>
        <v>0.42000000000001592</v>
      </c>
      <c r="I318" s="8">
        <f>IFERROR(H318/H444, "NA")</f>
        <v>-4.6697279327560916E-5</v>
      </c>
      <c r="J318" s="9"/>
      <c r="K318" s="7">
        <v>414.58</v>
      </c>
      <c r="L318" s="8">
        <f>IFERROR(K318/K444, "NA")</f>
        <v>5.0072346315410609E-3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2902.06</v>
      </c>
      <c r="R318" s="8">
        <f>IFERROR(Q318/Q444, "NA")</f>
        <v>4.5016255930520914E-3</v>
      </c>
      <c r="S318" s="9"/>
      <c r="T318" s="7">
        <v>2905</v>
      </c>
      <c r="U318" s="8">
        <f>IFERROR(T318/T444, "NA")</f>
        <v>4.0755169011054571E-3</v>
      </c>
      <c r="V318" s="9"/>
      <c r="W318" s="10">
        <f t="shared" si="78"/>
        <v>2.9400000000000546</v>
      </c>
      <c r="X318" s="8">
        <f>IFERROR(W318/W444, "NA")</f>
        <v>-4.3156799515235414E-5</v>
      </c>
      <c r="Y318" s="9"/>
      <c r="Z318" s="7">
        <v>2902.06</v>
      </c>
      <c r="AA318" s="8">
        <f>IFERROR(Z318/Z444, "NA")</f>
        <v>4.7081836598839508E-3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308.49</v>
      </c>
      <c r="C319" s="8">
        <f>IFERROR(B319/B444, "NA")</f>
        <v>3.6479367913268765E-3</v>
      </c>
      <c r="D319" s="9"/>
      <c r="E319" s="7">
        <v>249</v>
      </c>
      <c r="F319" s="8">
        <f>IFERROR(E319/E444, "NA")</f>
        <v>2.6614020073384152E-3</v>
      </c>
      <c r="G319" s="9"/>
      <c r="H319" s="10">
        <f t="shared" si="76"/>
        <v>-59.490000000000009</v>
      </c>
      <c r="I319" s="8">
        <f>IFERROR(H319/H444, "NA")</f>
        <v>6.6143360647535577E-3</v>
      </c>
      <c r="J319" s="9"/>
      <c r="K319" s="7">
        <v>248.8</v>
      </c>
      <c r="L319" s="8">
        <f>IFERROR(K319/K444, "NA")</f>
        <v>3.0049688270717741E-3</v>
      </c>
      <c r="M319" s="9"/>
      <c r="N319" s="10">
        <f t="shared" si="77"/>
        <v>-59.69</v>
      </c>
      <c r="O319" s="8">
        <f>IFERROR(N319/N444, "NA")</f>
        <v>-3.3734408644689406E-2</v>
      </c>
      <c r="P319" s="9"/>
      <c r="Q319" s="7">
        <v>1938.05</v>
      </c>
      <c r="R319" s="8">
        <f>IFERROR(Q319/Q444, "NA")</f>
        <v>3.0062698499047592E-3</v>
      </c>
      <c r="S319" s="9"/>
      <c r="T319" s="7">
        <v>1743</v>
      </c>
      <c r="U319" s="8">
        <f>IFERROR(T319/T444, "NA")</f>
        <v>2.445310140663274E-3</v>
      </c>
      <c r="V319" s="9"/>
      <c r="W319" s="10">
        <f t="shared" si="78"/>
        <v>-195.04999999999995</v>
      </c>
      <c r="X319" s="8">
        <f>IFERROR(W319/W444, "NA")</f>
        <v>2.8631747433491526E-3</v>
      </c>
      <c r="Y319" s="9"/>
      <c r="Z319" s="7">
        <v>1597.61</v>
      </c>
      <c r="AA319" s="8">
        <f>IFERROR(Z319/Z444, "NA")</f>
        <v>2.5918972374338223E-3</v>
      </c>
      <c r="AB319" s="9"/>
      <c r="AC319" s="10">
        <f t="shared" si="79"/>
        <v>-340.44000000000005</v>
      </c>
      <c r="AD319" s="8">
        <f>IFERROR(AC319/AC444, "NA")</f>
        <v>-1.2036904121271343E-2</v>
      </c>
    </row>
    <row r="320" spans="1:30" ht="16.5" customHeight="1" x14ac:dyDescent="0.45">
      <c r="A320" s="6" t="s">
        <v>292</v>
      </c>
      <c r="B320" s="7">
        <v>1178.7</v>
      </c>
      <c r="C320" s="8">
        <f>IFERROR(B320/B444, "NA")</f>
        <v>1.393829004485393E-2</v>
      </c>
      <c r="D320" s="9"/>
      <c r="E320" s="7">
        <v>878</v>
      </c>
      <c r="F320" s="8">
        <f>IFERROR(E320/E444, "NA")</f>
        <v>9.384381375273608E-3</v>
      </c>
      <c r="G320" s="9"/>
      <c r="H320" s="10">
        <f t="shared" si="76"/>
        <v>-300.70000000000005</v>
      </c>
      <c r="I320" s="8">
        <f>IFERROR(H320/H444, "NA")</f>
        <v>3.3433028318564373E-2</v>
      </c>
      <c r="J320" s="9"/>
      <c r="K320" s="7">
        <v>428.92</v>
      </c>
      <c r="L320" s="8">
        <f>IFERROR(K320/K444, "NA")</f>
        <v>5.1804309859631243E-3</v>
      </c>
      <c r="M320" s="9"/>
      <c r="N320" s="10">
        <f t="shared" si="77"/>
        <v>-749.78</v>
      </c>
      <c r="O320" s="8">
        <f>IFERROR(N320/N444, "NA")</f>
        <v>-0.42374576836346495</v>
      </c>
      <c r="P320" s="9"/>
      <c r="Q320" s="7">
        <v>8309.86</v>
      </c>
      <c r="R320" s="8">
        <f>IFERROR(Q320/Q444, "NA")</f>
        <v>1.2890112006877822E-2</v>
      </c>
      <c r="S320" s="9"/>
      <c r="T320" s="7">
        <v>6146</v>
      </c>
      <c r="U320" s="8">
        <f>IFERROR(T320/T444, "NA")</f>
        <v>8.6224188895676901E-3</v>
      </c>
      <c r="V320" s="9"/>
      <c r="W320" s="10">
        <f t="shared" si="78"/>
        <v>-2163.8600000000006</v>
      </c>
      <c r="X320" s="8">
        <f>IFERROR(W320/W444, "NA")</f>
        <v>3.1763698026882857E-2</v>
      </c>
      <c r="Y320" s="9"/>
      <c r="Z320" s="7">
        <v>5928.78</v>
      </c>
      <c r="AA320" s="8">
        <f>IFERROR(Z320/Z444, "NA")</f>
        <v>9.6186106142005234E-3</v>
      </c>
      <c r="AB320" s="9"/>
      <c r="AC320" s="10">
        <f t="shared" si="79"/>
        <v>-2381.0800000000008</v>
      </c>
      <c r="AD320" s="8">
        <f>IFERROR(AC320/AC444, "NA")</f>
        <v>-8.4187615042523728E-2</v>
      </c>
    </row>
    <row r="321" spans="1:30" ht="16.5" customHeight="1" x14ac:dyDescent="0.45">
      <c r="A321" s="6" t="s">
        <v>293</v>
      </c>
      <c r="B321" s="7">
        <v>1402.31</v>
      </c>
      <c r="C321" s="8">
        <f>IFERROR(B321/B444, "NA")</f>
        <v>1.6582509131075857E-2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-1402.31</v>
      </c>
      <c r="I321" s="8">
        <f>IFERROR(H321/H444, "NA")</f>
        <v>0.15591443279483205</v>
      </c>
      <c r="J321" s="9"/>
      <c r="K321" s="7">
        <v>2462.1</v>
      </c>
      <c r="L321" s="8">
        <f>IFERROR(K321/K444, "NA")</f>
        <v>2.9736871982047487E-2</v>
      </c>
      <c r="M321" s="9"/>
      <c r="N321" s="10">
        <f t="shared" si="77"/>
        <v>1059.79</v>
      </c>
      <c r="O321" s="8">
        <f>IFERROR(N321/N444, "NA")</f>
        <v>0.59895106278363852</v>
      </c>
      <c r="P321" s="9"/>
      <c r="Q321" s="7">
        <v>11651.45</v>
      </c>
      <c r="R321" s="8">
        <f>IFERROR(Q321/Q444, "NA")</f>
        <v>1.8073528981539591E-2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-11651.45</v>
      </c>
      <c r="X321" s="8">
        <f>IFERROR(W321/W444, "NA")</f>
        <v>0.17103377269108175</v>
      </c>
      <c r="Y321" s="9"/>
      <c r="Z321" s="7">
        <v>11801.81</v>
      </c>
      <c r="AA321" s="8">
        <f>IFERROR(Z321/Z444, "NA")</f>
        <v>1.9146774704539193E-2</v>
      </c>
      <c r="AB321" s="9"/>
      <c r="AC321" s="10">
        <f t="shared" si="79"/>
        <v>150.35999999999876</v>
      </c>
      <c r="AD321" s="8">
        <f>IFERROR(AC321/AC444, "NA")</f>
        <v>5.316263963324944E-3</v>
      </c>
    </row>
    <row r="322" spans="1:30" ht="16.5" customHeight="1" x14ac:dyDescent="0.45">
      <c r="A322" s="6" t="s">
        <v>294</v>
      </c>
      <c r="B322" s="7">
        <v>352.16</v>
      </c>
      <c r="C322" s="8">
        <f>IFERROR(B322/B444, "NA")</f>
        <v>4.1643405634985663E-3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-352.16</v>
      </c>
      <c r="I322" s="8">
        <f>IFERROR(H322/H444, "NA")</f>
        <v>3.9154556876174355E-2</v>
      </c>
      <c r="J322" s="9"/>
      <c r="K322" s="7">
        <v>299.72000000000003</v>
      </c>
      <c r="L322" s="8">
        <f>IFERROR(K322/K444, "NA")</f>
        <v>3.6199728973068815E-3</v>
      </c>
      <c r="M322" s="9"/>
      <c r="N322" s="10">
        <f t="shared" si="77"/>
        <v>-52.44</v>
      </c>
      <c r="O322" s="8">
        <f>IFERROR(N322/N444, "NA")</f>
        <v>-2.9636997643282165E-2</v>
      </c>
      <c r="P322" s="9"/>
      <c r="Q322" s="7">
        <v>2741.41</v>
      </c>
      <c r="R322" s="8">
        <f>IFERROR(Q322/Q444, "NA")</f>
        <v>4.252428074212433E-3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-2741.41</v>
      </c>
      <c r="X322" s="8">
        <f>IFERROR(W322/W444, "NA")</f>
        <v>4.0241660462265072E-2</v>
      </c>
      <c r="Y322" s="9"/>
      <c r="Z322" s="7">
        <v>2617.0100000000002</v>
      </c>
      <c r="AA322" s="8">
        <f>IFERROR(Z322/Z444, "NA")</f>
        <v>4.2457301777885023E-3</v>
      </c>
      <c r="AB322" s="9"/>
      <c r="AC322" s="10">
        <f t="shared" si="79"/>
        <v>-124.39999999999964</v>
      </c>
      <c r="AD322" s="8">
        <f>IFERROR(AC322/AC444, "NA")</f>
        <v>-4.3983987565684125E-3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4394.8100000000004</v>
      </c>
      <c r="C324" s="15">
        <f>IFERROR(B324/B444, "NA")</f>
        <v>5.1969234302218129E-2</v>
      </c>
      <c r="D324" s="2"/>
      <c r="E324" s="14">
        <f>IFERROR(E297+E298+E299+E300+E301+E302+E303+E304+E305+E306+E307+E308+E309+E310+E311+E312+E313+E314+E315+E316+E317+E318+E319+E320+E321+E322+E323, "NA")</f>
        <v>2758.2799999999997</v>
      </c>
      <c r="F324" s="15">
        <f>IFERROR(E324/E444, "NA")</f>
        <v>2.9481493689965475E-2</v>
      </c>
      <c r="G324" s="2"/>
      <c r="H324" s="14">
        <f t="shared" si="76"/>
        <v>-1636.5300000000007</v>
      </c>
      <c r="I324" s="15">
        <f>IFERROR(H324/H444, "NA")</f>
        <v>0.1819559488998343</v>
      </c>
      <c r="J324" s="2"/>
      <c r="K324" s="14">
        <f>IFERROR(K297+K298+K299+K300+K301+K302+K303+K304+K305+K306+K307+K308+K309+K310+K311+K312+K313+K314+K315+K316+K317+K318+K319+K320+K321+K322+K323, "NA")</f>
        <v>4459.5700000000006</v>
      </c>
      <c r="L324" s="15">
        <f>IFERROR(K324/K444, "NA")</f>
        <v>5.3862012990934377E-2</v>
      </c>
      <c r="M324" s="2"/>
      <c r="N324" s="14">
        <f t="shared" si="77"/>
        <v>64.760000000000218</v>
      </c>
      <c r="O324" s="15">
        <f>IFERROR(N324/N444, "NA")</f>
        <v>3.6599770544983971E-2</v>
      </c>
      <c r="P324" s="2"/>
      <c r="Q324" s="14">
        <f>IFERROR(Q297+Q298+Q299+Q300+Q301+Q302+Q303+Q304+Q305+Q306+Q307+Q308+Q309+Q310+Q311+Q312+Q313+Q314+Q315+Q316+Q317+Q318+Q319+Q320+Q321+Q322+Q323, "NA")</f>
        <v>32645.98</v>
      </c>
      <c r="R324" s="15">
        <f>IFERROR(Q324/Q444, "NA")</f>
        <v>5.0639883075562428E-2</v>
      </c>
      <c r="S324" s="2"/>
      <c r="T324" s="14">
        <f>IFERROR(T297+T298+T299+T300+T301+T302+T303+T304+T305+T306+T307+T308+T309+T310+T311+T312+T313+T314+T315+T316+T317+T318+T319+T320+T321+T322+T323, "NA")</f>
        <v>20060.309999999998</v>
      </c>
      <c r="U324" s="15">
        <f>IFERROR(T324/T444, "NA")</f>
        <v>2.8143246969505955E-2</v>
      </c>
      <c r="V324" s="2"/>
      <c r="W324" s="14">
        <f t="shared" si="78"/>
        <v>-12585.670000000002</v>
      </c>
      <c r="X324" s="15">
        <f>IFERROR(W324/W444, "NA")</f>
        <v>0.18474735950847038</v>
      </c>
      <c r="Y324" s="2"/>
      <c r="Z324" s="14">
        <f>IFERROR(Z297+Z298+Z299+Z300+Z301+Z302+Z303+Z304+Z305+Z306+Z307+Z308+Z309+Z310+Z311+Z312+Z313+Z314+Z315+Z316+Z317+Z318+Z319+Z320+Z321+Z322+Z323, "NA")</f>
        <v>29346.260000000002</v>
      </c>
      <c r="AA324" s="15">
        <f>IFERROR(Z324/Z444, "NA")</f>
        <v>4.7610174086926534E-2</v>
      </c>
      <c r="AB324" s="2"/>
      <c r="AC324" s="14">
        <f t="shared" si="79"/>
        <v>-3299.7199999999975</v>
      </c>
      <c r="AD324" s="15">
        <f>IFERROR(AC324/AC444, "NA")</f>
        <v>-0.11666788058700929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26670.920000000009</v>
      </c>
      <c r="C325" s="15">
        <f>IFERROR(B325/B444, "NA")</f>
        <v>0.31538730696792716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19767.059999999998</v>
      </c>
      <c r="F325" s="15">
        <f>IFERROR(E325/E444, "NA")</f>
        <v>0.21127748258304774</v>
      </c>
      <c r="G325" s="2"/>
      <c r="H325" s="14">
        <f t="shared" si="76"/>
        <v>-6903.8600000000115</v>
      </c>
      <c r="I325" s="15">
        <f>IFERROR(H325/H444, "NA")</f>
        <v>0.76759875918657861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14559.75</v>
      </c>
      <c r="L325" s="15">
        <f>IFERROR(K325/K444, "NA")</f>
        <v>0.17585046173616664</v>
      </c>
      <c r="M325" s="2"/>
      <c r="N325" s="14">
        <f t="shared" si="77"/>
        <v>-12111.170000000009</v>
      </c>
      <c r="O325" s="15">
        <f>IFERROR(N325/N444, "NA")</f>
        <v>-6.8447505100570165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194134.46</v>
      </c>
      <c r="R325" s="15">
        <f>IFERROR(Q325/Q444, "NA")</f>
        <v>0.30113803767990582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149667.37</v>
      </c>
      <c r="U325" s="15">
        <f>IFERROR(T325/T444, "NA")</f>
        <v>0.20997311393425261</v>
      </c>
      <c r="V325" s="2"/>
      <c r="W325" s="14">
        <f t="shared" si="78"/>
        <v>-44467.09</v>
      </c>
      <c r="X325" s="15">
        <f>IFERROR(W325/W444, "NA")</f>
        <v>0.65274057420268494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132367.87</v>
      </c>
      <c r="AA325" s="15">
        <f>IFERROR(Z325/Z444, "NA")</f>
        <v>0.21474822802686472</v>
      </c>
      <c r="AB325" s="2"/>
      <c r="AC325" s="14">
        <f t="shared" si="79"/>
        <v>-61766.59</v>
      </c>
      <c r="AD325" s="15">
        <f>IFERROR(AC325/AC444, "NA")</f>
        <v>-2.1838753428735669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0.13530228186138549</v>
      </c>
      <c r="D329" s="9"/>
      <c r="E329" s="7">
        <v>10560</v>
      </c>
      <c r="F329" s="8">
        <f>IFERROR(E329/E444, "NA")</f>
        <v>0.11286909717868941</v>
      </c>
      <c r="G329" s="9"/>
      <c r="H329" s="10">
        <f t="shared" si="80"/>
        <v>-881.92000000000007</v>
      </c>
      <c r="I329" s="8">
        <f>IFERROR(H329/H444, "NA")</f>
        <v>9.8055391868002301E-2</v>
      </c>
      <c r="J329" s="9"/>
      <c r="K329" s="7">
        <v>4125.3</v>
      </c>
      <c r="L329" s="8">
        <f>IFERROR(K329/K444, "NA")</f>
        <v>4.9824750411250764E-2</v>
      </c>
      <c r="M329" s="9"/>
      <c r="N329" s="10">
        <f t="shared" si="81"/>
        <v>-7316.62</v>
      </c>
      <c r="O329" s="8">
        <f>IFERROR(N329/N444, "NA")</f>
        <v>-4.1350619698091373</v>
      </c>
      <c r="P329" s="9"/>
      <c r="Q329" s="7">
        <v>60947.29</v>
      </c>
      <c r="R329" s="8">
        <f>IFERROR(Q329/Q444, "NA")</f>
        <v>9.454038872082858E-2</v>
      </c>
      <c r="S329" s="9"/>
      <c r="T329" s="7">
        <v>60062</v>
      </c>
      <c r="U329" s="8">
        <f>IFERROR(T329/T444, "NA")</f>
        <v>8.4262890228638879E-2</v>
      </c>
      <c r="V329" s="9"/>
      <c r="W329" s="10">
        <f t="shared" si="82"/>
        <v>-885.29000000000087</v>
      </c>
      <c r="X329" s="8">
        <f>IFERROR(W329/W444, "NA")</f>
        <v>1.2995334368313636E-2</v>
      </c>
      <c r="Y329" s="9"/>
      <c r="Z329" s="7">
        <v>28877.1</v>
      </c>
      <c r="AA329" s="8">
        <f>IFERROR(Z329/Z444, "NA")</f>
        <v>4.6849028057598684E-2</v>
      </c>
      <c r="AB329" s="9"/>
      <c r="AC329" s="10">
        <f t="shared" si="83"/>
        <v>-32070.190000000002</v>
      </c>
      <c r="AD329" s="8">
        <f>IFERROR(AC329/AC444, "NA")</f>
        <v>-1.1339026030459258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1.2137676296546551E-2</v>
      </c>
      <c r="D330" s="9"/>
      <c r="E330" s="7">
        <v>1117</v>
      </c>
      <c r="F330" s="8">
        <f>IFERROR(E330/E444, "NA")</f>
        <v>1.1938899767859477E-2</v>
      </c>
      <c r="G330" s="9"/>
      <c r="H330" s="10">
        <f t="shared" si="80"/>
        <v>90.569999999999936</v>
      </c>
      <c r="I330" s="8">
        <f>IFERROR(H330/H444, "NA")</f>
        <v>-1.0069934734992927E-2</v>
      </c>
      <c r="J330" s="9"/>
      <c r="K330" s="7">
        <v>1117.48</v>
      </c>
      <c r="L330" s="8">
        <f>IFERROR(K330/K444, "NA")</f>
        <v>1.3496754681978159E-2</v>
      </c>
      <c r="M330" s="9"/>
      <c r="N330" s="10">
        <f t="shared" si="81"/>
        <v>91.049999999999955</v>
      </c>
      <c r="O330" s="8">
        <f>IFERROR(N330/N444, "NA")</f>
        <v>5.1457830576293669E-2</v>
      </c>
      <c r="P330" s="9"/>
      <c r="Q330" s="7">
        <v>4975.3100000000004</v>
      </c>
      <c r="R330" s="8">
        <f>IFERROR(Q330/Q444, "NA")</f>
        <v>7.7176153592165573E-3</v>
      </c>
      <c r="S330" s="9"/>
      <c r="T330" s="7">
        <v>7819</v>
      </c>
      <c r="U330" s="8">
        <f>IFERROR(T330/T444, "NA")</f>
        <v>1.0969523803698302E-2</v>
      </c>
      <c r="V330" s="9"/>
      <c r="W330" s="10">
        <f t="shared" si="82"/>
        <v>2843.6899999999996</v>
      </c>
      <c r="X330" s="8">
        <f>IFERROR(W330/W444, "NA")</f>
        <v>-4.1743047351522955E-2</v>
      </c>
      <c r="Y330" s="9"/>
      <c r="Z330" s="7">
        <v>6849.64</v>
      </c>
      <c r="AA330" s="8">
        <f>IFERROR(Z330/Z444, "NA")</f>
        <v>1.1112576281705928E-2</v>
      </c>
      <c r="AB330" s="9"/>
      <c r="AC330" s="10">
        <f t="shared" si="83"/>
        <v>1874.33</v>
      </c>
      <c r="AD330" s="8">
        <f>IFERROR(AC330/AC444, "NA")</f>
        <v>6.6270504352081164E-2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1.0171510617613944E-2</v>
      </c>
      <c r="D333" s="9"/>
      <c r="E333" s="7">
        <v>726</v>
      </c>
      <c r="F333" s="8">
        <f>IFERROR(E333/E444, "NA")</f>
        <v>7.7597504310348972E-3</v>
      </c>
      <c r="G333" s="9"/>
      <c r="H333" s="10">
        <f t="shared" si="80"/>
        <v>-134.15999999999997</v>
      </c>
      <c r="I333" s="8">
        <f>IFERROR(H333/H444, "NA")</f>
        <v>1.4916445225203176E-2</v>
      </c>
      <c r="J333" s="9"/>
      <c r="K333" s="7">
        <v>726.35</v>
      </c>
      <c r="L333" s="8">
        <f>IFERROR(K333/K444, "NA")</f>
        <v>8.7727456090980031E-3</v>
      </c>
      <c r="M333" s="9"/>
      <c r="N333" s="10">
        <f t="shared" si="81"/>
        <v>-133.80999999999995</v>
      </c>
      <c r="O333" s="8">
        <f>IFERROR(N333/N444, "NA")</f>
        <v>-7.5624078082524498E-2</v>
      </c>
      <c r="P333" s="9"/>
      <c r="Q333" s="7">
        <v>7310.15</v>
      </c>
      <c r="R333" s="8">
        <f>IFERROR(Q333/Q444, "NA")</f>
        <v>1.1339379037321675E-2</v>
      </c>
      <c r="S333" s="9"/>
      <c r="T333" s="7">
        <v>5082</v>
      </c>
      <c r="U333" s="8">
        <f>IFERROR(T333/T444, "NA")</f>
        <v>7.1296994462712333E-3</v>
      </c>
      <c r="V333" s="9"/>
      <c r="W333" s="10">
        <f t="shared" si="82"/>
        <v>-2228.1499999999996</v>
      </c>
      <c r="X333" s="8">
        <f>IFERROR(W333/W444, "NA")</f>
        <v>3.2707422734649653E-2</v>
      </c>
      <c r="Y333" s="9"/>
      <c r="Z333" s="7">
        <v>4875.12</v>
      </c>
      <c r="AA333" s="8">
        <f>IFERROR(Z333/Z444, "NA")</f>
        <v>7.9091956485990798E-3</v>
      </c>
      <c r="AB333" s="9"/>
      <c r="AC333" s="10">
        <f t="shared" si="83"/>
        <v>-2435.0299999999997</v>
      </c>
      <c r="AD333" s="8">
        <f>IFERROR(AC333/AC444, "NA")</f>
        <v>-8.6095119969508138E-2</v>
      </c>
    </row>
    <row r="334" spans="1:30" ht="16.5" customHeight="1" x14ac:dyDescent="0.45">
      <c r="A334" s="6" t="s">
        <v>305</v>
      </c>
      <c r="B334" s="7">
        <v>-881.03</v>
      </c>
      <c r="C334" s="8">
        <f>IFERROR(B334/B444, "NA")</f>
        <v>-1.0418301245624552E-2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881.03</v>
      </c>
      <c r="I334" s="8">
        <f>IFERROR(H334/H444, "NA")</f>
        <v>-9.7956438109427224E-2</v>
      </c>
      <c r="J334" s="9"/>
      <c r="K334" s="7">
        <v>-317.64999999999998</v>
      </c>
      <c r="L334" s="8">
        <f>IFERROR(K334/K444, "NA")</f>
        <v>-3.8365287295793766E-3</v>
      </c>
      <c r="M334" s="9"/>
      <c r="N334" s="10">
        <f t="shared" si="81"/>
        <v>563.38</v>
      </c>
      <c r="O334" s="8">
        <f>IFERROR(N334/N444, "NA")</f>
        <v>0.3183999186169395</v>
      </c>
      <c r="P334" s="9"/>
      <c r="Q334" s="7">
        <v>-881.03</v>
      </c>
      <c r="R334" s="8">
        <f>IFERROR(Q334/Q444, "NA")</f>
        <v>-1.3666385933601248E-3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881.03</v>
      </c>
      <c r="X334" s="8">
        <f>IFERROR(W334/W444, "NA")</f>
        <v>-1.2932801046567056E-2</v>
      </c>
      <c r="Y334" s="9"/>
      <c r="Z334" s="7">
        <v>-317.64999999999998</v>
      </c>
      <c r="AA334" s="8">
        <f>IFERROR(Z334/Z444, "NA")</f>
        <v>-5.1534239111601307E-4</v>
      </c>
      <c r="AB334" s="9"/>
      <c r="AC334" s="10">
        <f t="shared" si="83"/>
        <v>563.38</v>
      </c>
      <c r="AD334" s="8">
        <f>IFERROR(AC334/AC444, "NA")</f>
        <v>1.9919372117970416E-2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2903.81</v>
      </c>
      <c r="F337" s="8">
        <f>IFERROR(E337/E444, "NA")</f>
        <v>3.1036970935459287E-2</v>
      </c>
      <c r="G337" s="9"/>
      <c r="H337" s="10">
        <f t="shared" ref="H337:H344" si="84">IFERROR(-(B337-E337), "NA")</f>
        <v>2903.81</v>
      </c>
      <c r="I337" s="8">
        <f>IFERROR(H337/H444, "NA")</f>
        <v>-0.32285720639085602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13737.29</v>
      </c>
      <c r="U337" s="8">
        <f>IFERROR(T337/T444, "NA")</f>
        <v>1.9272481091355244E-2</v>
      </c>
      <c r="V337" s="9"/>
      <c r="W337" s="10">
        <f t="shared" ref="W337:W344" si="86">IFERROR(-(Q337-T337), "NA")</f>
        <v>13737.29</v>
      </c>
      <c r="X337" s="8">
        <f>IFERROR(W337/W444, "NA")</f>
        <v>-0.20165220082062493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1574</v>
      </c>
      <c r="C338" s="8">
        <f>IFERROR(B338/B444, "NA")</f>
        <v>1.8612767057436232E-2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-1574</v>
      </c>
      <c r="I338" s="8">
        <f>IFERROR(H338/H444, "NA")</f>
        <v>0.17500361347994786</v>
      </c>
      <c r="J338" s="9"/>
      <c r="K338" s="7">
        <v>1725.69</v>
      </c>
      <c r="L338" s="8">
        <f>IFERROR(K338/K444, "NA")</f>
        <v>2.0842623212176406E-2</v>
      </c>
      <c r="M338" s="9"/>
      <c r="N338" s="10">
        <f t="shared" si="85"/>
        <v>151.69000000000005</v>
      </c>
      <c r="O338" s="8">
        <f>IFERROR(N338/N444, "NA")</f>
        <v>8.5729141352202012E-2</v>
      </c>
      <c r="P338" s="9"/>
      <c r="Q338" s="7">
        <v>7814.03</v>
      </c>
      <c r="R338" s="8">
        <f>IFERROR(Q338/Q444, "NA")</f>
        <v>1.2120989032920349E-2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-7814.03</v>
      </c>
      <c r="X338" s="8">
        <f>IFERROR(W338/W444, "NA")</f>
        <v>0.11470358031157439</v>
      </c>
      <c r="Y338" s="9"/>
      <c r="Z338" s="7">
        <v>7718.22</v>
      </c>
      <c r="AA338" s="8">
        <f>IFERROR(Z338/Z444, "NA")</f>
        <v>1.2521725011677743E-2</v>
      </c>
      <c r="AB338" s="9"/>
      <c r="AC338" s="10">
        <f t="shared" si="87"/>
        <v>-95.809999999999491</v>
      </c>
      <c r="AD338" s="8">
        <f>IFERROR(AC338/AC444, "NA")</f>
        <v>-3.3875448944278024E-3</v>
      </c>
    </row>
    <row r="339" spans="1:30" ht="16.5" customHeight="1" x14ac:dyDescent="0.45">
      <c r="A339" s="12" t="s">
        <v>309</v>
      </c>
      <c r="B339" s="7">
        <v>270.27</v>
      </c>
      <c r="C339" s="8">
        <f>IFERROR(B339/B444, "NA")</f>
        <v>3.1959800207200062E-3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-270.27</v>
      </c>
      <c r="I339" s="8">
        <f>IFERROR(H339/H444, "NA")</f>
        <v>3.004969924728431E-2</v>
      </c>
      <c r="J339" s="9"/>
      <c r="K339" s="7">
        <v>269.75</v>
      </c>
      <c r="L339" s="8">
        <f>IFERROR(K339/K444, "NA")</f>
        <v>3.2579997632741602E-3</v>
      </c>
      <c r="M339" s="9"/>
      <c r="N339" s="10">
        <f t="shared" si="85"/>
        <v>-0.51999999999998181</v>
      </c>
      <c r="O339" s="8">
        <f>IFERROR(N339/N444, "NA")</f>
        <v>-2.9388327182506077E-4</v>
      </c>
      <c r="P339" s="9"/>
      <c r="Q339" s="7">
        <v>3444.48</v>
      </c>
      <c r="R339" s="8">
        <f>IFERROR(Q339/Q444, "NA")</f>
        <v>5.3430181742472821E-3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-3444.48</v>
      </c>
      <c r="X339" s="8">
        <f>IFERROR(W339/W444, "NA")</f>
        <v>5.0562154011644662E-2</v>
      </c>
      <c r="Y339" s="9"/>
      <c r="Z339" s="7">
        <v>2869.43</v>
      </c>
      <c r="AA339" s="8">
        <f>IFERROR(Z339/Z444, "NA")</f>
        <v>4.6552460800882147E-3</v>
      </c>
      <c r="AB339" s="9"/>
      <c r="AC339" s="10">
        <f t="shared" si="87"/>
        <v>-575.05000000000018</v>
      </c>
      <c r="AD339" s="8">
        <f>IFERROR(AC339/AC444, "NA")</f>
        <v>-2.0331987178172622E-2</v>
      </c>
    </row>
    <row r="340" spans="1:30" ht="16.5" customHeight="1" x14ac:dyDescent="0.45">
      <c r="A340" s="12" t="s">
        <v>310</v>
      </c>
      <c r="B340" s="7">
        <v>475</v>
      </c>
      <c r="C340" s="8">
        <f>IFERROR(B340/B444, "NA")</f>
        <v>5.6169405033559151E-3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-475</v>
      </c>
      <c r="I340" s="8">
        <f>IFERROR(H340/H444, "NA")</f>
        <v>5.2812399239501415E-2</v>
      </c>
      <c r="J340" s="9"/>
      <c r="K340" s="7">
        <v>555.07000000000005</v>
      </c>
      <c r="L340" s="8">
        <f>IFERROR(K340/K444, "NA")</f>
        <v>6.7040516352199746E-3</v>
      </c>
      <c r="M340" s="9"/>
      <c r="N340" s="10">
        <f t="shared" si="85"/>
        <v>80.07000000000005</v>
      </c>
      <c r="O340" s="8">
        <f>IFERROR(N340/N444, "NA")</f>
        <v>4.5252372259679721E-2</v>
      </c>
      <c r="P340" s="9"/>
      <c r="Q340" s="7">
        <v>2763.72</v>
      </c>
      <c r="R340" s="8">
        <f>IFERROR(Q340/Q444, "NA")</f>
        <v>4.2870349627609095E-3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-2763.72</v>
      </c>
      <c r="X340" s="8">
        <f>IFERROR(W340/W444, "NA")</f>
        <v>4.0569153046341559E-2</v>
      </c>
      <c r="Y340" s="9"/>
      <c r="Z340" s="7">
        <v>2357.27</v>
      </c>
      <c r="AA340" s="8">
        <f>IFERROR(Z340/Z444, "NA")</f>
        <v>3.8243386063467472E-3</v>
      </c>
      <c r="AB340" s="9"/>
      <c r="AC340" s="10">
        <f t="shared" si="87"/>
        <v>-406.44999999999982</v>
      </c>
      <c r="AD340" s="8">
        <f>IFERROR(AC340/AC444, "NA")</f>
        <v>-1.4370813300701253E-2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2319.27</v>
      </c>
      <c r="C342" s="15">
        <f>IFERROR(B342/B444, "NA")</f>
        <v>2.7425687581512152E-2</v>
      </c>
      <c r="D342" s="2"/>
      <c r="E342" s="14">
        <f>IFERROR(E337+E338+E339+E340+E341, "NA")</f>
        <v>2903.81</v>
      </c>
      <c r="F342" s="15">
        <f>IFERROR(E342/E444, "NA")</f>
        <v>3.1036970935459287E-2</v>
      </c>
      <c r="G342" s="2"/>
      <c r="H342" s="14">
        <f t="shared" si="84"/>
        <v>584.54</v>
      </c>
      <c r="I342" s="15">
        <f>IFERROR(H342/H444, "NA")</f>
        <v>-6.4991494424122428E-2</v>
      </c>
      <c r="J342" s="2"/>
      <c r="K342" s="14">
        <f>IFERROR(K337+K338+K339+K340+K341, "NA")</f>
        <v>2550.5100000000002</v>
      </c>
      <c r="L342" s="15">
        <f>IFERROR(K342/K444, "NA")</f>
        <v>3.0804674610670543E-2</v>
      </c>
      <c r="M342" s="2"/>
      <c r="N342" s="14">
        <f t="shared" si="85"/>
        <v>231.24000000000024</v>
      </c>
      <c r="O342" s="15">
        <f>IFERROR(N342/N444, "NA")</f>
        <v>0.13068763034005673</v>
      </c>
      <c r="P342" s="2"/>
      <c r="Q342" s="14">
        <f>IFERROR(Q337+Q338+Q339+Q340+Q341, "NA")</f>
        <v>14022.23</v>
      </c>
      <c r="R342" s="15">
        <f>IFERROR(Q342/Q444, "NA")</f>
        <v>2.1751042169928542E-2</v>
      </c>
      <c r="S342" s="2"/>
      <c r="T342" s="14">
        <f>IFERROR(T337+T338+T339+T340+T341, "NA")</f>
        <v>13737.29</v>
      </c>
      <c r="U342" s="15">
        <f>IFERROR(T342/T444, "NA")</f>
        <v>1.9272481091355244E-2</v>
      </c>
      <c r="V342" s="2"/>
      <c r="W342" s="14">
        <f t="shared" si="86"/>
        <v>-284.93999999999869</v>
      </c>
      <c r="X342" s="15">
        <f>IFERROR(W342/W444, "NA")</f>
        <v>4.1826865489356779E-3</v>
      </c>
      <c r="Y342" s="2"/>
      <c r="Z342" s="14">
        <f>IFERROR(Z337+Z338+Z339+Z340+Z341, "NA")</f>
        <v>12944.92</v>
      </c>
      <c r="AA342" s="15">
        <f>IFERROR(Z342/Z444, "NA")</f>
        <v>2.1001309698112706E-2</v>
      </c>
      <c r="AB342" s="2"/>
      <c r="AC342" s="14">
        <f t="shared" si="87"/>
        <v>-1077.3099999999995</v>
      </c>
      <c r="AD342" s="15">
        <f>IFERROR(AC342/AC444, "NA")</f>
        <v>-3.8090345373301679E-2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14766.75</v>
      </c>
      <c r="C343" s="15">
        <f>IFERROR(B343/B444, "NA")</f>
        <v>0.1746188551114336</v>
      </c>
      <c r="D343" s="2"/>
      <c r="E343" s="14">
        <f>IFERROR(E328+E329+E330+E331+E332+E333+E334+E335+E337+E338+E339+E340+E341, "NA")</f>
        <v>15306.81</v>
      </c>
      <c r="F343" s="15">
        <f>IFERROR(E343/E444, "NA")</f>
        <v>0.16360471831304307</v>
      </c>
      <c r="G343" s="2"/>
      <c r="H343" s="14">
        <f t="shared" si="84"/>
        <v>540.05999999999949</v>
      </c>
      <c r="I343" s="15">
        <f>IFERROR(H343/H444, "NA")</f>
        <v>-6.0046030175337071E-2</v>
      </c>
      <c r="J343" s="2"/>
      <c r="K343" s="14">
        <f>IFERROR(K328+K329+K330+K331+K332+K333+K334+K335+K337+K338+K339+K340+K341, "NA")</f>
        <v>8201.9900000000016</v>
      </c>
      <c r="L343" s="15">
        <f>IFERROR(K343/K444, "NA")</f>
        <v>9.9062396583418103E-2</v>
      </c>
      <c r="M343" s="2"/>
      <c r="N343" s="14">
        <f t="shared" si="85"/>
        <v>-6564.7599999999984</v>
      </c>
      <c r="O343" s="15">
        <f>IFERROR(N343/N444, "NA")</f>
        <v>-3.7101406683583713</v>
      </c>
      <c r="P343" s="2"/>
      <c r="Q343" s="14">
        <f>IFERROR(Q328+Q329+Q330+Q331+Q332+Q333+Q334+Q335+Q337+Q338+Q339+Q340+Q341, "NA")</f>
        <v>86373.95</v>
      </c>
      <c r="R343" s="15">
        <f>IFERROR(Q343/Q444, "NA")</f>
        <v>0.13398178669393523</v>
      </c>
      <c r="S343" s="2"/>
      <c r="T343" s="14">
        <f>IFERROR(T328+T329+T330+T331+T332+T333+T334+T335+T337+T338+T339+T340+T341, "NA")</f>
        <v>86700.290000000008</v>
      </c>
      <c r="U343" s="15">
        <f>IFERROR(T343/T444, "NA")</f>
        <v>0.12163459456996367</v>
      </c>
      <c r="V343" s="2"/>
      <c r="W343" s="14">
        <f t="shared" si="86"/>
        <v>326.34000000001106</v>
      </c>
      <c r="X343" s="15">
        <f>IFERROR(W343/W444, "NA")</f>
        <v>-4.7904047461912042E-3</v>
      </c>
      <c r="Y343" s="2"/>
      <c r="Z343" s="14">
        <f>IFERROR(Z328+Z329+Z330+Z331+Z332+Z333+Z334+Z335+Z337+Z338+Z339+Z340+Z341, "NA")</f>
        <v>53229.13</v>
      </c>
      <c r="AA343" s="15">
        <f>IFERROR(Z343/Z444, "NA")</f>
        <v>8.6356767294900383E-2</v>
      </c>
      <c r="AB343" s="2"/>
      <c r="AC343" s="14">
        <f t="shared" si="87"/>
        <v>-33144.82</v>
      </c>
      <c r="AD343" s="15">
        <f>IFERROR(AC343/AC444, "NA")</f>
        <v>-1.1718981919186839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14766.75</v>
      </c>
      <c r="C344" s="15">
        <f>IFERROR(B344/B444, "NA")</f>
        <v>0.1746188551114336</v>
      </c>
      <c r="D344" s="2"/>
      <c r="E344" s="14">
        <f>IFERROR(E328+E329+E330+E331+E332+E333+E334+E335+E337+E338+E339+E340+E341, "NA")</f>
        <v>15306.81</v>
      </c>
      <c r="F344" s="15">
        <f>IFERROR(E344/E444, "NA")</f>
        <v>0.16360471831304307</v>
      </c>
      <c r="G344" s="2"/>
      <c r="H344" s="14">
        <f t="shared" si="84"/>
        <v>540.05999999999949</v>
      </c>
      <c r="I344" s="15">
        <f>IFERROR(H344/H444, "NA")</f>
        <v>-6.0046030175337071E-2</v>
      </c>
      <c r="J344" s="2"/>
      <c r="K344" s="14">
        <f>IFERROR(K328+K329+K330+K331+K332+K333+K334+K335+K337+K338+K339+K340+K341, "NA")</f>
        <v>8201.9900000000016</v>
      </c>
      <c r="L344" s="15">
        <f>IFERROR(K344/K444, "NA")</f>
        <v>9.9062396583418103E-2</v>
      </c>
      <c r="M344" s="2"/>
      <c r="N344" s="14">
        <f t="shared" si="85"/>
        <v>-6564.7599999999984</v>
      </c>
      <c r="O344" s="15">
        <f>IFERROR(N344/N444, "NA")</f>
        <v>-3.7101406683583713</v>
      </c>
      <c r="P344" s="2"/>
      <c r="Q344" s="14">
        <f>IFERROR(Q328+Q329+Q330+Q331+Q332+Q333+Q334+Q335+Q337+Q338+Q339+Q340+Q341, "NA")</f>
        <v>86373.95</v>
      </c>
      <c r="R344" s="15">
        <f>IFERROR(Q344/Q444, "NA")</f>
        <v>0.13398178669393523</v>
      </c>
      <c r="S344" s="2"/>
      <c r="T344" s="14">
        <f>IFERROR(T328+T329+T330+T331+T332+T333+T334+T335+T337+T338+T339+T340+T341, "NA")</f>
        <v>86700.290000000008</v>
      </c>
      <c r="U344" s="15">
        <f>IFERROR(T344/T444, "NA")</f>
        <v>0.12163459456996367</v>
      </c>
      <c r="V344" s="2"/>
      <c r="W344" s="14">
        <f t="shared" si="86"/>
        <v>326.34000000001106</v>
      </c>
      <c r="X344" s="15">
        <f>IFERROR(W344/W444, "NA")</f>
        <v>-4.7904047461912042E-3</v>
      </c>
      <c r="Y344" s="2"/>
      <c r="Z344" s="14">
        <f>IFERROR(Z328+Z329+Z330+Z331+Z332+Z333+Z334+Z335+Z337+Z338+Z339+Z340+Z341, "NA")</f>
        <v>53229.13</v>
      </c>
      <c r="AA344" s="15">
        <f>IFERROR(Z344/Z444, "NA")</f>
        <v>8.6356767294900383E-2</v>
      </c>
      <c r="AB344" s="2"/>
      <c r="AC344" s="14">
        <f t="shared" si="87"/>
        <v>-33144.82</v>
      </c>
      <c r="AD344" s="15">
        <f>IFERROR(AC344/AC444, "NA")</f>
        <v>-1.1718981919186839</v>
      </c>
    </row>
    <row r="345" spans="1:30" ht="16.5" customHeight="1" x14ac:dyDescent="0.45">
      <c r="A345" s="22" t="s">
        <v>315</v>
      </c>
      <c r="B345" s="23">
        <f>IFERROR(B198-B325-B344, "NA")</f>
        <v>-4317.829999999969</v>
      </c>
      <c r="C345" s="24">
        <f>IFERROR(B345/B444, "NA")</f>
        <v>-5.1058935186537042E-2</v>
      </c>
      <c r="D345" s="25"/>
      <c r="E345" s="23">
        <f>IFERROR(E198-E325-E344, "NA")</f>
        <v>9491.1899999999932</v>
      </c>
      <c r="F345" s="24">
        <f>IFERROR(E345/E444, "NA")</f>
        <v>0.10144526955032239</v>
      </c>
      <c r="G345" s="25"/>
      <c r="H345" s="23">
        <f>IFERROR(B345-E345, "NA")</f>
        <v>-13809.019999999962</v>
      </c>
      <c r="I345" s="24">
        <f>IFERROR(H345/H444, "NA")</f>
        <v>1.5353420575710692</v>
      </c>
      <c r="J345" s="25"/>
      <c r="K345" s="23">
        <f>IFERROR(K198-K325-K344, "NA")</f>
        <v>13171.130000000008</v>
      </c>
      <c r="L345" s="24">
        <f>IFERROR(K345/K444, "NA")</f>
        <v>0.1590789190808275</v>
      </c>
      <c r="M345" s="25"/>
      <c r="N345" s="23">
        <f>IFERROR(B345-K345, "NA")</f>
        <v>-17488.959999999977</v>
      </c>
      <c r="O345" s="24">
        <f>IFERROR(N345/N444, "NA")</f>
        <v>-9.8840630492649773</v>
      </c>
      <c r="P345" s="25"/>
      <c r="Q345" s="23">
        <f>IFERROR(Q198-Q325-Q344, "NA")</f>
        <v>-15428.969999999754</v>
      </c>
      <c r="R345" s="24">
        <f>IFERROR(Q345/Q444, "NA")</f>
        <v>-2.3933153079685399E-2</v>
      </c>
      <c r="S345" s="25"/>
      <c r="T345" s="23">
        <f>IFERROR(T198-T325-T344, "NA")</f>
        <v>92074.399999999936</v>
      </c>
      <c r="U345" s="24">
        <f>IFERROR(T345/T444, "NA")</f>
        <v>0.12917410442655561</v>
      </c>
      <c r="V345" s="25"/>
      <c r="W345" s="23">
        <f>IFERROR(Q345-T345, "NA")</f>
        <v>-107503.36999999969</v>
      </c>
      <c r="X345" s="24">
        <f>IFERROR(W345/W444, "NA")</f>
        <v>1.5780616960211136</v>
      </c>
      <c r="Y345" s="25"/>
      <c r="Z345" s="23">
        <f>IFERROR(Z198-Z325-Z344, "NA")</f>
        <v>73051.109999999957</v>
      </c>
      <c r="AA345" s="24">
        <f>IFERROR(Z345/Z444, "NA")</f>
        <v>0.11851513836322643</v>
      </c>
      <c r="AB345" s="25"/>
      <c r="AC345" s="23">
        <f>IFERROR(Q345-Z345, "NA")</f>
        <v>-88480.079999999711</v>
      </c>
      <c r="AD345" s="24">
        <f>IFERROR(AC345/AC444, "NA")</f>
        <v>-3.1283816226131314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-4317.829999999969</v>
      </c>
      <c r="C404" s="24">
        <f>IFERROR(B404/B444, "NA")</f>
        <v>-5.1058935186537042E-2</v>
      </c>
      <c r="D404" s="25"/>
      <c r="E404" s="23">
        <f>IFERROR(E345-E403, "NA")</f>
        <v>9491.1899999999932</v>
      </c>
      <c r="F404" s="24">
        <f>IFERROR(E404/E444, "NA")</f>
        <v>0.10144526955032239</v>
      </c>
      <c r="G404" s="25"/>
      <c r="H404" s="23">
        <f>IFERROR(B404-E404, "NA")</f>
        <v>-13809.019999999962</v>
      </c>
      <c r="I404" s="24">
        <f>IFERROR(H404/H444, "NA")</f>
        <v>1.5353420575710692</v>
      </c>
      <c r="J404" s="25"/>
      <c r="K404" s="23">
        <f>IFERROR(K345-K403, "NA")</f>
        <v>13171.130000000008</v>
      </c>
      <c r="L404" s="24">
        <f>IFERROR(K404/K444, "NA")</f>
        <v>0.1590789190808275</v>
      </c>
      <c r="M404" s="25"/>
      <c r="N404" s="23">
        <f>IFERROR(B404-K404, "NA")</f>
        <v>-17488.959999999977</v>
      </c>
      <c r="O404" s="24">
        <f>IFERROR(N404/N444, "NA")</f>
        <v>-9.8840630492649773</v>
      </c>
      <c r="P404" s="25"/>
      <c r="Q404" s="23">
        <f>IFERROR(Q345-Q403, "NA")</f>
        <v>-15428.969999999754</v>
      </c>
      <c r="R404" s="24">
        <f>IFERROR(Q404/Q444, "NA")</f>
        <v>-2.3933153079685399E-2</v>
      </c>
      <c r="S404" s="25"/>
      <c r="T404" s="23">
        <f>IFERROR(T345-T403, "NA")</f>
        <v>92074.399999999936</v>
      </c>
      <c r="U404" s="24">
        <f>IFERROR(T404/T444, "NA")</f>
        <v>0.12917410442655561</v>
      </c>
      <c r="V404" s="25"/>
      <c r="W404" s="23">
        <f>IFERROR(Q404-T404, "NA")</f>
        <v>-107503.36999999969</v>
      </c>
      <c r="X404" s="24">
        <f>IFERROR(W404/W444, "NA")</f>
        <v>1.5780616960211136</v>
      </c>
      <c r="Y404" s="25"/>
      <c r="Z404" s="23">
        <f>IFERROR(Z345-Z403, "NA")</f>
        <v>73051.109999999957</v>
      </c>
      <c r="AA404" s="24">
        <f>IFERROR(Z404/Z444, "NA")</f>
        <v>0.11851513836322643</v>
      </c>
      <c r="AB404" s="25"/>
      <c r="AC404" s="23">
        <f>IFERROR(Q404-Z404, "NA")</f>
        <v>-88480.079999999711</v>
      </c>
      <c r="AD404" s="24">
        <f>IFERROR(AC404/AC444, "NA")</f>
        <v>-3.1283816226131314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462</v>
      </c>
      <c r="L408" s="8">
        <f>IFERROR(K408/K444, "NA")</f>
        <v>5.5799662303342426E-3</v>
      </c>
      <c r="M408" s="9"/>
      <c r="N408" s="10">
        <f t="shared" si="101"/>
        <v>462</v>
      </c>
      <c r="O408" s="8">
        <f>IFERROR(N408/N444, "NA")</f>
        <v>0.26110398381381311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1110</v>
      </c>
      <c r="AA408" s="8">
        <f>IFERROR(Z408/Z444, "NA")</f>
        <v>1.8008186813750183E-3</v>
      </c>
      <c r="AB408" s="9"/>
      <c r="AC408" s="10">
        <f t="shared" si="103"/>
        <v>1110</v>
      </c>
      <c r="AD408" s="8">
        <f>IFERROR(AC408/AC444, "NA")</f>
        <v>3.9246162538512479E-2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2891.92</v>
      </c>
      <c r="C410" s="8">
        <f>IFERROR(B410/B444, "NA")</f>
        <v>3.4197352800979026E-2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-2891.92</v>
      </c>
      <c r="I410" s="8">
        <f>IFERROR(H410/H444, "NA")</f>
        <v>0.32153522864989253</v>
      </c>
      <c r="J410" s="9"/>
      <c r="K410" s="7">
        <v>3009.38</v>
      </c>
      <c r="L410" s="8">
        <f>IFERROR(K410/K444, "NA")</f>
        <v>3.6346837173686718E-2</v>
      </c>
      <c r="M410" s="9"/>
      <c r="N410" s="10">
        <f t="shared" si="101"/>
        <v>117.46000000000004</v>
      </c>
      <c r="O410" s="8">
        <f>IFERROR(N410/N444, "NA")</f>
        <v>6.6383709824178572E-2</v>
      </c>
      <c r="P410" s="9"/>
      <c r="Q410" s="7">
        <v>20686.02</v>
      </c>
      <c r="R410" s="8">
        <f>IFERROR(Q410/Q444, "NA")</f>
        <v>3.2087798684516312E-2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-20686.02</v>
      </c>
      <c r="X410" s="8">
        <f>IFERROR(W410/W444, "NA")</f>
        <v>0.30365388364222229</v>
      </c>
      <c r="Y410" s="9"/>
      <c r="Z410" s="7">
        <v>45047.99</v>
      </c>
      <c r="AA410" s="8">
        <f>IFERROR(Z410/Z444, "NA")</f>
        <v>7.308401977513064E-2</v>
      </c>
      <c r="AB410" s="9"/>
      <c r="AC410" s="10">
        <f t="shared" si="103"/>
        <v>24361.969999999998</v>
      </c>
      <c r="AD410" s="8">
        <f>IFERROR(AC410/AC444, "NA")</f>
        <v>0.86136381475528356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-29.57</v>
      </c>
      <c r="C416" s="8">
        <f>IFERROR(B416/B444, "NA")</f>
        <v>-3.4966932775628299E-4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29.57</v>
      </c>
      <c r="I416" s="8">
        <f>IFERROR(H416/H444, "NA")</f>
        <v>-3.2877108326569617E-3</v>
      </c>
      <c r="J416" s="9"/>
      <c r="K416" s="7">
        <v>-31.74</v>
      </c>
      <c r="L416" s="8">
        <f>IFERROR(K416/K444, "NA")</f>
        <v>-3.8335092673335251E-4</v>
      </c>
      <c r="M416" s="9"/>
      <c r="N416" s="10">
        <f t="shared" si="101"/>
        <v>-2.1699999999999982</v>
      </c>
      <c r="O416" s="8">
        <f>IFERROR(N416/N444, "NA")</f>
        <v>-1.2263974997315454E-3</v>
      </c>
      <c r="P416" s="9"/>
      <c r="Q416" s="7">
        <v>-168.49</v>
      </c>
      <c r="R416" s="8">
        <f>IFERROR(Q416/Q444, "NA")</f>
        <v>-2.6135879209022105E-4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168.49</v>
      </c>
      <c r="X416" s="8">
        <f>IFERROR(W416/W444, "NA")</f>
        <v>-2.4732956293611837E-3</v>
      </c>
      <c r="Y416" s="9"/>
      <c r="Z416" s="7">
        <v>-213.36</v>
      </c>
      <c r="AA416" s="8">
        <f>IFERROR(Z416/Z444, "NA")</f>
        <v>-3.4614655302538192E-4</v>
      </c>
      <c r="AB416" s="9"/>
      <c r="AC416" s="10">
        <f t="shared" si="103"/>
        <v>-44.870000000000005</v>
      </c>
      <c r="AD416" s="8">
        <f>IFERROR(AC416/AC444, "NA")</f>
        <v>-1.5864642460387884E-3</v>
      </c>
    </row>
    <row r="417" spans="1:30" ht="16.5" customHeight="1" x14ac:dyDescent="0.45">
      <c r="A417" s="6" t="s">
        <v>382</v>
      </c>
      <c r="B417" s="7">
        <v>62.46</v>
      </c>
      <c r="C417" s="8">
        <f>IFERROR(B417/B444, "NA")</f>
        <v>7.3859811334654833E-4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-62.46</v>
      </c>
      <c r="I417" s="8">
        <f>IFERROR(H417/H444, "NA")</f>
        <v>6.9445525399984389E-3</v>
      </c>
      <c r="J417" s="9"/>
      <c r="K417" s="7">
        <v>-33.43</v>
      </c>
      <c r="L417" s="8">
        <f>IFERROR(K417/K444, "NA")</f>
        <v>-4.0376249151531109E-4</v>
      </c>
      <c r="M417" s="9"/>
      <c r="N417" s="10">
        <f t="shared" si="101"/>
        <v>-95.89</v>
      </c>
      <c r="O417" s="8">
        <f>IFERROR(N417/N444, "NA")</f>
        <v>-5.4193205644819352E-2</v>
      </c>
      <c r="P417" s="9"/>
      <c r="Q417" s="7">
        <v>74.63</v>
      </c>
      <c r="R417" s="8">
        <f>IFERROR(Q417/Q444, "NA")</f>
        <v>1.1576477330223274E-4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-74.63</v>
      </c>
      <c r="X417" s="8">
        <f>IFERROR(W417/W444, "NA")</f>
        <v>1.0955074652455642E-3</v>
      </c>
      <c r="Y417" s="9"/>
      <c r="Z417" s="7">
        <v>-16.16</v>
      </c>
      <c r="AA417" s="8">
        <f>IFERROR(Z417/Z444, "NA")</f>
        <v>-2.621732422614441E-5</v>
      </c>
      <c r="AB417" s="9"/>
      <c r="AC417" s="10">
        <f t="shared" si="103"/>
        <v>-90.789999999999992</v>
      </c>
      <c r="AD417" s="8">
        <f>IFERROR(AC417/AC444, "NA")</f>
        <v>-3.2100532404248177E-3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2924.81</v>
      </c>
      <c r="C428" s="15">
        <f>IFERROR(B428/B444, "NA")</f>
        <v>3.458628158656929E-2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-2924.81</v>
      </c>
      <c r="I428" s="15">
        <f>IFERROR(H428/H444, "NA")</f>
        <v>0.32519207035723396</v>
      </c>
      <c r="J428" s="2"/>
      <c r="K428" s="14">
        <f>IFERROR(K407+K408+K409+K410+K411+K412+K413+K414+K415+K416+K417+K418+K419+K420+K421+K422+K423+K424+K425+K426+K427, "NA")</f>
        <v>3406.2100000000005</v>
      </c>
      <c r="L428" s="15">
        <f>IFERROR(K428/K444, "NA")</f>
        <v>4.1139689985772304E-2</v>
      </c>
      <c r="M428" s="2"/>
      <c r="N428" s="14">
        <f t="shared" si="101"/>
        <v>481.40000000000055</v>
      </c>
      <c r="O428" s="15">
        <f>IFERROR(N428/N444, "NA")</f>
        <v>0.27206809049344111</v>
      </c>
      <c r="P428" s="2"/>
      <c r="Q428" s="14">
        <f>IFERROR(Q407+Q408+Q409+Q410+Q411+Q412+Q413+Q414+Q415+Q416+Q417+Q418+Q419+Q420+Q421+Q422+Q423+Q424+Q425+Q426+Q427, "NA")</f>
        <v>20592.16</v>
      </c>
      <c r="R428" s="15">
        <f>IFERROR(Q428/Q444, "NA")</f>
        <v>3.1942204665728328E-2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-20592.16</v>
      </c>
      <c r="X428" s="15">
        <f>IFERROR(W428/W444, "NA")</f>
        <v>0.30227609547810663</v>
      </c>
      <c r="Y428" s="2"/>
      <c r="Z428" s="14">
        <f>IFERROR(Z407+Z408+Z409+Z410+Z411+Z412+Z413+Z414+Z415+Z416+Z417+Z418+Z419+Z420+Z421+Z422+Z423+Z424+Z425+Z426+Z427, "NA")</f>
        <v>45928.469999999994</v>
      </c>
      <c r="AA428" s="15">
        <f>IFERROR(Z428/Z444, "NA")</f>
        <v>7.4512474579254126E-2</v>
      </c>
      <c r="AB428" s="2"/>
      <c r="AC428" s="14">
        <f t="shared" si="103"/>
        <v>25336.309999999994</v>
      </c>
      <c r="AD428" s="15">
        <f>IFERROR(AC428/AC444, "NA")</f>
        <v>0.8958134598073324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2924.81</v>
      </c>
      <c r="C429" s="15">
        <f>IFERROR(B429/B444, "NA")</f>
        <v>3.458628158656929E-2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-2924.81</v>
      </c>
      <c r="I429" s="15">
        <f>IFERROR(H429/H444, "NA")</f>
        <v>0.32519207035723396</v>
      </c>
      <c r="J429" s="2"/>
      <c r="K429" s="14">
        <f>IFERROR(K407+K408+K409+K410+K411+K412+K413+K414+K415+K416+K417+K418+K419+K420+K421+K422+K423+K424+K425+K426+K427, "NA")</f>
        <v>3406.2100000000005</v>
      </c>
      <c r="L429" s="15">
        <f>IFERROR(K429/K444, "NA")</f>
        <v>4.1139689985772304E-2</v>
      </c>
      <c r="M429" s="2"/>
      <c r="N429" s="14">
        <f t="shared" si="101"/>
        <v>481.40000000000055</v>
      </c>
      <c r="O429" s="15">
        <f>IFERROR(N429/N444, "NA")</f>
        <v>0.27206809049344111</v>
      </c>
      <c r="P429" s="2"/>
      <c r="Q429" s="14">
        <f>IFERROR(Q407+Q408+Q409+Q410+Q411+Q412+Q413+Q414+Q415+Q416+Q417+Q418+Q419+Q420+Q421+Q422+Q423+Q424+Q425+Q426+Q427, "NA")</f>
        <v>20592.16</v>
      </c>
      <c r="R429" s="15">
        <f>IFERROR(Q429/Q444, "NA")</f>
        <v>3.1942204665728328E-2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-20592.16</v>
      </c>
      <c r="X429" s="15">
        <f>IFERROR(W429/W444, "NA")</f>
        <v>0.30227609547810663</v>
      </c>
      <c r="Y429" s="2"/>
      <c r="Z429" s="14">
        <f>IFERROR(Z407+Z408+Z409+Z410+Z411+Z412+Z413+Z414+Z415+Z416+Z417+Z418+Z419+Z420+Z421+Z422+Z423+Z424+Z425+Z426+Z427, "NA")</f>
        <v>45928.469999999994</v>
      </c>
      <c r="AA429" s="15">
        <f>IFERROR(Z429/Z444, "NA")</f>
        <v>7.4512474579254126E-2</v>
      </c>
      <c r="AB429" s="2"/>
      <c r="AC429" s="14">
        <f t="shared" si="103"/>
        <v>25336.309999999994</v>
      </c>
      <c r="AD429" s="15">
        <f>IFERROR(AC429/AC444, "NA")</f>
        <v>0.8958134598073324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-7242.6399999999685</v>
      </c>
      <c r="C443" s="24">
        <f>IFERROR(B443/B444, "NA")</f>
        <v>-8.5645216773106325E-2</v>
      </c>
      <c r="D443" s="25"/>
      <c r="E443" s="23">
        <f>IFERROR(E404-E429-E442, "NA")</f>
        <v>9491.1899999999932</v>
      </c>
      <c r="F443" s="24">
        <f>IFERROR(E443/E444, "NA")</f>
        <v>0.10144526955032239</v>
      </c>
      <c r="G443" s="25"/>
      <c r="H443" s="23">
        <f>IFERROR(B443-E443, "NA")</f>
        <v>-16733.829999999962</v>
      </c>
      <c r="I443" s="24">
        <f>IFERROR(H443/H444, "NA")</f>
        <v>1.8605341279283032</v>
      </c>
      <c r="J443" s="25"/>
      <c r="K443" s="23">
        <f>IFERROR(K404-K429-K442, "NA")</f>
        <v>9764.9200000000073</v>
      </c>
      <c r="L443" s="24">
        <f>IFERROR(K443/K444, "NA")</f>
        <v>0.11793922909505518</v>
      </c>
      <c r="M443" s="25"/>
      <c r="N443" s="23">
        <f>IFERROR(B443-K443, "NA")</f>
        <v>-17007.559999999976</v>
      </c>
      <c r="O443" s="24">
        <f>IFERROR(N443/N444, "NA")</f>
        <v>-9.6119949587715361</v>
      </c>
      <c r="P443" s="25"/>
      <c r="Q443" s="23">
        <f>IFERROR(Q404-Q429-Q442, "NA")</f>
        <v>-36021.129999999757</v>
      </c>
      <c r="R443" s="24">
        <f>IFERROR(Q443/Q444, "NA")</f>
        <v>-5.5875357745413731E-2</v>
      </c>
      <c r="S443" s="25"/>
      <c r="T443" s="23">
        <f>IFERROR(T404-T429-T442, "NA")</f>
        <v>92074.399999999936</v>
      </c>
      <c r="U443" s="24">
        <f>IFERROR(T443/T444, "NA")</f>
        <v>0.12917410442655561</v>
      </c>
      <c r="V443" s="25"/>
      <c r="W443" s="23">
        <f>IFERROR(Q443-T443, "NA")</f>
        <v>-128095.52999999969</v>
      </c>
      <c r="X443" s="24">
        <f>IFERROR(W443/W444, "NA")</f>
        <v>1.8803377914992201</v>
      </c>
      <c r="Y443" s="25"/>
      <c r="Z443" s="23">
        <f>IFERROR(Z404-Z429-Z442, "NA")</f>
        <v>27122.639999999963</v>
      </c>
      <c r="AA443" s="24">
        <f>IFERROR(Z443/Z444, "NA")</f>
        <v>4.4002663783972308E-2</v>
      </c>
      <c r="AB443" s="25"/>
      <c r="AC443" s="23">
        <f>IFERROR(Q443-Z443, "NA")</f>
        <v>-63143.76999999972</v>
      </c>
      <c r="AD443" s="24">
        <f>IFERROR(AC443/AC444, "NA")</f>
        <v>-2.2325681628057992</v>
      </c>
    </row>
    <row r="444" spans="1:30" ht="15.75" hidden="1" x14ac:dyDescent="0.45">
      <c r="A444" s="26" t="s">
        <v>117</v>
      </c>
      <c r="B444" s="7">
        <v>84565.61</v>
      </c>
      <c r="C444" s="27"/>
      <c r="D444" s="9"/>
      <c r="E444" s="7">
        <v>93559.71</v>
      </c>
      <c r="F444" s="27"/>
      <c r="G444" s="9"/>
      <c r="H444" s="10">
        <f>IFERROR(B444-E444, "NA")</f>
        <v>-8994.1000000000058</v>
      </c>
      <c r="I444" s="27"/>
      <c r="J444" s="9"/>
      <c r="K444" s="7">
        <v>82796.2</v>
      </c>
      <c r="L444" s="27"/>
      <c r="M444" s="9"/>
      <c r="N444" s="10">
        <f>IFERROR(B444-K444, "NA")</f>
        <v>1769.4100000000035</v>
      </c>
      <c r="O444" s="27"/>
      <c r="P444" s="9"/>
      <c r="Q444" s="7">
        <v>644669.34</v>
      </c>
      <c r="R444" s="27"/>
      <c r="S444" s="9"/>
      <c r="T444" s="7">
        <v>712793.02</v>
      </c>
      <c r="U444" s="27"/>
      <c r="V444" s="9"/>
      <c r="W444" s="10">
        <f>IFERROR(Q444-T444, "NA")</f>
        <v>-68123.680000000051</v>
      </c>
      <c r="X444" s="27"/>
      <c r="Y444" s="9"/>
      <c r="Z444" s="7">
        <v>616386.31999999995</v>
      </c>
      <c r="AA444" s="27"/>
      <c r="AB444" s="9"/>
      <c r="AC444" s="10">
        <f>IFERROR(Q444-Z444, "NA")</f>
        <v>28283.020000000019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70886.039999999994</v>
      </c>
      <c r="F10" s="8">
        <f>IFERROR(E10/E444, "NA")</f>
        <v>0.58900001587040307</v>
      </c>
      <c r="G10" s="9"/>
      <c r="H10" s="10">
        <f t="shared" ref="H10:H19" si="0">IFERROR(B10-E10, "NA")</f>
        <v>-70886.039999999994</v>
      </c>
      <c r="I10" s="8">
        <f>IFERROR(H10/H444, "NA")</f>
        <v>4.5767387445902807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480502.13</v>
      </c>
      <c r="U10" s="8">
        <f>IFERROR(T10/T444, "NA")</f>
        <v>0.58899998554780642</v>
      </c>
      <c r="V10" s="9"/>
      <c r="W10" s="10">
        <f t="shared" ref="W10:W19" si="2">IFERROR(Q10-T10, "NA")</f>
        <v>-480502.13</v>
      </c>
      <c r="X10" s="8">
        <f>IFERROR(W10/W444, "NA")</f>
        <v>19.725094971498333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60417.5</v>
      </c>
      <c r="C11" s="8">
        <f>IFERROR(B11/B444, "NA")</f>
        <v>0.57616486053792104</v>
      </c>
      <c r="D11" s="9"/>
      <c r="E11" s="7">
        <v>0</v>
      </c>
      <c r="F11" s="8">
        <f>IFERROR(E11/E444, "NA")</f>
        <v>0</v>
      </c>
      <c r="G11" s="9"/>
      <c r="H11" s="10">
        <f t="shared" si="0"/>
        <v>60417.5</v>
      </c>
      <c r="I11" s="8">
        <f>IFERROR(H11/H444, "NA")</f>
        <v>-3.900840180962053</v>
      </c>
      <c r="J11" s="9"/>
      <c r="K11" s="7">
        <v>56063.57</v>
      </c>
      <c r="L11" s="8">
        <f>IFERROR(K11/K444, "NA")</f>
        <v>0.54968935116765272</v>
      </c>
      <c r="M11" s="9"/>
      <c r="N11" s="10">
        <f t="shared" si="1"/>
        <v>4353.93</v>
      </c>
      <c r="O11" s="8">
        <f>IFERROR(N11/N444, "NA")</f>
        <v>1.5169906379894844</v>
      </c>
      <c r="P11" s="9"/>
      <c r="Q11" s="7">
        <v>420266.64</v>
      </c>
      <c r="R11" s="8">
        <f>IFERROR(Q11/Q444, "NA")</f>
        <v>0.53101974485097714</v>
      </c>
      <c r="S11" s="9"/>
      <c r="T11" s="7">
        <v>0</v>
      </c>
      <c r="U11" s="8">
        <f>IFERROR(T11/T444, "NA")</f>
        <v>0</v>
      </c>
      <c r="V11" s="9"/>
      <c r="W11" s="10">
        <f t="shared" si="2"/>
        <v>420266.64</v>
      </c>
      <c r="X11" s="8">
        <f>IFERROR(W11/W444, "NA")</f>
        <v>-17.252367616669048</v>
      </c>
      <c r="Y11" s="9"/>
      <c r="Z11" s="7">
        <v>387639.06</v>
      </c>
      <c r="AA11" s="8">
        <f>IFERROR(Z11/Z444, "NA")</f>
        <v>0.54680985246423885</v>
      </c>
      <c r="AB11" s="9"/>
      <c r="AC11" s="10">
        <f t="shared" si="3"/>
        <v>32627.580000000016</v>
      </c>
      <c r="AD11" s="8">
        <f>IFERROR(AC11/AC444, "NA")</f>
        <v>0.39537554434817651</v>
      </c>
    </row>
    <row r="12" spans="1:30" ht="16.5" customHeight="1" x14ac:dyDescent="0.45">
      <c r="A12" s="12" t="s">
        <v>14</v>
      </c>
      <c r="B12" s="7">
        <v>6556.5</v>
      </c>
      <c r="C12" s="8">
        <f>IFERROR(B12/B444, "NA")</f>
        <v>6.2525342957204119E-2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6556.5</v>
      </c>
      <c r="I12" s="8">
        <f>IFERROR(H12/H444, "NA")</f>
        <v>-0.42331871802834775</v>
      </c>
      <c r="J12" s="9"/>
      <c r="K12" s="7">
        <v>7076.55</v>
      </c>
      <c r="L12" s="8">
        <f>IFERROR(K12/K444, "NA")</f>
        <v>6.9383811591117964E-2</v>
      </c>
      <c r="M12" s="9"/>
      <c r="N12" s="10">
        <f t="shared" si="1"/>
        <v>-520.05000000000018</v>
      </c>
      <c r="O12" s="8">
        <f>IFERROR(N12/N444, "NA")</f>
        <v>-0.18119514583064764</v>
      </c>
      <c r="P12" s="9"/>
      <c r="Q12" s="7">
        <v>47388.3</v>
      </c>
      <c r="R12" s="8">
        <f>IFERROR(Q12/Q444, "NA")</f>
        <v>5.987656544645456E-2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47388.3</v>
      </c>
      <c r="X12" s="8">
        <f>IFERROR(W12/W444, "NA")</f>
        <v>-1.9453373037864672</v>
      </c>
      <c r="Y12" s="9"/>
      <c r="Z12" s="7">
        <v>43539.199999999997</v>
      </c>
      <c r="AA12" s="8">
        <f>IFERROR(Z12/Z444, "NA")</f>
        <v>6.1417091271480713E-2</v>
      </c>
      <c r="AB12" s="9"/>
      <c r="AC12" s="10">
        <f t="shared" si="3"/>
        <v>3849.1000000000058</v>
      </c>
      <c r="AD12" s="8">
        <f>IFERROR(AC12/AC444, "NA")</f>
        <v>4.6642748489179021E-2</v>
      </c>
    </row>
    <row r="13" spans="1:30" ht="16.5" customHeight="1" x14ac:dyDescent="0.45">
      <c r="A13" s="12" t="s">
        <v>15</v>
      </c>
      <c r="B13" s="7">
        <v>185</v>
      </c>
      <c r="C13" s="8">
        <f>IFERROR(B13/B444, "NA")</f>
        <v>1.7642322042374379E-3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185</v>
      </c>
      <c r="I13" s="8">
        <f>IFERROR(H13/H444, "NA")</f>
        <v>-1.194447690616096E-2</v>
      </c>
      <c r="J13" s="9"/>
      <c r="K13" s="7">
        <v>247</v>
      </c>
      <c r="L13" s="8">
        <f>IFERROR(K13/K444, "NA")</f>
        <v>2.4217735284857928E-3</v>
      </c>
      <c r="M13" s="9"/>
      <c r="N13" s="10">
        <f t="shared" si="1"/>
        <v>-62</v>
      </c>
      <c r="O13" s="8">
        <f>IFERROR(N13/N444, "NA")</f>
        <v>-2.1601959506778481E-2</v>
      </c>
      <c r="P13" s="9"/>
      <c r="Q13" s="7">
        <v>2398</v>
      </c>
      <c r="R13" s="8">
        <f>IFERROR(Q13/Q444, "NA")</f>
        <v>3.0299462935070055E-3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2398</v>
      </c>
      <c r="X13" s="8">
        <f>IFERROR(W13/W444, "NA")</f>
        <v>-9.8440308145258379E-2</v>
      </c>
      <c r="Y13" s="9"/>
      <c r="Z13" s="7">
        <v>1437.49</v>
      </c>
      <c r="AA13" s="8">
        <f>IFERROR(Z13/Z444, "NA")</f>
        <v>2.0277463649272568E-3</v>
      </c>
      <c r="AB13" s="9"/>
      <c r="AC13" s="10">
        <f t="shared" si="3"/>
        <v>960.51</v>
      </c>
      <c r="AD13" s="8">
        <f>IFERROR(AC13/AC444, "NA")</f>
        <v>1.1639299148201209E-2</v>
      </c>
    </row>
    <row r="14" spans="1:30" ht="16.5" customHeight="1" x14ac:dyDescent="0.45">
      <c r="A14" s="12" t="s">
        <v>16</v>
      </c>
      <c r="B14" s="7">
        <v>115</v>
      </c>
      <c r="C14" s="8">
        <f>IFERROR(B14/B444, "NA")</f>
        <v>1.0966848837151641E-3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115</v>
      </c>
      <c r="I14" s="8">
        <f>IFERROR(H14/H444, "NA")</f>
        <v>-7.4249451038297856E-3</v>
      </c>
      <c r="J14" s="9"/>
      <c r="K14" s="7">
        <v>760</v>
      </c>
      <c r="L14" s="8">
        <f>IFERROR(K14/K444, "NA")</f>
        <v>7.4516108568793617E-3</v>
      </c>
      <c r="M14" s="9"/>
      <c r="N14" s="10">
        <f t="shared" si="1"/>
        <v>-645</v>
      </c>
      <c r="O14" s="8">
        <f>IFERROR(N14/N444, "NA")</f>
        <v>-0.22473006261084066</v>
      </c>
      <c r="P14" s="9"/>
      <c r="Q14" s="7">
        <v>3190</v>
      </c>
      <c r="R14" s="8">
        <f>IFERROR(Q14/Q444, "NA")</f>
        <v>4.030662500536842E-3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3190</v>
      </c>
      <c r="X14" s="8">
        <f>IFERROR(W14/W444, "NA")</f>
        <v>-0.13095270349598592</v>
      </c>
      <c r="Y14" s="9"/>
      <c r="Z14" s="7">
        <v>4365</v>
      </c>
      <c r="AA14" s="8">
        <f>IFERROR(Z14/Z444, "NA")</f>
        <v>6.1573387522052157E-3</v>
      </c>
      <c r="AB14" s="9"/>
      <c r="AC14" s="10">
        <f t="shared" si="3"/>
        <v>-1175</v>
      </c>
      <c r="AD14" s="8">
        <f>IFERROR(AC14/AC444, "NA")</f>
        <v>-1.4238453008439705E-2</v>
      </c>
    </row>
    <row r="15" spans="1:30" ht="16.5" customHeight="1" x14ac:dyDescent="0.45">
      <c r="A15" s="12" t="s">
        <v>17</v>
      </c>
      <c r="B15" s="7">
        <v>23</v>
      </c>
      <c r="C15" s="8">
        <f>IFERROR(B15/B444, "NA")</f>
        <v>2.1933697674303282E-4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23</v>
      </c>
      <c r="I15" s="8">
        <f>IFERROR(H15/H444, "NA")</f>
        <v>-1.4849890207659572E-3</v>
      </c>
      <c r="J15" s="9"/>
      <c r="K15" s="7">
        <v>31</v>
      </c>
      <c r="L15" s="8">
        <f>IFERROR(K15/K444, "NA")</f>
        <v>3.0394728495165818E-4</v>
      </c>
      <c r="M15" s="9"/>
      <c r="N15" s="10">
        <f t="shared" si="1"/>
        <v>-8</v>
      </c>
      <c r="O15" s="8">
        <f>IFERROR(N15/N444, "NA")</f>
        <v>-2.7873496137778685E-3</v>
      </c>
      <c r="P15" s="9"/>
      <c r="Q15" s="7">
        <v>378</v>
      </c>
      <c r="R15" s="8">
        <f>IFERROR(Q15/Q444, "NA")</f>
        <v>4.7761455335514937E-4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378</v>
      </c>
      <c r="X15" s="8">
        <f>IFERROR(W15/W444, "NA")</f>
        <v>-1.551727959921087E-2</v>
      </c>
      <c r="Y15" s="9"/>
      <c r="Z15" s="7">
        <v>399</v>
      </c>
      <c r="AA15" s="8">
        <f>IFERROR(Z15/Z444, "NA")</f>
        <v>5.6283577597477231E-4</v>
      </c>
      <c r="AB15" s="9"/>
      <c r="AC15" s="10">
        <f t="shared" si="3"/>
        <v>-21</v>
      </c>
      <c r="AD15" s="8">
        <f>IFERROR(AC15/AC444, "NA")</f>
        <v>-2.5447447929977346E-4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67297</v>
      </c>
      <c r="C18" s="15">
        <f>IFERROR(B18/B444, "NA")</f>
        <v>0.64177045755982087</v>
      </c>
      <c r="D18" s="2"/>
      <c r="E18" s="14">
        <f>IFERROR(E10+E11+E12+E13+E14+E15+E16+E17, "NA")</f>
        <v>70886.039999999994</v>
      </c>
      <c r="F18" s="15">
        <f>IFERROR(E18/E444, "NA")</f>
        <v>0.58900001587040307</v>
      </c>
      <c r="G18" s="2"/>
      <c r="H18" s="14">
        <f t="shared" si="0"/>
        <v>-3589.0399999999936</v>
      </c>
      <c r="I18" s="15">
        <f>IFERROR(H18/H444, "NA")</f>
        <v>0.23172543456912353</v>
      </c>
      <c r="J18" s="2"/>
      <c r="K18" s="14">
        <f>IFERROR(K10+K11+K12+K13+K14+K15+K16+K17, "NA")</f>
        <v>64178.12</v>
      </c>
      <c r="L18" s="15">
        <f>IFERROR(K18/K444, "NA")</f>
        <v>0.62925049442908754</v>
      </c>
      <c r="M18" s="2"/>
      <c r="N18" s="14">
        <f t="shared" si="1"/>
        <v>3118.8799999999974</v>
      </c>
      <c r="O18" s="15">
        <f>IFERROR(N18/N444, "NA")</f>
        <v>1.0866761204274389</v>
      </c>
      <c r="P18" s="2"/>
      <c r="Q18" s="14">
        <f>IFERROR(Q10+Q11+Q12+Q13+Q14+Q15+Q16+Q17, "NA")</f>
        <v>473620.94</v>
      </c>
      <c r="R18" s="15">
        <f>IFERROR(Q18/Q444, "NA")</f>
        <v>0.59843453364483068</v>
      </c>
      <c r="S18" s="2"/>
      <c r="T18" s="14">
        <f>IFERROR(T10+T11+T12+T13+T14+T15+T16+T17, "NA")</f>
        <v>480502.13</v>
      </c>
      <c r="U18" s="15">
        <f>IFERROR(T18/T444, "NA")</f>
        <v>0.58899998554780642</v>
      </c>
      <c r="V18" s="2"/>
      <c r="W18" s="14">
        <f t="shared" si="2"/>
        <v>-6881.1900000000023</v>
      </c>
      <c r="X18" s="15">
        <f>IFERROR(W18/W444, "NA")</f>
        <v>0.28247975980236478</v>
      </c>
      <c r="Y18" s="2"/>
      <c r="Z18" s="14">
        <f>IFERROR(Z10+Z11+Z12+Z13+Z14+Z15+Z16+Z17, "NA")</f>
        <v>437379.75</v>
      </c>
      <c r="AA18" s="15">
        <f>IFERROR(Z18/Z444, "NA")</f>
        <v>0.61697486462882689</v>
      </c>
      <c r="AB18" s="2"/>
      <c r="AC18" s="14">
        <f t="shared" si="3"/>
        <v>36241.19</v>
      </c>
      <c r="AD18" s="15">
        <f>IFERROR(AC18/AC444, "NA")</f>
        <v>0.43916466449781699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9989.0300000000007</v>
      </c>
      <c r="F21" s="8">
        <f>IFERROR(E21/E444, "NA")</f>
        <v>8.2999964852458016E-2</v>
      </c>
      <c r="G21" s="9"/>
      <c r="H21" s="10">
        <f t="shared" ref="H21:H29" si="4">IFERROR(B21-E21, "NA")</f>
        <v>-9989.0300000000007</v>
      </c>
      <c r="I21" s="8">
        <f>IFERROR(H21/H444, "NA")</f>
        <v>0.64493912513485963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67710.83</v>
      </c>
      <c r="U21" s="8">
        <f>IFERROR(T21/T444, "NA")</f>
        <v>8.3000002292247854E-2</v>
      </c>
      <c r="V21" s="9"/>
      <c r="W21" s="10">
        <f t="shared" ref="W21:W29" si="6">IFERROR(Q21-T21, "NA")</f>
        <v>-67710.83</v>
      </c>
      <c r="X21" s="8">
        <f>IFERROR(W21/W444, "NA")</f>
        <v>2.779597568795332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8951.4500000000007</v>
      </c>
      <c r="C22" s="8">
        <f>IFERROR(B22/B444, "NA")</f>
        <v>8.5364520889844406E-2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8951.4500000000007</v>
      </c>
      <c r="I22" s="8">
        <f>IFERROR(H22/H444, "NA")</f>
        <v>-0.57794804217110562</v>
      </c>
      <c r="J22" s="9"/>
      <c r="K22" s="7">
        <v>6625.45</v>
      </c>
      <c r="L22" s="8">
        <f>IFERROR(K22/K444, "NA")</f>
        <v>6.4960888357514956E-2</v>
      </c>
      <c r="M22" s="9"/>
      <c r="N22" s="10">
        <f t="shared" si="5"/>
        <v>2326.0000000000009</v>
      </c>
      <c r="O22" s="8">
        <f>IFERROR(N22/N444, "NA")</f>
        <v>0.81042190020591565</v>
      </c>
      <c r="P22" s="9"/>
      <c r="Q22" s="7">
        <v>56210.34</v>
      </c>
      <c r="R22" s="8">
        <f>IFERROR(Q22/Q444, "NA")</f>
        <v>7.1023482627092807E-2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56210.34</v>
      </c>
      <c r="X22" s="8">
        <f>IFERROR(W22/W444, "NA")</f>
        <v>-2.3074909051500176</v>
      </c>
      <c r="Y22" s="9"/>
      <c r="Z22" s="7">
        <v>49205.59</v>
      </c>
      <c r="AA22" s="8">
        <f>IFERROR(Z22/Z444, "NA")</f>
        <v>6.9410191553750611E-2</v>
      </c>
      <c r="AB22" s="9"/>
      <c r="AC22" s="10">
        <f t="shared" si="7"/>
        <v>7004.75</v>
      </c>
      <c r="AD22" s="8">
        <f>IFERROR(AC22/AC444, "NA")</f>
        <v>8.4882386136908961E-2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796.13</v>
      </c>
      <c r="C24" s="8">
        <f>IFERROR(B24/B444, "NA")</f>
        <v>7.5922064041056836E-3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796.13</v>
      </c>
      <c r="I24" s="8">
        <f>IFERROR(H24/H444, "NA")</f>
        <v>-5.1401926482713106E-2</v>
      </c>
      <c r="J24" s="9"/>
      <c r="K24" s="7">
        <v>183.25</v>
      </c>
      <c r="L24" s="8">
        <f>IFERROR(K24/K444, "NA")</f>
        <v>1.7967206441093988E-3</v>
      </c>
      <c r="M24" s="9"/>
      <c r="N24" s="10">
        <f t="shared" si="5"/>
        <v>612.88</v>
      </c>
      <c r="O24" s="8">
        <f>IFERROR(N24/N444, "NA")</f>
        <v>0.2135388539115225</v>
      </c>
      <c r="P24" s="9"/>
      <c r="Q24" s="7">
        <v>7107</v>
      </c>
      <c r="R24" s="8">
        <f>IFERROR(Q24/Q444, "NA")</f>
        <v>8.9799117214154674E-3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7107</v>
      </c>
      <c r="X24" s="8">
        <f>IFERROR(W24/W444, "NA")</f>
        <v>-0.29174948706770282</v>
      </c>
      <c r="Y24" s="9"/>
      <c r="Z24" s="7">
        <v>2133.1799999999998</v>
      </c>
      <c r="AA24" s="8">
        <f>IFERROR(Z24/Z444, "NA")</f>
        <v>3.0090977959745984E-3</v>
      </c>
      <c r="AB24" s="9"/>
      <c r="AC24" s="10">
        <f t="shared" si="7"/>
        <v>4973.82</v>
      </c>
      <c r="AD24" s="8">
        <f>IFERROR(AC24/AC444, "NA")</f>
        <v>6.0271916887180914E-2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910.48</v>
      </c>
      <c r="C28" s="8">
        <f>IFERROR(B28/B444, "NA")</f>
        <v>8.6826926341302835E-3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910.48</v>
      </c>
      <c r="I28" s="8">
        <f>IFERROR(H28/H444, "NA")</f>
        <v>-5.8784904505521249E-2</v>
      </c>
      <c r="J28" s="9"/>
      <c r="K28" s="7">
        <v>909.67</v>
      </c>
      <c r="L28" s="8">
        <f>IFERROR(K28/K444, "NA")</f>
        <v>8.9190879581282217E-3</v>
      </c>
      <c r="M28" s="9"/>
      <c r="N28" s="10">
        <f t="shared" si="5"/>
        <v>0.81000000000005912</v>
      </c>
      <c r="O28" s="8">
        <f>IFERROR(N28/N444, "NA")</f>
        <v>2.8221914839502977E-4</v>
      </c>
      <c r="P28" s="9"/>
      <c r="Q28" s="7">
        <v>6235.59</v>
      </c>
      <c r="R28" s="8">
        <f>IFERROR(Q28/Q444, "NA")</f>
        <v>7.8788585522641154E-3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6235.59</v>
      </c>
      <c r="X28" s="8">
        <f>IFERROR(W28/W444, "NA")</f>
        <v>-0.25597723147101409</v>
      </c>
      <c r="Y28" s="9"/>
      <c r="Z28" s="7">
        <v>6060.55</v>
      </c>
      <c r="AA28" s="8">
        <f>IFERROR(Z28/Z444, "NA")</f>
        <v>8.5491086769020203E-3</v>
      </c>
      <c r="AB28" s="9"/>
      <c r="AC28" s="10">
        <f t="shared" si="7"/>
        <v>175.03999999999996</v>
      </c>
      <c r="AD28" s="8">
        <f>IFERROR(AC28/AC444, "NA")</f>
        <v>2.1211053741253495E-3</v>
      </c>
    </row>
    <row r="29" spans="1:30" ht="16.5" customHeight="1" x14ac:dyDescent="0.45">
      <c r="A29" s="13" t="s">
        <v>30</v>
      </c>
      <c r="B29" s="14">
        <f>IFERROR(B21+B22+B23+B24+B25+B26+B27+B28, "NA")</f>
        <v>10658.06</v>
      </c>
      <c r="C29" s="15">
        <f>IFERROR(B29/B444, "NA")</f>
        <v>0.10163941992808036</v>
      </c>
      <c r="D29" s="2"/>
      <c r="E29" s="14">
        <f>IFERROR(E21+E22+E23+E24+E25+E26+E27+E28, "NA")</f>
        <v>9989.0300000000007</v>
      </c>
      <c r="F29" s="15">
        <f>IFERROR(E29/E444, "NA")</f>
        <v>8.2999964852458016E-2</v>
      </c>
      <c r="G29" s="2"/>
      <c r="H29" s="14">
        <f t="shared" si="4"/>
        <v>669.02999999999884</v>
      </c>
      <c r="I29" s="15">
        <f>IFERROR(H29/H444, "NA")</f>
        <v>-4.3195748024480285E-2</v>
      </c>
      <c r="J29" s="2"/>
      <c r="K29" s="14">
        <f>IFERROR(K21+K22+K23+K24+K25+K26+K27+K28, "NA")</f>
        <v>7718.37</v>
      </c>
      <c r="L29" s="15">
        <f>IFERROR(K29/K444, "NA")</f>
        <v>7.5676696959752571E-2</v>
      </c>
      <c r="M29" s="2"/>
      <c r="N29" s="14">
        <f t="shared" si="5"/>
        <v>2939.6899999999996</v>
      </c>
      <c r="O29" s="15">
        <f>IFERROR(N29/N444, "NA")</f>
        <v>1.0242429732658327</v>
      </c>
      <c r="P29" s="2"/>
      <c r="Q29" s="14">
        <f>IFERROR(Q21+Q22+Q23+Q24+Q25+Q26+Q27+Q28, "NA")</f>
        <v>69552.929999999993</v>
      </c>
      <c r="R29" s="15">
        <f>IFERROR(Q29/Q444, "NA")</f>
        <v>8.7882252900772395E-2</v>
      </c>
      <c r="S29" s="2"/>
      <c r="T29" s="14">
        <f>IFERROR(T21+T22+T23+T24+T25+T26+T27+T28, "NA")</f>
        <v>67710.83</v>
      </c>
      <c r="U29" s="15">
        <f>IFERROR(T29/T444, "NA")</f>
        <v>8.3000002292247854E-2</v>
      </c>
      <c r="V29" s="2"/>
      <c r="W29" s="14">
        <f t="shared" si="6"/>
        <v>1842.0999999999913</v>
      </c>
      <c r="X29" s="15">
        <f>IFERROR(W29/W444, "NA")</f>
        <v>-7.5620054893402677E-2</v>
      </c>
      <c r="Y29" s="2"/>
      <c r="Z29" s="14">
        <f>IFERROR(Z21+Z22+Z23+Z24+Z25+Z26+Z27+Z28, "NA")</f>
        <v>57399.32</v>
      </c>
      <c r="AA29" s="15">
        <f>IFERROR(Z29/Z444, "NA")</f>
        <v>8.0968398026627239E-2</v>
      </c>
      <c r="AB29" s="2"/>
      <c r="AC29" s="14">
        <f t="shared" si="7"/>
        <v>12153.609999999993</v>
      </c>
      <c r="AD29" s="15">
        <f>IFERROR(AC29/AC444, "NA")</f>
        <v>0.14727540839821515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18172.82</v>
      </c>
      <c r="F31" s="8">
        <f>IFERROR(E31/E444, "NA")</f>
        <v>0.15099998911506382</v>
      </c>
      <c r="G31" s="9"/>
      <c r="H31" s="10">
        <f t="shared" ref="H31:H40" si="8">IFERROR(B31-E31, "NA")</f>
        <v>-18172.82</v>
      </c>
      <c r="I31" s="8">
        <f>IFERROR(H31/H444, "NA")</f>
        <v>1.173323398972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123184.76</v>
      </c>
      <c r="U31" s="8">
        <f>IFERROR(T31/T444, "NA")</f>
        <v>0.15100000047806239</v>
      </c>
      <c r="V31" s="9"/>
      <c r="W31" s="10">
        <f t="shared" ref="W31:W40" si="10">IFERROR(Q31-T31, "NA")</f>
        <v>-123184.76</v>
      </c>
      <c r="X31" s="8">
        <f>IFERROR(W31/W444, "NA")</f>
        <v>5.0568581039198079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8779.36</v>
      </c>
      <c r="C33" s="8">
        <f>IFERROR(B33/B444, "NA")</f>
        <v>8.3723403484291858E-2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8779.36</v>
      </c>
      <c r="I33" s="8">
        <f>IFERROR(H33/H444, "NA")</f>
        <v>-0.56683709605877453</v>
      </c>
      <c r="J33" s="9"/>
      <c r="K33" s="7">
        <v>5112.67</v>
      </c>
      <c r="L33" s="8">
        <f>IFERROR(K33/K444, "NA")</f>
        <v>5.0128456946896591E-2</v>
      </c>
      <c r="M33" s="9"/>
      <c r="N33" s="10">
        <f t="shared" si="9"/>
        <v>3666.6900000000005</v>
      </c>
      <c r="O33" s="8">
        <f>IFERROR(N33/N444, "NA")</f>
        <v>1.2775433694178968</v>
      </c>
      <c r="P33" s="9"/>
      <c r="Q33" s="7">
        <v>65762.320000000007</v>
      </c>
      <c r="R33" s="8">
        <f>IFERROR(Q33/Q444, "NA")</f>
        <v>8.3092701307932296E-2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65762.320000000007</v>
      </c>
      <c r="X33" s="8">
        <f>IFERROR(W33/W444, "NA")</f>
        <v>-2.6996092765417385</v>
      </c>
      <c r="Y33" s="9"/>
      <c r="Z33" s="7">
        <v>39790.129999999997</v>
      </c>
      <c r="AA33" s="8">
        <f>IFERROR(Z33/Z444, "NA")</f>
        <v>5.6128593219767077E-2</v>
      </c>
      <c r="AB33" s="9"/>
      <c r="AC33" s="10">
        <f t="shared" si="11"/>
        <v>25972.19000000001</v>
      </c>
      <c r="AD33" s="8">
        <f>IFERROR(AC33/AC444, "NA")</f>
        <v>0.31472664412022788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971.16</v>
      </c>
      <c r="C35" s="8">
        <f>IFERROR(B35/B444, "NA")</f>
        <v>9.261360797120163E-3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971.16</v>
      </c>
      <c r="I35" s="8">
        <f>IFERROR(H35/H444, "NA")</f>
        <v>-6.2702692930742043E-2</v>
      </c>
      <c r="J35" s="9"/>
      <c r="K35" s="7">
        <v>241.7</v>
      </c>
      <c r="L35" s="8">
        <f>IFERROR(K35/K444, "NA")</f>
        <v>2.3698083475101866E-3</v>
      </c>
      <c r="M35" s="9"/>
      <c r="N35" s="10">
        <f t="shared" si="9"/>
        <v>729.46</v>
      </c>
      <c r="O35" s="8">
        <f>IFERROR(N35/N444, "NA")</f>
        <v>0.25415750615830052</v>
      </c>
      <c r="P35" s="9"/>
      <c r="Q35" s="7">
        <v>7328.52</v>
      </c>
      <c r="R35" s="8">
        <f>IFERROR(Q35/Q444, "NA")</f>
        <v>9.2598090120483579E-3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7328.52</v>
      </c>
      <c r="X35" s="8">
        <f>IFERROR(W35/W444, "NA")</f>
        <v>-0.30084310552489119</v>
      </c>
      <c r="Y35" s="9"/>
      <c r="Z35" s="7">
        <v>241.7</v>
      </c>
      <c r="AA35" s="8">
        <f>IFERROR(Z35/Z444, "NA")</f>
        <v>3.4094588233860262E-4</v>
      </c>
      <c r="AB35" s="9"/>
      <c r="AC35" s="10">
        <f t="shared" si="11"/>
        <v>7086.8200000000006</v>
      </c>
      <c r="AD35" s="8">
        <f>IFERROR(AC35/AC444, "NA")</f>
        <v>8.5876896637677169E-2</v>
      </c>
    </row>
    <row r="36" spans="1:30" ht="16.5" customHeight="1" x14ac:dyDescent="0.45">
      <c r="A36" s="12" t="s">
        <v>36</v>
      </c>
      <c r="B36" s="7">
        <v>6155.25</v>
      </c>
      <c r="C36" s="8">
        <f>IFERROR(B36/B444, "NA")</f>
        <v>5.8698866352067509E-2</v>
      </c>
      <c r="D36" s="9"/>
      <c r="E36" s="7">
        <v>0</v>
      </c>
      <c r="F36" s="8">
        <f>IFERROR(E36/E444, "NA")</f>
        <v>0</v>
      </c>
      <c r="G36" s="9"/>
      <c r="H36" s="10">
        <f t="shared" si="8"/>
        <v>6155.25</v>
      </c>
      <c r="I36" s="8">
        <f>IFERROR(H36/H444, "NA")</f>
        <v>-0.39741211608998511</v>
      </c>
      <c r="J36" s="9"/>
      <c r="K36" s="7">
        <v>3815.87</v>
      </c>
      <c r="L36" s="8">
        <f>IFERROR(K36/K444, "NA")</f>
        <v>3.7413655684789805E-2</v>
      </c>
      <c r="M36" s="9"/>
      <c r="N36" s="10">
        <f t="shared" si="9"/>
        <v>2339.38</v>
      </c>
      <c r="O36" s="8">
        <f>IFERROR(N36/N444, "NA")</f>
        <v>0.81508374243495885</v>
      </c>
      <c r="P36" s="9"/>
      <c r="Q36" s="7">
        <v>56770.9</v>
      </c>
      <c r="R36" s="8">
        <f>IFERROR(Q36/Q444, "NA")</f>
        <v>7.1731767320290601E-2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56770.9</v>
      </c>
      <c r="X36" s="8">
        <f>IFERROR(W36/W444, "NA")</f>
        <v>-2.3305024560815886</v>
      </c>
      <c r="Y36" s="9"/>
      <c r="Z36" s="7">
        <v>30058.77</v>
      </c>
      <c r="AA36" s="8">
        <f>IFERROR(Z36/Z444, "NA")</f>
        <v>4.2401381297737357E-2</v>
      </c>
      <c r="AB36" s="9"/>
      <c r="AC36" s="10">
        <f t="shared" si="11"/>
        <v>26712.13</v>
      </c>
      <c r="AD36" s="8">
        <f>IFERROR(AC36/AC444, "NA")</f>
        <v>0.32369311298751702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478.15</v>
      </c>
      <c r="C39" s="8">
        <f>IFERROR(B39/B444, "NA")</f>
        <v>4.5598250186817887E-3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478.15</v>
      </c>
      <c r="I39" s="8">
        <f>IFERROR(H39/H444, "NA")</f>
        <v>-3.0871630446923582E-2</v>
      </c>
      <c r="J39" s="9"/>
      <c r="K39" s="7">
        <v>653.29999999999995</v>
      </c>
      <c r="L39" s="8">
        <f>IFERROR(K39/K444, "NA")</f>
        <v>6.4054439115780086E-3</v>
      </c>
      <c r="M39" s="9"/>
      <c r="N39" s="10">
        <f t="shared" si="9"/>
        <v>-175.14999999999998</v>
      </c>
      <c r="O39" s="8">
        <f>IFERROR(N39/N444, "NA")</f>
        <v>-6.1025535606649202E-2</v>
      </c>
      <c r="P39" s="9"/>
      <c r="Q39" s="7">
        <v>5695.12</v>
      </c>
      <c r="R39" s="8">
        <f>IFERROR(Q39/Q444, "NA")</f>
        <v>7.1959581881057624E-3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5695.12</v>
      </c>
      <c r="X39" s="8">
        <f>IFERROR(W39/W444, "NA")</f>
        <v>-0.23379039521443867</v>
      </c>
      <c r="Y39" s="9"/>
      <c r="Z39" s="7">
        <v>7296.47</v>
      </c>
      <c r="AA39" s="8">
        <f>IFERROR(Z39/Z444, "NA")</f>
        <v>1.0292517178763526E-2</v>
      </c>
      <c r="AB39" s="9"/>
      <c r="AC39" s="10">
        <f t="shared" si="11"/>
        <v>-1601.3500000000004</v>
      </c>
      <c r="AD39" s="8">
        <f>IFERROR(AC39/AC444, "NA")</f>
        <v>-1.9404890829842491E-2</v>
      </c>
    </row>
    <row r="40" spans="1:30" ht="16.5" customHeight="1" x14ac:dyDescent="0.45">
      <c r="A40" s="13" t="s">
        <v>40</v>
      </c>
      <c r="B40" s="14">
        <f>IFERROR(B31+B32+B33+B34+B35+B36+B37+B38+B39, "NA")</f>
        <v>16383.92</v>
      </c>
      <c r="C40" s="15">
        <f>IFERROR(B40/B444, "NA")</f>
        <v>0.15624345565216133</v>
      </c>
      <c r="D40" s="2"/>
      <c r="E40" s="14">
        <f>IFERROR(E31+E32+E33+E34+E35+E36+E37+E38+E39, "NA")</f>
        <v>18172.82</v>
      </c>
      <c r="F40" s="15">
        <f>IFERROR(E40/E444, "NA")</f>
        <v>0.15099998911506382</v>
      </c>
      <c r="G40" s="2"/>
      <c r="H40" s="14">
        <f t="shared" si="8"/>
        <v>-1788.8999999999996</v>
      </c>
      <c r="I40" s="15">
        <f>IFERROR(H40/H444, "NA")</f>
        <v>0.11549986344557479</v>
      </c>
      <c r="J40" s="2"/>
      <c r="K40" s="14">
        <f>IFERROR(K31+K32+K33+K34+K35+K36+K37+K38+K39, "NA")</f>
        <v>9823.5399999999991</v>
      </c>
      <c r="L40" s="15">
        <f>IFERROR(K40/K444, "NA")</f>
        <v>9.6317364890774582E-2</v>
      </c>
      <c r="M40" s="2"/>
      <c r="N40" s="14">
        <f t="shared" si="9"/>
        <v>6560.380000000001</v>
      </c>
      <c r="O40" s="15">
        <f>IFERROR(N40/N444, "NA")</f>
        <v>2.2857590824045069</v>
      </c>
      <c r="P40" s="2"/>
      <c r="Q40" s="14">
        <f>IFERROR(Q31+Q32+Q33+Q34+Q35+Q36+Q37+Q38+Q39, "NA")</f>
        <v>135556.86000000002</v>
      </c>
      <c r="R40" s="15">
        <f>IFERROR(Q40/Q444, "NA")</f>
        <v>0.17128023582837704</v>
      </c>
      <c r="S40" s="2"/>
      <c r="T40" s="14">
        <f>IFERROR(T31+T32+T33+T34+T35+T36+T37+T38+T39, "NA")</f>
        <v>123184.76</v>
      </c>
      <c r="U40" s="15">
        <f>IFERROR(T40/T444, "NA")</f>
        <v>0.15100000047806239</v>
      </c>
      <c r="V40" s="2"/>
      <c r="W40" s="14">
        <f t="shared" si="10"/>
        <v>12372.10000000002</v>
      </c>
      <c r="X40" s="15">
        <f>IFERROR(W40/W444, "NA")</f>
        <v>-0.50788712944284953</v>
      </c>
      <c r="Y40" s="2"/>
      <c r="Z40" s="14">
        <f>IFERROR(Z31+Z32+Z33+Z34+Z35+Z36+Z37+Z38+Z39, "NA")</f>
        <v>77387.069999999992</v>
      </c>
      <c r="AA40" s="15">
        <f>IFERROR(Z40/Z444, "NA")</f>
        <v>0.10916343757860655</v>
      </c>
      <c r="AB40" s="2"/>
      <c r="AC40" s="14">
        <f t="shared" si="11"/>
        <v>58169.790000000023</v>
      </c>
      <c r="AD40" s="15">
        <f>IFERROR(AC40/AC444, "NA")</f>
        <v>0.70489176291557976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940.68</v>
      </c>
      <c r="C43" s="8">
        <f>IFERROR(B43/B444, "NA")</f>
        <v>8.9706916209841784E-3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940.68</v>
      </c>
      <c r="I43" s="8">
        <f>IFERROR(H43/H444, "NA")</f>
        <v>-6.073475965452698E-2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940.68</v>
      </c>
      <c r="O43" s="8">
        <f>IFERROR(N43/N444, "NA")</f>
        <v>0.32775050433607067</v>
      </c>
      <c r="P43" s="9"/>
      <c r="Q43" s="7">
        <v>16408.82</v>
      </c>
      <c r="R43" s="8">
        <f>IFERROR(Q43/Q444, "NA")</f>
        <v>2.0733045596256723E-2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16408.82</v>
      </c>
      <c r="X43" s="8">
        <f>IFERROR(W43/W444, "NA")</f>
        <v>-0.67359853924106694</v>
      </c>
      <c r="Y43" s="9"/>
      <c r="Z43" s="7">
        <v>13536.25</v>
      </c>
      <c r="AA43" s="8">
        <f>IFERROR(Z43/Z444, "NA")</f>
        <v>1.909445055774063E-2</v>
      </c>
      <c r="AB43" s="9"/>
      <c r="AC43" s="10">
        <f>IFERROR(Q43-Z43, "NA")</f>
        <v>2872.5699999999997</v>
      </c>
      <c r="AD43" s="8">
        <f>IFERROR(AC43/AC444, "NA")</f>
        <v>3.4809321666769054E-2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23949.61</v>
      </c>
      <c r="F46" s="8">
        <f>IFERROR(E46/E444, "NA")</f>
        <v>0.19899998180304565</v>
      </c>
      <c r="G46" s="9"/>
      <c r="H46" s="10">
        <f t="shared" ref="H46:H62" si="12">IFERROR(B46-E46, "NA")</f>
        <v>-23949.61</v>
      </c>
      <c r="I46" s="8">
        <f>IFERROR(H46/H444, "NA")</f>
        <v>1.5463003435489815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162342.82999999999</v>
      </c>
      <c r="U46" s="8">
        <f>IFERROR(T46/T444, "NA")</f>
        <v>0.19900000136063908</v>
      </c>
      <c r="V46" s="9"/>
      <c r="W46" s="10">
        <f t="shared" ref="W46:W62" si="14">IFERROR(Q46-T46, "NA")</f>
        <v>-162342.82999999999</v>
      </c>
      <c r="X46" s="8">
        <f>IFERROR(W46/W444, "NA")</f>
        <v>6.6643362011565035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8883.2099999999991</v>
      </c>
      <c r="C48" s="8">
        <f>IFERROR(B48/B444, "NA")</f>
        <v>8.4713757616238103E-2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8883.2099999999991</v>
      </c>
      <c r="I48" s="8">
        <f>IFERROR(H48/H444, "NA")</f>
        <v>-0.57354214431123296</v>
      </c>
      <c r="J48" s="9"/>
      <c r="K48" s="7">
        <v>16524.55</v>
      </c>
      <c r="L48" s="8">
        <f>IFERROR(K48/K444, "NA")</f>
        <v>0.16201910024348137</v>
      </c>
      <c r="M48" s="9"/>
      <c r="N48" s="10">
        <f t="shared" si="13"/>
        <v>-7641.34</v>
      </c>
      <c r="O48" s="8">
        <f>IFERROR(N48/N444, "NA")</f>
        <v>-2.6623857622181721</v>
      </c>
      <c r="P48" s="9"/>
      <c r="Q48" s="7">
        <v>96051.34</v>
      </c>
      <c r="R48" s="8">
        <f>IFERROR(Q48/Q444, "NA")</f>
        <v>0.12136380384461266</v>
      </c>
      <c r="S48" s="9"/>
      <c r="T48" s="7">
        <v>0</v>
      </c>
      <c r="U48" s="8">
        <f>IFERROR(T48/T444, "NA")</f>
        <v>0</v>
      </c>
      <c r="V48" s="9"/>
      <c r="W48" s="10">
        <f t="shared" si="14"/>
        <v>96051.34</v>
      </c>
      <c r="X48" s="8">
        <f>IFERROR(W48/W444, "NA")</f>
        <v>-3.9430039647059973</v>
      </c>
      <c r="Y48" s="9"/>
      <c r="Z48" s="7">
        <v>121522.39</v>
      </c>
      <c r="AA48" s="8">
        <f>IFERROR(Z48/Z444, "NA")</f>
        <v>0.17142142524801732</v>
      </c>
      <c r="AB48" s="9"/>
      <c r="AC48" s="10">
        <f t="shared" si="15"/>
        <v>-25471.050000000003</v>
      </c>
      <c r="AD48" s="8">
        <f>IFERROR(AC48/AC444, "NA")</f>
        <v>-0.3086539136175474</v>
      </c>
    </row>
    <row r="49" spans="1:30" ht="16.5" customHeight="1" x14ac:dyDescent="0.45">
      <c r="A49" s="17" t="s">
        <v>47</v>
      </c>
      <c r="B49" s="7">
        <v>7500</v>
      </c>
      <c r="C49" s="8">
        <f>IFERROR(B49/B444, "NA")</f>
        <v>7.1522927198815048E-2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7500</v>
      </c>
      <c r="I49" s="8">
        <f>IFERROR(H49/H444, "NA")</f>
        <v>-0.48423555024976866</v>
      </c>
      <c r="J49" s="9"/>
      <c r="K49" s="7">
        <v>0</v>
      </c>
      <c r="L49" s="8">
        <f>IFERROR(K49/K444, "NA")</f>
        <v>0</v>
      </c>
      <c r="M49" s="9"/>
      <c r="N49" s="10">
        <f t="shared" si="13"/>
        <v>7500</v>
      </c>
      <c r="O49" s="8">
        <f>IFERROR(N49/N444, "NA")</f>
        <v>2.6131402629167519</v>
      </c>
      <c r="P49" s="9"/>
      <c r="Q49" s="7">
        <v>36153.550000000003</v>
      </c>
      <c r="R49" s="8">
        <f>IFERROR(Q49/Q444, "NA")</f>
        <v>4.5681115437706511E-2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36153.550000000003</v>
      </c>
      <c r="X49" s="8">
        <f>IFERROR(W49/W444, "NA")</f>
        <v>-1.484139534005424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36153.550000000003</v>
      </c>
      <c r="AD49" s="8">
        <f>IFERROR(AC49/AC444, "NA")</f>
        <v>0.43810265767087264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1.472013107562828E-5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-4.7824419928784828E-4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1.4117274684963624E-4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4.1443802513356871E-5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-1.3464729387675041E-3</v>
      </c>
      <c r="Y56" s="9"/>
      <c r="Z56" s="7">
        <v>887.25</v>
      </c>
      <c r="AA56" s="8">
        <f>IFERROR(Z56/Z444, "NA")</f>
        <v>1.2515690281544279E-3</v>
      </c>
      <c r="AB56" s="9"/>
      <c r="AC56" s="10">
        <f t="shared" si="15"/>
        <v>-854.45</v>
      </c>
      <c r="AD56" s="8">
        <f>IFERROR(AC56/AC444, "NA")</f>
        <v>-1.0354081849413879E-2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16383.21</v>
      </c>
      <c r="C61" s="15">
        <f>IFERROR(B61/B444, "NA")</f>
        <v>0.15623668481505315</v>
      </c>
      <c r="D61" s="2"/>
      <c r="E61" s="14">
        <f>IFERROR(E46+E47+E48+E49+E50+E51+E52+E53+E54+E55+E56+E57+E58+E59+E60, "NA")</f>
        <v>23949.61</v>
      </c>
      <c r="F61" s="15">
        <f>IFERROR(E61/E444, "NA")</f>
        <v>0.19899998180304565</v>
      </c>
      <c r="G61" s="2"/>
      <c r="H61" s="14">
        <f t="shared" si="12"/>
        <v>-7566.4000000000015</v>
      </c>
      <c r="I61" s="15">
        <f>IFERROR(H61/H444, "NA")</f>
        <v>0.48852264898798003</v>
      </c>
      <c r="J61" s="2"/>
      <c r="K61" s="14">
        <f>IFERROR(K46+K47+K48+K49+K50+K51+K52+K53+K54+K55+K56+K57+K58+K59+K60, "NA")</f>
        <v>16524.55</v>
      </c>
      <c r="L61" s="15">
        <f>IFERROR(K61/K444, "NA")</f>
        <v>0.16201910024348137</v>
      </c>
      <c r="M61" s="2"/>
      <c r="N61" s="14">
        <f t="shared" si="13"/>
        <v>-141.34000000000015</v>
      </c>
      <c r="O61" s="15">
        <f>IFERROR(N61/N444, "NA")</f>
        <v>-4.9245499301420546E-2</v>
      </c>
      <c r="P61" s="2"/>
      <c r="Q61" s="14">
        <f>IFERROR(Q46+Q47+Q48+Q49+Q50+Q51+Q52+Q53+Q54+Q55+Q56+Q57+Q58+Q59+Q60, "NA")</f>
        <v>132249.34</v>
      </c>
      <c r="R61" s="15">
        <f>IFERROR(Q61/Q444, "NA")</f>
        <v>0.16710108321590816</v>
      </c>
      <c r="S61" s="2"/>
      <c r="T61" s="14">
        <f>IFERROR(T46+T47+T48+T49+T50+T51+T52+T53+T54+T55+T56+T57+T58+T59+T60, "NA")</f>
        <v>162342.82999999999</v>
      </c>
      <c r="U61" s="15">
        <f>IFERROR(T61/T444, "NA")</f>
        <v>0.19900000136063908</v>
      </c>
      <c r="V61" s="2"/>
      <c r="W61" s="14">
        <f t="shared" si="14"/>
        <v>-30093.489999999991</v>
      </c>
      <c r="X61" s="15">
        <f>IFERROR(W61/W444, "NA")</f>
        <v>1.235367985307027</v>
      </c>
      <c r="Y61" s="2"/>
      <c r="Z61" s="14">
        <f>IFERROR(Z46+Z47+Z48+Z49+Z50+Z51+Z52+Z53+Z54+Z55+Z56+Z57+Z58+Z59+Z60, "NA")</f>
        <v>122409.64</v>
      </c>
      <c r="AA61" s="15">
        <f>IFERROR(Z61/Z444, "NA")</f>
        <v>0.17267299427617175</v>
      </c>
      <c r="AB61" s="2"/>
      <c r="AC61" s="14">
        <f t="shared" si="15"/>
        <v>9839.6999999999971</v>
      </c>
      <c r="AD61" s="15">
        <f>IFERROR(AC61/AC444, "NA")</f>
        <v>0.11923583495076095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17323.89</v>
      </c>
      <c r="C62" s="15">
        <f>IFERROR(B62/B444, "NA")</f>
        <v>0.16520737643603733</v>
      </c>
      <c r="D62" s="2"/>
      <c r="E62" s="14">
        <f>IFERROR(E42+E43+E44+E46+E47+E48+E49+E50+E51+E52+E53+E54+E55+E56+E57+E58+E59+E60, "NA")</f>
        <v>23949.61</v>
      </c>
      <c r="F62" s="15">
        <f>IFERROR(E62/E444, "NA")</f>
        <v>0.19899998180304565</v>
      </c>
      <c r="G62" s="2"/>
      <c r="H62" s="14">
        <f t="shared" si="12"/>
        <v>-6625.7200000000012</v>
      </c>
      <c r="I62" s="15">
        <f>IFERROR(H62/H444, "NA")</f>
        <v>0.42778788933345302</v>
      </c>
      <c r="J62" s="2"/>
      <c r="K62" s="14">
        <f>IFERROR(K42+K43+K44+K46+K47+K48+K49+K50+K51+K52+K53+K54+K55+K56+K57+K58+K59+K60, "NA")</f>
        <v>16524.55</v>
      </c>
      <c r="L62" s="15">
        <f>IFERROR(K62/K444, "NA")</f>
        <v>0.16201910024348137</v>
      </c>
      <c r="M62" s="2"/>
      <c r="N62" s="14">
        <f t="shared" si="13"/>
        <v>799.34000000000015</v>
      </c>
      <c r="O62" s="15">
        <f>IFERROR(N62/N444, "NA")</f>
        <v>0.27850500503465025</v>
      </c>
      <c r="P62" s="2"/>
      <c r="Q62" s="14">
        <f>IFERROR(Q42+Q43+Q44+Q46+Q47+Q48+Q49+Q50+Q51+Q52+Q53+Q54+Q55+Q56+Q57+Q58+Q59+Q60, "NA")</f>
        <v>148658.16</v>
      </c>
      <c r="R62" s="15">
        <f>IFERROR(Q62/Q444, "NA")</f>
        <v>0.18783412881216488</v>
      </c>
      <c r="S62" s="2"/>
      <c r="T62" s="14">
        <f>IFERROR(T42+T43+T44+T46+T47+T48+T49+T50+T51+T52+T53+T54+T55+T56+T57+T58+T59+T60, "NA")</f>
        <v>162342.82999999999</v>
      </c>
      <c r="U62" s="15">
        <f>IFERROR(T62/T444, "NA")</f>
        <v>0.19900000136063908</v>
      </c>
      <c r="V62" s="2"/>
      <c r="W62" s="14">
        <f t="shared" si="14"/>
        <v>-13684.669999999984</v>
      </c>
      <c r="X62" s="15">
        <f>IFERROR(W62/W444, "NA")</f>
        <v>0.56176944606595969</v>
      </c>
      <c r="Y62" s="2"/>
      <c r="Z62" s="14">
        <f>IFERROR(Z42+Z43+Z44+Z46+Z47+Z48+Z49+Z50+Z51+Z52+Z53+Z54+Z55+Z56+Z57+Z58+Z59+Z60, "NA")</f>
        <v>135945.89000000001</v>
      </c>
      <c r="AA62" s="15">
        <f>IFERROR(Z62/Z444, "NA")</f>
        <v>0.19176744483391239</v>
      </c>
      <c r="AB62" s="2"/>
      <c r="AC62" s="14">
        <f t="shared" si="15"/>
        <v>12712.26999999999</v>
      </c>
      <c r="AD62" s="15">
        <f>IFERROR(AC62/AC444, "NA")</f>
        <v>0.15404515661752993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2609.59</v>
      </c>
      <c r="R65" s="8">
        <f>IFERROR(Q65/Q444, "NA")</f>
        <v>3.2972967256350906E-3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2609.59</v>
      </c>
      <c r="X65" s="8">
        <f>IFERROR(W65/W444, "NA")</f>
        <v>-0.10712629013043572</v>
      </c>
      <c r="Y65" s="9"/>
      <c r="Z65" s="7">
        <v>1603.89</v>
      </c>
      <c r="AA65" s="8">
        <f>IFERROR(Z65/Z444, "NA")</f>
        <v>2.2624728639803948E-3</v>
      </c>
      <c r="AB65" s="9"/>
      <c r="AC65" s="10">
        <f t="shared" si="19"/>
        <v>1005.7</v>
      </c>
      <c r="AD65" s="8">
        <f>IFERROR(AC65/AC444, "NA")</f>
        <v>1.2186903991989627E-2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5343.42</v>
      </c>
      <c r="L66" s="8">
        <f>IFERROR(K66/K444, "NA")</f>
        <v>5.2390903269560946E-2</v>
      </c>
      <c r="M66" s="9"/>
      <c r="N66" s="10">
        <f t="shared" si="17"/>
        <v>-5343.42</v>
      </c>
      <c r="O66" s="8">
        <f>IFERROR(N66/N444, "NA")</f>
        <v>-1.8617474591566174</v>
      </c>
      <c r="P66" s="9"/>
      <c r="Q66" s="7">
        <v>11.85</v>
      </c>
      <c r="R66" s="8">
        <f>IFERROR(Q66/Q444, "NA")</f>
        <v>1.4972837188514602E-5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-4.8645440013399158E-4</v>
      </c>
      <c r="Y66" s="9"/>
      <c r="Z66" s="7">
        <v>12322.44</v>
      </c>
      <c r="AA66" s="8">
        <f>IFERROR(Z66/Z444, "NA")</f>
        <v>1.7382230775194421E-2</v>
      </c>
      <c r="AB66" s="9"/>
      <c r="AC66" s="10">
        <f t="shared" si="19"/>
        <v>-12310.59</v>
      </c>
      <c r="AD66" s="8">
        <f>IFERROR(AC66/AC444, "NA")</f>
        <v>-0.14917766572014277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>
        <f>IFERROR(B73/B444, "NA")</f>
        <v>0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0</v>
      </c>
      <c r="I73" s="15">
        <f>IFERROR(H73/H444, "NA")</f>
        <v>0</v>
      </c>
      <c r="J73" s="2"/>
      <c r="K73" s="14">
        <f>IFERROR(K64+K65+K66+K67+K68+K69+K70+K71+K72, "NA")</f>
        <v>5343.42</v>
      </c>
      <c r="L73" s="15">
        <f>IFERROR(K73/K444, "NA")</f>
        <v>5.2390903269560946E-2</v>
      </c>
      <c r="M73" s="2"/>
      <c r="N73" s="14">
        <f t="shared" si="17"/>
        <v>-5343.42</v>
      </c>
      <c r="O73" s="15">
        <f>IFERROR(N73/N444, "NA")</f>
        <v>-1.8617474591566174</v>
      </c>
      <c r="P73" s="2"/>
      <c r="Q73" s="14">
        <f>IFERROR(Q64+Q65+Q66+Q67+Q68+Q69+Q70+Q71+Q72, "NA")</f>
        <v>2621.44</v>
      </c>
      <c r="R73" s="15">
        <f>IFERROR(Q73/Q444, "NA")</f>
        <v>3.3122695628236051E-3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2621.44</v>
      </c>
      <c r="X73" s="15">
        <f>IFERROR(W73/W444, "NA")</f>
        <v>-0.1076127445305697</v>
      </c>
      <c r="Y73" s="2"/>
      <c r="Z73" s="14">
        <f>IFERROR(Z64+Z65+Z66+Z67+Z68+Z69+Z70+Z71+Z72, "NA")</f>
        <v>13926.33</v>
      </c>
      <c r="AA73" s="15">
        <f>IFERROR(Z73/Z444, "NA")</f>
        <v>1.9644703639174813E-2</v>
      </c>
      <c r="AB73" s="2"/>
      <c r="AC73" s="14">
        <f t="shared" si="19"/>
        <v>-11304.89</v>
      </c>
      <c r="AD73" s="15">
        <f>IFERROR(AC73/AC444, "NA")</f>
        <v>-0.13699076172815314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1564.55</v>
      </c>
      <c r="F75" s="8">
        <f>IFERROR(E75/E444, "NA")</f>
        <v>1.3000020523505604E-2</v>
      </c>
      <c r="G75" s="9"/>
      <c r="H75" s="10">
        <f t="shared" ref="H75:H92" si="20">IFERROR(B75-E75, "NA")</f>
        <v>-1564.55</v>
      </c>
      <c r="I75" s="8">
        <f>IFERROR(H75/H444, "NA")</f>
        <v>0.10101476401910341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10605.31</v>
      </c>
      <c r="U75" s="8">
        <f>IFERROR(T75/T444, "NA")</f>
        <v>1.2999999472905576E-2</v>
      </c>
      <c r="V75" s="9"/>
      <c r="W75" s="10">
        <f t="shared" ref="W75:W92" si="22">IFERROR(Q75-T75, "NA")</f>
        <v>-10605.31</v>
      </c>
      <c r="X75" s="8">
        <f>IFERROR(W75/W444, "NA")</f>
        <v>0.43535862567806094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109.51</v>
      </c>
      <c r="C77" s="8">
        <f>IFERROR(B77/B444, "NA")</f>
        <v>1.0443301010056316E-3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109.51</v>
      </c>
      <c r="I77" s="8">
        <f>IFERROR(H77/H444, "NA")</f>
        <v>-7.070484681046956E-3</v>
      </c>
      <c r="J77" s="9"/>
      <c r="K77" s="7">
        <v>47.84</v>
      </c>
      <c r="L77" s="8">
        <f>IFERROR(K77/K444, "NA")</f>
        <v>4.6905929393830091E-4</v>
      </c>
      <c r="M77" s="9"/>
      <c r="N77" s="10">
        <f t="shared" si="21"/>
        <v>61.67</v>
      </c>
      <c r="O77" s="8">
        <f>IFERROR(N77/N444, "NA")</f>
        <v>2.1486981335210147E-2</v>
      </c>
      <c r="P77" s="9"/>
      <c r="Q77" s="7">
        <v>1878.57</v>
      </c>
      <c r="R77" s="8">
        <f>IFERROR(Q77/Q444, "NA")</f>
        <v>2.3736306124242934E-3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1878.57</v>
      </c>
      <c r="X77" s="8">
        <f>IFERROR(W77/W444, "NA")</f>
        <v>-7.7117185017697265E-2</v>
      </c>
      <c r="Y77" s="9"/>
      <c r="Z77" s="7">
        <v>502.32</v>
      </c>
      <c r="AA77" s="8">
        <f>IFERROR(Z77/Z444, "NA")</f>
        <v>7.0858061901666073E-4</v>
      </c>
      <c r="AB77" s="9"/>
      <c r="AC77" s="10">
        <f t="shared" si="23"/>
        <v>1376.25</v>
      </c>
      <c r="AD77" s="8">
        <f>IFERROR(AC77/AC444, "NA")</f>
        <v>1.6677166768395868E-2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5.1100000000000003</v>
      </c>
      <c r="R79" s="8">
        <f>IFERROR(Q79/Q444, "NA")</f>
        <v>6.4566411842455375E-6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-2.097706316189618E-4</v>
      </c>
      <c r="Y79" s="9"/>
      <c r="Z79" s="7">
        <v>17.940000000000001</v>
      </c>
      <c r="AA79" s="8">
        <f>IFERROR(Z79/Z444, "NA")</f>
        <v>2.5306450679166456E-5</v>
      </c>
      <c r="AB79" s="9"/>
      <c r="AC79" s="10">
        <f t="shared" si="23"/>
        <v>-12.830000000000002</v>
      </c>
      <c r="AD79" s="8">
        <f>IFERROR(AC79/AC444, "NA")</f>
        <v>-1.5547178901981399E-4</v>
      </c>
    </row>
    <row r="80" spans="1:30" ht="16.5" customHeight="1" x14ac:dyDescent="0.45">
      <c r="A80" s="12" t="s">
        <v>76</v>
      </c>
      <c r="B80" s="7">
        <v>804.07</v>
      </c>
      <c r="C80" s="8">
        <f>IFERROR(B80/B444, "NA")</f>
        <v>7.6679253430334956E-3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804.07</v>
      </c>
      <c r="I80" s="8">
        <f>IFERROR(H80/H444, "NA")</f>
        <v>-5.1914570518577535E-2</v>
      </c>
      <c r="J80" s="9"/>
      <c r="K80" s="7">
        <v>1120</v>
      </c>
      <c r="L80" s="8">
        <f>IFERROR(K80/K444, "NA")</f>
        <v>1.0981321262769586E-2</v>
      </c>
      <c r="M80" s="9"/>
      <c r="N80" s="10">
        <f t="shared" si="21"/>
        <v>-315.92999999999995</v>
      </c>
      <c r="O80" s="8">
        <f>IFERROR(N80/N444, "NA")</f>
        <v>-0.11007592043510524</v>
      </c>
      <c r="P80" s="9"/>
      <c r="Q80" s="7">
        <v>8204.75</v>
      </c>
      <c r="R80" s="8">
        <f>IFERROR(Q80/Q444, "NA")</f>
        <v>1.0366952398520269E-2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8204.75</v>
      </c>
      <c r="X80" s="8">
        <f>IFERROR(W80/W444, "NA")</f>
        <v>-0.33681322696197197</v>
      </c>
      <c r="Y80" s="9"/>
      <c r="Z80" s="7">
        <v>10000.27</v>
      </c>
      <c r="AA80" s="8">
        <f>IFERROR(Z80/Z444, "NA")</f>
        <v>1.4106540665181043E-2</v>
      </c>
      <c r="AB80" s="9"/>
      <c r="AC80" s="10">
        <f t="shared" si="23"/>
        <v>-1795.5200000000004</v>
      </c>
      <c r="AD80" s="8">
        <f>IFERROR(AC80/AC444, "NA")</f>
        <v>-2.1757810336777587E-2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913.58</v>
      </c>
      <c r="C88" s="15">
        <f>IFERROR(B88/B444, "NA")</f>
        <v>8.712255444039127E-3</v>
      </c>
      <c r="D88" s="2"/>
      <c r="E88" s="14">
        <f>IFERROR(E75+E76+E77+E78+E79+E80+E81+E82+E83+E84+E85+E86+E87, "NA")</f>
        <v>1564.55</v>
      </c>
      <c r="F88" s="15">
        <f>IFERROR(E88/E444, "NA")</f>
        <v>1.3000020523505604E-2</v>
      </c>
      <c r="G88" s="2"/>
      <c r="H88" s="14">
        <f t="shared" si="20"/>
        <v>-650.96999999999991</v>
      </c>
      <c r="I88" s="15">
        <f>IFERROR(H88/H444, "NA")</f>
        <v>4.2029708819478914E-2</v>
      </c>
      <c r="J88" s="2"/>
      <c r="K88" s="14">
        <f>IFERROR(K75+K76+K77+K78+K79+K80+K81+K82+K83+K84+K85+K86+K87, "NA")</f>
        <v>1167.8399999999999</v>
      </c>
      <c r="L88" s="15">
        <f>IFERROR(K88/K444, "NA")</f>
        <v>1.1450380556707886E-2</v>
      </c>
      <c r="M88" s="2"/>
      <c r="N88" s="14">
        <f t="shared" si="21"/>
        <v>-254.25999999999988</v>
      </c>
      <c r="O88" s="15">
        <f>IFERROR(N88/N444, "NA")</f>
        <v>-8.858893909989507E-2</v>
      </c>
      <c r="P88" s="2"/>
      <c r="Q88" s="14">
        <f>IFERROR(Q75+Q76+Q77+Q78+Q79+Q80+Q81+Q82+Q83+Q84+Q85+Q86+Q87, "NA")</f>
        <v>10088.43</v>
      </c>
      <c r="R88" s="15">
        <f>IFERROR(Q88/Q444, "NA")</f>
        <v>1.2747039652128807E-2</v>
      </c>
      <c r="S88" s="2"/>
      <c r="T88" s="14">
        <f>IFERROR(T75+T76+T77+T78+T79+T80+T81+T82+T83+T84+T85+T86+T87, "NA")</f>
        <v>10605.31</v>
      </c>
      <c r="U88" s="15">
        <f>IFERROR(T88/T444, "NA")</f>
        <v>1.2999999472905576E-2</v>
      </c>
      <c r="V88" s="2"/>
      <c r="W88" s="14">
        <f t="shared" si="22"/>
        <v>-516.8799999999992</v>
      </c>
      <c r="X88" s="15">
        <f>IFERROR(W88/W444, "NA")</f>
        <v>2.1218443066772757E-2</v>
      </c>
      <c r="Y88" s="2"/>
      <c r="Z88" s="14">
        <f>IFERROR(Z75+Z76+Z77+Z78+Z79+Z80+Z81+Z82+Z83+Z84+Z85+Z86+Z87, "NA")</f>
        <v>10520.53</v>
      </c>
      <c r="AA88" s="15">
        <f>IFERROR(Z88/Z444, "NA")</f>
        <v>1.4840427734876871E-2</v>
      </c>
      <c r="AB88" s="2"/>
      <c r="AC88" s="14">
        <f t="shared" si="23"/>
        <v>-432.10000000000036</v>
      </c>
      <c r="AD88" s="15">
        <f>IFERROR(AC88/AC444, "NA")</f>
        <v>-5.2361153574015332E-3</v>
      </c>
    </row>
    <row r="89" spans="1:30" ht="16.5" customHeight="1" x14ac:dyDescent="0.45">
      <c r="A89" s="6" t="s">
        <v>85</v>
      </c>
      <c r="B89" s="7">
        <v>-33.049999999999997</v>
      </c>
      <c r="C89" s="8">
        <f>IFERROR(B89/B444, "NA")</f>
        <v>-3.1517769918944493E-4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-33.049999999999997</v>
      </c>
      <c r="I89" s="8">
        <f>IFERROR(H89/H444, "NA")</f>
        <v>2.133864658100647E-3</v>
      </c>
      <c r="J89" s="9"/>
      <c r="K89" s="7">
        <v>399.8</v>
      </c>
      <c r="L89" s="8">
        <f>IFERROR(K89/K444, "NA")</f>
        <v>3.9199395007636431E-3</v>
      </c>
      <c r="M89" s="9"/>
      <c r="N89" s="10">
        <f t="shared" si="21"/>
        <v>-432.85</v>
      </c>
      <c r="O89" s="8">
        <f>IFERROR(N89/N444, "NA")</f>
        <v>-0.15081303504046881</v>
      </c>
      <c r="P89" s="9"/>
      <c r="Q89" s="7">
        <v>217.62</v>
      </c>
      <c r="R89" s="8">
        <f>IFERROR(Q89/Q444, "NA")</f>
        <v>2.7496952143160744E-4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217.62</v>
      </c>
      <c r="X89" s="8">
        <f>IFERROR(W89/W444, "NA")</f>
        <v>-8.9335195406885452E-3</v>
      </c>
      <c r="Y89" s="9"/>
      <c r="Z89" s="7">
        <v>1357.24</v>
      </c>
      <c r="AA89" s="8">
        <f>IFERROR(Z89/Z444, "NA")</f>
        <v>1.9145444325413532E-3</v>
      </c>
      <c r="AB89" s="9"/>
      <c r="AC89" s="10">
        <f t="shared" si="23"/>
        <v>-1139.6199999999999</v>
      </c>
      <c r="AD89" s="8">
        <f>IFERROR(AC89/AC444, "NA")</f>
        <v>-1.3809724099981324E-2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-4212.24</v>
      </c>
      <c r="F94" s="8">
        <f>IFERROR(E94/E444, "NA")</f>
        <v>-3.4999972164476201E-2</v>
      </c>
      <c r="G94" s="9"/>
      <c r="H94" s="10">
        <f t="shared" ref="H94:H124" si="24">IFERROR(B94-E94, "NA")</f>
        <v>4212.24</v>
      </c>
      <c r="I94" s="8">
        <f>IFERROR(H94/H444, "NA")</f>
        <v>-0.27196218055787807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-28552.75</v>
      </c>
      <c r="U94" s="8">
        <f>IFERROR(T94/T444, "NA")</f>
        <v>-3.4999989151661262E-2</v>
      </c>
      <c r="V94" s="9"/>
      <c r="W94" s="10">
        <f t="shared" ref="W94:W124" si="26">IFERROR(Q94-T94, "NA")</f>
        <v>28552.75</v>
      </c>
      <c r="X94" s="8">
        <f>IFERROR(W94/W444, "NA")</f>
        <v>-1.1721190610485932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-2207.5500000000002</v>
      </c>
      <c r="C96" s="8">
        <f>IFERROR(B96/B444, "NA")</f>
        <v>-2.1052058391699224E-2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-2207.5500000000002</v>
      </c>
      <c r="I96" s="8">
        <f>IFERROR(H96/H444, "NA")</f>
        <v>0.14252989186051693</v>
      </c>
      <c r="J96" s="9"/>
      <c r="K96" s="7">
        <v>-39.950000000000003</v>
      </c>
      <c r="L96" s="8">
        <f>IFERROR(K96/K444, "NA")</f>
        <v>-3.9169980754254018E-4</v>
      </c>
      <c r="M96" s="9"/>
      <c r="N96" s="10">
        <f t="shared" si="25"/>
        <v>-2167.6000000000004</v>
      </c>
      <c r="O96" s="8">
        <f>IFERROR(N96/N444, "NA")</f>
        <v>-0.75523237785311359</v>
      </c>
      <c r="P96" s="9"/>
      <c r="Q96" s="7">
        <v>-11258.27</v>
      </c>
      <c r="R96" s="8">
        <f>IFERROR(Q96/Q444, "NA")</f>
        <v>-1.4225168247623486E-2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-11258.27</v>
      </c>
      <c r="X96" s="8">
        <f>IFERROR(W96/W444, "NA")</f>
        <v>0.46216328940054968</v>
      </c>
      <c r="Y96" s="9"/>
      <c r="Z96" s="7">
        <v>-555.45000000000005</v>
      </c>
      <c r="AA96" s="8">
        <f>IFERROR(Z96/Z444, "NA")</f>
        <v>-7.8352664602803835E-4</v>
      </c>
      <c r="AB96" s="9"/>
      <c r="AC96" s="10">
        <f t="shared" si="27"/>
        <v>-10702.82</v>
      </c>
      <c r="AD96" s="8">
        <f>IFERROR(AC96/AC444, "NA")</f>
        <v>-0.12969497840662864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-3573.82</v>
      </c>
      <c r="C98" s="8">
        <f>IFERROR(B98/B444, "NA")</f>
        <v>-3.4081342357555895E-2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-3573.82</v>
      </c>
      <c r="I98" s="8">
        <f>IFERROR(H98/H444, "NA")</f>
        <v>0.23074275922581711</v>
      </c>
      <c r="J98" s="9"/>
      <c r="K98" s="7">
        <v>-1973.05</v>
      </c>
      <c r="L98" s="8">
        <f>IFERROR(K98/K444, "NA")</f>
        <v>-1.9345264212060294E-2</v>
      </c>
      <c r="M98" s="9"/>
      <c r="N98" s="10">
        <f t="shared" si="25"/>
        <v>-1600.7700000000002</v>
      </c>
      <c r="O98" s="8">
        <f>IFERROR(N98/N444, "NA")</f>
        <v>-0.55773820515589989</v>
      </c>
      <c r="P98" s="9"/>
      <c r="Q98" s="7">
        <v>-18158.37</v>
      </c>
      <c r="R98" s="8">
        <f>IFERROR(Q98/Q444, "NA")</f>
        <v>-2.294365549525805E-2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-18158.37</v>
      </c>
      <c r="X98" s="8">
        <f>IFERROR(W98/W444, "NA")</f>
        <v>0.74541932369291719</v>
      </c>
      <c r="Y98" s="9"/>
      <c r="Z98" s="7">
        <v>-13093.93</v>
      </c>
      <c r="AA98" s="8">
        <f>IFERROR(Z98/Z444, "NA")</f>
        <v>-1.8470506897517169E-2</v>
      </c>
      <c r="AB98" s="9"/>
      <c r="AC98" s="10">
        <f t="shared" si="27"/>
        <v>-5064.4399999999987</v>
      </c>
      <c r="AD98" s="8">
        <f>IFERROR(AC98/AC444, "NA")</f>
        <v>-6.1370034854521159E-2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-37.36</v>
      </c>
      <c r="C100" s="8">
        <f>IFERROR(B100/B444, "NA")</f>
        <v>-3.5627954135303069E-4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-37.36</v>
      </c>
      <c r="I100" s="8">
        <f>IFERROR(H100/H444, "NA")</f>
        <v>2.4121386876441806E-3</v>
      </c>
      <c r="J100" s="9"/>
      <c r="K100" s="7">
        <v>-17.66</v>
      </c>
      <c r="L100" s="8">
        <f>IFERROR(K100/K444, "NA")</f>
        <v>-1.7315190491117043E-4</v>
      </c>
      <c r="M100" s="9"/>
      <c r="N100" s="10">
        <f t="shared" si="25"/>
        <v>-19.7</v>
      </c>
      <c r="O100" s="8">
        <f>IFERROR(N100/N444, "NA")</f>
        <v>-6.8638484239280009E-3</v>
      </c>
      <c r="P100" s="9"/>
      <c r="Q100" s="7">
        <v>-692.99</v>
      </c>
      <c r="R100" s="8">
        <f>IFERROR(Q100/Q444, "NA")</f>
        <v>-8.7561404584546277E-4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-692.99</v>
      </c>
      <c r="X100" s="8">
        <f>IFERROR(W100/W444, "NA")</f>
        <v>2.8447935421844289E-2</v>
      </c>
      <c r="Y100" s="9"/>
      <c r="Z100" s="7">
        <v>-2818.81</v>
      </c>
      <c r="AA100" s="8">
        <f>IFERROR(Z100/Z444, "NA")</f>
        <v>-3.9762584302642807E-3</v>
      </c>
      <c r="AB100" s="9"/>
      <c r="AC100" s="10">
        <f t="shared" si="27"/>
        <v>2125.8199999999997</v>
      </c>
      <c r="AD100" s="8">
        <f>IFERROR(AC100/AC444, "NA")</f>
        <v>2.5760330361192588E-2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-1082.77</v>
      </c>
      <c r="C102" s="8">
        <f>IFERROR(B102/B444, "NA")</f>
        <v>-1.0325717317741463E-2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-1082.77</v>
      </c>
      <c r="I102" s="8">
        <f>IFERROR(H102/H444, "NA")</f>
        <v>6.9908763565858928E-2</v>
      </c>
      <c r="J102" s="9"/>
      <c r="K102" s="7">
        <v>-181.7</v>
      </c>
      <c r="L102" s="8">
        <f>IFERROR(K102/K444, "NA")</f>
        <v>-1.7815232798618157E-3</v>
      </c>
      <c r="M102" s="9"/>
      <c r="N102" s="10">
        <f t="shared" si="25"/>
        <v>-901.06999999999994</v>
      </c>
      <c r="O102" s="8">
        <f>IFERROR(N102/N444, "NA")</f>
        <v>-0.31394963956085298</v>
      </c>
      <c r="P102" s="9"/>
      <c r="Q102" s="7">
        <v>-10617.21</v>
      </c>
      <c r="R102" s="8">
        <f>IFERROR(Q102/Q444, "NA")</f>
        <v>-1.3415169343988955E-2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-10617.21</v>
      </c>
      <c r="X102" s="8">
        <f>IFERROR(W102/W444, "NA")</f>
        <v>0.43584713262840646</v>
      </c>
      <c r="Y102" s="9"/>
      <c r="Z102" s="7">
        <v>-2359.64</v>
      </c>
      <c r="AA102" s="8">
        <f>IFERROR(Z102/Z444, "NA")</f>
        <v>-3.3285458907797282E-3</v>
      </c>
      <c r="AB102" s="9"/>
      <c r="AC102" s="10">
        <f t="shared" si="27"/>
        <v>-8257.57</v>
      </c>
      <c r="AD102" s="8">
        <f>IFERROR(AC102/AC444, "NA")</f>
        <v>-0.10006384885863953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-780.42</v>
      </c>
      <c r="C104" s="8">
        <f>IFERROR(B104/B444, "NA")</f>
        <v>-7.4423897125998981E-3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-780.42</v>
      </c>
      <c r="I104" s="8">
        <f>IFERROR(H104/H444, "NA")</f>
        <v>5.0387614416789926E-2</v>
      </c>
      <c r="J104" s="9"/>
      <c r="K104" s="7">
        <v>-637.69000000000005</v>
      </c>
      <c r="L104" s="8">
        <f>IFERROR(K104/K444, "NA")</f>
        <v>-6.2523917464781583E-3</v>
      </c>
      <c r="M104" s="9"/>
      <c r="N104" s="10">
        <f t="shared" si="25"/>
        <v>-142.7299999999999</v>
      </c>
      <c r="O104" s="8">
        <f>IFERROR(N104/N444, "NA")</f>
        <v>-4.9729801296814362E-2</v>
      </c>
      <c r="P104" s="9"/>
      <c r="Q104" s="7">
        <v>-6960.13</v>
      </c>
      <c r="R104" s="8">
        <f>IFERROR(Q104/Q444, "NA")</f>
        <v>-8.7943369874173959E-3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-6960.13</v>
      </c>
      <c r="X104" s="8">
        <f>IFERROR(W104/W444, "NA")</f>
        <v>0.28572032607633746</v>
      </c>
      <c r="Y104" s="9"/>
      <c r="Z104" s="7">
        <v>-4646.33</v>
      </c>
      <c r="AA104" s="8">
        <f>IFERROR(Z104/Z444, "NA")</f>
        <v>-6.5541873458267261E-3</v>
      </c>
      <c r="AB104" s="9"/>
      <c r="AC104" s="10">
        <f t="shared" si="27"/>
        <v>-2313.8000000000002</v>
      </c>
      <c r="AD104" s="8">
        <f>IFERROR(AC104/AC444, "NA")</f>
        <v>-2.8038240485895993E-2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-314.22000000000003</v>
      </c>
      <c r="L106" s="8">
        <f>IFERROR(K106/K444, "NA")</f>
        <v>-3.0808488992745174E-3</v>
      </c>
      <c r="M106" s="9"/>
      <c r="N106" s="10">
        <f t="shared" si="25"/>
        <v>314.22000000000003</v>
      </c>
      <c r="O106" s="8">
        <f>IFERROR(N106/N444, "NA")</f>
        <v>0.10948012445516024</v>
      </c>
      <c r="P106" s="9"/>
      <c r="Q106" s="7">
        <v>-1196.24</v>
      </c>
      <c r="R106" s="8">
        <f>IFERROR(Q106/Q444, "NA")</f>
        <v>-1.5114858023956715E-3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-1196.24</v>
      </c>
      <c r="X106" s="8">
        <f>IFERROR(W106/W444, "NA")</f>
        <v>4.9106853300952415E-2</v>
      </c>
      <c r="Y106" s="9"/>
      <c r="Z106" s="7">
        <v>-1526.81</v>
      </c>
      <c r="AA106" s="8">
        <f>IFERROR(Z106/Z444, "NA")</f>
        <v>-2.1537425842507322E-3</v>
      </c>
      <c r="AB106" s="9"/>
      <c r="AC106" s="10">
        <f t="shared" si="27"/>
        <v>330.56999999999994</v>
      </c>
      <c r="AD106" s="8">
        <f>IFERROR(AC106/AC444, "NA")</f>
        <v>4.0057918391488614E-3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-7.0530798994332365E-6</v>
      </c>
      <c r="AB108" s="9"/>
      <c r="AC108" s="10">
        <f t="shared" si="27"/>
        <v>5</v>
      </c>
      <c r="AD108" s="8">
        <f>IFERROR(AC108/AC444, "NA")</f>
        <v>6.05891617380413E-5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-7681.92</v>
      </c>
      <c r="C118" s="15">
        <f>IFERROR(B118/B444, "NA")</f>
        <v>-7.3257787320949508E-2</v>
      </c>
      <c r="D118" s="2"/>
      <c r="E118" s="14">
        <f>IFERROR(E94+E95+E96+E97+E98+E99+E100+E101+E102+E103+E104+E105+E106+E107+E108+E109+E110+E111+E112+E113+E114+E115+E116+E117, "NA")</f>
        <v>-4212.24</v>
      </c>
      <c r="F118" s="15">
        <f>IFERROR(E118/E444, "NA")</f>
        <v>-3.4999972164476201E-2</v>
      </c>
      <c r="G118" s="2"/>
      <c r="H118" s="14">
        <f t="shared" si="24"/>
        <v>-3469.6800000000003</v>
      </c>
      <c r="I118" s="15">
        <f>IFERROR(H118/H444, "NA")</f>
        <v>0.22401898719874899</v>
      </c>
      <c r="J118" s="2"/>
      <c r="K118" s="14">
        <f>IFERROR(K94+K95+K96+K97+K98+K99+K100+K101+K102+K103+K104+K105+K106+K107+K108+K109+K110+K111+K112+K113+K114+K115+K116+K117, "NA")</f>
        <v>-3164.2700000000004</v>
      </c>
      <c r="L118" s="15">
        <f>IFERROR(K118/K444, "NA")</f>
        <v>-3.1024879850128501E-2</v>
      </c>
      <c r="M118" s="2"/>
      <c r="N118" s="14">
        <f t="shared" si="25"/>
        <v>-4517.6499999999996</v>
      </c>
      <c r="O118" s="15">
        <f>IFERROR(N118/N444, "NA")</f>
        <v>-1.5740337478354485</v>
      </c>
      <c r="P118" s="2"/>
      <c r="Q118" s="14">
        <f>IFERROR(Q94+Q95+Q96+Q97+Q98+Q99+Q100+Q101+Q102+Q103+Q104+Q105+Q106+Q107+Q108+Q109+Q110+Q111+Q112+Q113+Q114+Q115+Q116+Q117, "NA")</f>
        <v>-48883.209999999992</v>
      </c>
      <c r="R118" s="15">
        <f>IFERROR(Q118/Q444, "NA")</f>
        <v>-6.1765429922529008E-2</v>
      </c>
      <c r="S118" s="2"/>
      <c r="T118" s="14">
        <f>IFERROR(T94+T95+T96+T97+T98+T99+T100+T101+T102+T103+T104+T105+T106+T107+T108+T109+T110+T111+T112+T113+T114+T115+T116+T117, "NA")</f>
        <v>-28552.75</v>
      </c>
      <c r="U118" s="15">
        <f>IFERROR(T118/T444, "NA")</f>
        <v>-3.4999989151661262E-2</v>
      </c>
      <c r="V118" s="2"/>
      <c r="W118" s="14">
        <f t="shared" si="26"/>
        <v>-20330.459999999992</v>
      </c>
      <c r="X118" s="15">
        <f>IFERROR(W118/W444, "NA")</f>
        <v>0.83458579947241407</v>
      </c>
      <c r="Y118" s="2"/>
      <c r="Z118" s="14">
        <f>IFERROR(Z94+Z95+Z96+Z97+Z98+Z99+Z100+Z101+Z102+Z103+Z104+Z105+Z106+Z107+Z108+Z109+Z110+Z111+Z112+Z113+Z114+Z115+Z116+Z117, "NA")</f>
        <v>-25005.970000000005</v>
      </c>
      <c r="AA118" s="15">
        <f>IFERROR(Z118/Z444, "NA")</f>
        <v>-3.5273820874566111E-2</v>
      </c>
      <c r="AB118" s="2"/>
      <c r="AC118" s="14">
        <f t="shared" si="27"/>
        <v>-23877.239999999987</v>
      </c>
      <c r="AD118" s="15">
        <f>IFERROR(AC118/AC444, "NA")</f>
        <v>-0.28934039124360567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104861.47999999998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120349.80999999998</v>
      </c>
      <c r="F122" s="15">
        <f>IFERROR(E122/E444, "NA")</f>
        <v>0.99999999999999989</v>
      </c>
      <c r="G122" s="2"/>
      <c r="H122" s="14">
        <f t="shared" si="24"/>
        <v>-15488.330000000002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101991.37</v>
      </c>
      <c r="L122" s="15">
        <f>IFERROR(K122/K444, "NA")</f>
        <v>1</v>
      </c>
      <c r="M122" s="2"/>
      <c r="N122" s="14">
        <f t="shared" si="25"/>
        <v>2870.109999999986</v>
      </c>
      <c r="O122" s="15">
        <f>IFERROR(N122/N444, "NA")</f>
        <v>0.99999999999999489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791433.16999999993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815793.11</v>
      </c>
      <c r="U122" s="15">
        <f>IFERROR(T122/T444, "NA")</f>
        <v>1</v>
      </c>
      <c r="V122" s="2"/>
      <c r="W122" s="14">
        <f t="shared" si="26"/>
        <v>-24359.940000000061</v>
      </c>
      <c r="X122" s="15">
        <f>IFERROR(W122/W444, "NA")</f>
        <v>1.0000000000000049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708910.15999999968</v>
      </c>
      <c r="AA122" s="15">
        <f>IFERROR(Z122/Z444, "NA")</f>
        <v>0.99999999999999956</v>
      </c>
      <c r="AB122" s="2"/>
      <c r="AC122" s="14">
        <f t="shared" si="27"/>
        <v>82523.010000000242</v>
      </c>
      <c r="AD122" s="15">
        <f>IFERROR(AC122/AC444, "NA")</f>
        <v>1.0000000000000029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104861.47999999998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120349.80999999998</v>
      </c>
      <c r="F124" s="15">
        <f>IFERROR(E124/E444, "NA")</f>
        <v>0.99999999999999989</v>
      </c>
      <c r="G124" s="2"/>
      <c r="H124" s="14">
        <f t="shared" si="24"/>
        <v>-15488.330000000002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101991.37</v>
      </c>
      <c r="L124" s="15">
        <f>IFERROR(K124/K444, "NA")</f>
        <v>1</v>
      </c>
      <c r="M124" s="2"/>
      <c r="N124" s="14">
        <f t="shared" si="25"/>
        <v>2870.109999999986</v>
      </c>
      <c r="O124" s="15">
        <f>IFERROR(N124/N444, "NA")</f>
        <v>0.99999999999999489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791433.16999999993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815793.11</v>
      </c>
      <c r="U124" s="15">
        <f>IFERROR(T124/T444, "NA")</f>
        <v>1</v>
      </c>
      <c r="V124" s="2"/>
      <c r="W124" s="14">
        <f t="shared" si="26"/>
        <v>-24359.940000000061</v>
      </c>
      <c r="X124" s="15">
        <f>IFERROR(W124/W444, "NA")</f>
        <v>1.0000000000000049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708910.15999999968</v>
      </c>
      <c r="AA124" s="15">
        <f>IFERROR(Z124/Z444, "NA")</f>
        <v>0.99999999999999956</v>
      </c>
      <c r="AB124" s="2"/>
      <c r="AC124" s="14">
        <f t="shared" si="27"/>
        <v>82523.010000000242</v>
      </c>
      <c r="AD124" s="15">
        <f>IFERROR(AC124/AC444, "NA")</f>
        <v>1.0000000000000029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27439.759999999998</v>
      </c>
      <c r="F129" s="8">
        <f>IFERROR(E129/E444, "NA")</f>
        <v>0.22800002758625043</v>
      </c>
      <c r="G129" s="9"/>
      <c r="H129" s="10">
        <f t="shared" ref="H129:H141" si="28">IFERROR(-(B129-E129), "NA")</f>
        <v>27439.759999999998</v>
      </c>
      <c r="I129" s="8">
        <f>IFERROR(H129/H444, "NA")</f>
        <v>-1.7716409709762122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191804.71</v>
      </c>
      <c r="U129" s="8">
        <f>IFERROR(T129/T444, "NA")</f>
        <v>0.23511440296425157</v>
      </c>
      <c r="V129" s="9"/>
      <c r="W129" s="10">
        <f t="shared" ref="W129:W141" si="30">IFERROR(-(Q129-T129), "NA")</f>
        <v>191804.71</v>
      </c>
      <c r="X129" s="8">
        <f>IFERROR(W129/W444, "NA")</f>
        <v>-7.8737759616813685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5525.32</v>
      </c>
      <c r="C130" s="8">
        <f>IFERROR(B130/B444, "NA")</f>
        <v>5.2691608014687565E-2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-5525.32</v>
      </c>
      <c r="I130" s="8">
        <f>IFERROR(H130/H444, "NA")</f>
        <v>0.35674084940080686</v>
      </c>
      <c r="J130" s="9"/>
      <c r="K130" s="7">
        <v>6732.09</v>
      </c>
      <c r="L130" s="8">
        <f>IFERROR(K130/K444, "NA")</f>
        <v>6.6006467017748663E-2</v>
      </c>
      <c r="M130" s="9"/>
      <c r="N130" s="10">
        <f t="shared" si="29"/>
        <v>1206.7700000000004</v>
      </c>
      <c r="O130" s="8">
        <f>IFERROR(N130/N444, "NA")</f>
        <v>0.42046123667733998</v>
      </c>
      <c r="P130" s="9"/>
      <c r="Q130" s="7">
        <v>44145.73</v>
      </c>
      <c r="R130" s="8">
        <f>IFERROR(Q130/Q444, "NA")</f>
        <v>5.577947914414555E-2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-44145.73</v>
      </c>
      <c r="X130" s="8">
        <f>IFERROR(W130/W444, "NA")</f>
        <v>1.8122265489980725</v>
      </c>
      <c r="Y130" s="9"/>
      <c r="Z130" s="7">
        <v>45754.06</v>
      </c>
      <c r="AA130" s="8">
        <f>IFERROR(Z130/Z444, "NA")</f>
        <v>6.4541408180692456E-2</v>
      </c>
      <c r="AB130" s="9"/>
      <c r="AC130" s="10">
        <f t="shared" si="31"/>
        <v>1608.3299999999945</v>
      </c>
      <c r="AD130" s="8">
        <f>IFERROR(AC130/AC444, "NA")</f>
        <v>1.9489473299628725E-2</v>
      </c>
    </row>
    <row r="131" spans="1:30" ht="16.5" customHeight="1" x14ac:dyDescent="0.45">
      <c r="A131" s="12" t="s">
        <v>123</v>
      </c>
      <c r="B131" s="7">
        <v>3060.54</v>
      </c>
      <c r="C131" s="8">
        <f>IFERROR(B131/B444, "NA")</f>
        <v>2.9186503947874854E-2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-3060.54</v>
      </c>
      <c r="I131" s="8">
        <f>IFERROR(H131/H444, "NA")</f>
        <v>0.19760296946152359</v>
      </c>
      <c r="J131" s="9"/>
      <c r="K131" s="7">
        <v>3734.36</v>
      </c>
      <c r="L131" s="8">
        <f>IFERROR(K131/K444, "NA")</f>
        <v>3.661447042038949E-2</v>
      </c>
      <c r="M131" s="9"/>
      <c r="N131" s="10">
        <f t="shared" si="29"/>
        <v>673.82000000000016</v>
      </c>
      <c r="O131" s="8">
        <f>IFERROR(N131/N444, "NA")</f>
        <v>0.23477148959447547</v>
      </c>
      <c r="P131" s="9"/>
      <c r="Q131" s="7">
        <v>26420.83</v>
      </c>
      <c r="R131" s="8">
        <f>IFERROR(Q131/Q444, "NA")</f>
        <v>3.3383526242651673E-2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-26420.83</v>
      </c>
      <c r="X131" s="8">
        <f>IFERROR(W131/W444, "NA")</f>
        <v>1.0846016041090438</v>
      </c>
      <c r="Y131" s="9"/>
      <c r="Z131" s="7">
        <v>24949.01</v>
      </c>
      <c r="AA131" s="8">
        <f>IFERROR(Z131/Z444, "NA")</f>
        <v>3.5193472188351761E-2</v>
      </c>
      <c r="AB131" s="9"/>
      <c r="AC131" s="10">
        <f t="shared" si="31"/>
        <v>-1471.8200000000033</v>
      </c>
      <c r="AD131" s="8">
        <f>IFERROR(AC131/AC444, "NA")</f>
        <v>-1.783526800585683E-2</v>
      </c>
    </row>
    <row r="132" spans="1:30" ht="16.5" customHeight="1" x14ac:dyDescent="0.45">
      <c r="A132" s="12" t="s">
        <v>124</v>
      </c>
      <c r="B132" s="7">
        <v>5795.65</v>
      </c>
      <c r="C132" s="8">
        <f>IFERROR(B132/B444, "NA")</f>
        <v>5.5269580402641655E-2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-5795.65</v>
      </c>
      <c r="I132" s="8">
        <f>IFERROR(H132/H444, "NA")</f>
        <v>0.3741946355740095</v>
      </c>
      <c r="J132" s="9"/>
      <c r="K132" s="7">
        <v>4030.46</v>
      </c>
      <c r="L132" s="8">
        <f>IFERROR(K132/K444, "NA")</f>
        <v>3.9517657229234199E-2</v>
      </c>
      <c r="M132" s="9"/>
      <c r="N132" s="10">
        <f t="shared" si="29"/>
        <v>-1765.1899999999996</v>
      </c>
      <c r="O132" s="8">
        <f>IFERROR(N132/N444, "NA")</f>
        <v>-0.61502520809306938</v>
      </c>
      <c r="P132" s="9"/>
      <c r="Q132" s="7">
        <v>36324.720000000001</v>
      </c>
      <c r="R132" s="8">
        <f>IFERROR(Q132/Q444, "NA")</f>
        <v>4.5897393964420267E-2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-36324.720000000001</v>
      </c>
      <c r="X132" s="8">
        <f>IFERROR(W132/W444, "NA")</f>
        <v>1.4911662343995955</v>
      </c>
      <c r="Y132" s="9"/>
      <c r="Z132" s="7">
        <v>25506.46</v>
      </c>
      <c r="AA132" s="8">
        <f>IFERROR(Z132/Z444, "NA")</f>
        <v>3.5979820066339575E-2</v>
      </c>
      <c r="AB132" s="9"/>
      <c r="AC132" s="10">
        <f t="shared" si="31"/>
        <v>-10818.260000000002</v>
      </c>
      <c r="AD132" s="8">
        <f>IFERROR(AC132/AC444, "NA")</f>
        <v>-0.13109386097283657</v>
      </c>
    </row>
    <row r="133" spans="1:30" ht="16.5" customHeight="1" x14ac:dyDescent="0.45">
      <c r="A133" s="12" t="s">
        <v>125</v>
      </c>
      <c r="B133" s="7">
        <v>3133.25</v>
      </c>
      <c r="C133" s="8">
        <f>IFERROR(B133/B444, "NA")</f>
        <v>2.9879894886091635E-2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-3133.25</v>
      </c>
      <c r="I133" s="8">
        <f>IFERROR(H133/H444, "NA")</f>
        <v>0.20229747170934501</v>
      </c>
      <c r="J133" s="9"/>
      <c r="K133" s="7">
        <v>2568.2800000000002</v>
      </c>
      <c r="L133" s="8">
        <f>IFERROR(K133/K444, "NA")</f>
        <v>2.5181346225665958E-2</v>
      </c>
      <c r="M133" s="9"/>
      <c r="N133" s="10">
        <f t="shared" si="29"/>
        <v>-564.9699999999998</v>
      </c>
      <c r="O133" s="8">
        <f>IFERROR(N133/N444, "NA")</f>
        <v>-0.19684611391201023</v>
      </c>
      <c r="P133" s="9"/>
      <c r="Q133" s="7">
        <v>20455.48</v>
      </c>
      <c r="R133" s="8">
        <f>IFERROR(Q133/Q444, "NA")</f>
        <v>2.584612419011955E-2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-20455.48</v>
      </c>
      <c r="X133" s="8">
        <f>IFERROR(W133/W444, "NA")</f>
        <v>0.83971799602133856</v>
      </c>
      <c r="Y133" s="9"/>
      <c r="Z133" s="7">
        <v>15906.16</v>
      </c>
      <c r="AA133" s="8">
        <f>IFERROR(Z133/Z444, "NA")</f>
        <v>2.2437483474633795E-2</v>
      </c>
      <c r="AB133" s="9"/>
      <c r="AC133" s="10">
        <f t="shared" si="31"/>
        <v>-4549.32</v>
      </c>
      <c r="AD133" s="8">
        <f>IFERROR(AC133/AC444, "NA")</f>
        <v>-5.5127897055621204E-2</v>
      </c>
    </row>
    <row r="134" spans="1:30" ht="16.5" customHeight="1" x14ac:dyDescent="0.45">
      <c r="A134" s="12" t="s">
        <v>126</v>
      </c>
      <c r="B134" s="7">
        <v>991.6</v>
      </c>
      <c r="C134" s="8">
        <f>IFERROR(B134/B444, "NA")</f>
        <v>9.4562846147126668E-3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-991.6</v>
      </c>
      <c r="I134" s="8">
        <f>IFERROR(H134/H444, "NA")</f>
        <v>6.4022396217022742E-2</v>
      </c>
      <c r="J134" s="9"/>
      <c r="K134" s="7">
        <v>962.46</v>
      </c>
      <c r="L134" s="8">
        <f>IFERROR(K134/K444, "NA")</f>
        <v>9.4366807701475146E-3</v>
      </c>
      <c r="M134" s="9"/>
      <c r="N134" s="10">
        <f t="shared" si="29"/>
        <v>-29.139999999999986</v>
      </c>
      <c r="O134" s="8">
        <f>IFERROR(N134/N444, "NA")</f>
        <v>-1.0152920968185881E-2</v>
      </c>
      <c r="P134" s="9"/>
      <c r="Q134" s="7">
        <v>6542.51</v>
      </c>
      <c r="R134" s="8">
        <f>IFERROR(Q134/Q444, "NA")</f>
        <v>8.2666613530994661E-3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-6542.51</v>
      </c>
      <c r="X134" s="8">
        <f>IFERROR(W134/W444, "NA")</f>
        <v>0.26857660568950559</v>
      </c>
      <c r="Y134" s="9"/>
      <c r="Z134" s="7">
        <v>7607.37</v>
      </c>
      <c r="AA134" s="8">
        <f>IFERROR(Z134/Z444, "NA")</f>
        <v>1.0731077686910284E-2</v>
      </c>
      <c r="AB134" s="9"/>
      <c r="AC134" s="10">
        <f t="shared" si="31"/>
        <v>1064.8599999999997</v>
      </c>
      <c r="AD134" s="8">
        <f>IFERROR(AC134/AC444, "NA")</f>
        <v>1.2903794953674127E-2</v>
      </c>
    </row>
    <row r="135" spans="1:30" ht="16.5" customHeight="1" x14ac:dyDescent="0.45">
      <c r="A135" s="12" t="s">
        <v>127</v>
      </c>
      <c r="B135" s="7">
        <v>702.87</v>
      </c>
      <c r="C135" s="8">
        <f>IFERROR(B135/B444, "NA")</f>
        <v>6.7028426453641515E-3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-702.87</v>
      </c>
      <c r="I135" s="8">
        <f>IFERROR(H135/H444, "NA")</f>
        <v>4.5380618827207321E-2</v>
      </c>
      <c r="J135" s="9"/>
      <c r="K135" s="7">
        <v>603.04</v>
      </c>
      <c r="L135" s="8">
        <f>IFERROR(K135/K444, "NA")</f>
        <v>5.9126571199112242E-3</v>
      </c>
      <c r="M135" s="9"/>
      <c r="N135" s="10">
        <f t="shared" si="29"/>
        <v>-99.830000000000041</v>
      </c>
      <c r="O135" s="8">
        <f>IFERROR(N135/N444, "NA")</f>
        <v>-3.478263899293059E-2</v>
      </c>
      <c r="P135" s="9"/>
      <c r="Q135" s="7">
        <v>5540.14</v>
      </c>
      <c r="R135" s="8">
        <f>IFERROR(Q135/Q444, "NA")</f>
        <v>7.0001362212301511E-3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-5540.14</v>
      </c>
      <c r="X135" s="8">
        <f>IFERROR(W135/W444, "NA")</f>
        <v>0.22742831057876223</v>
      </c>
      <c r="Y135" s="9"/>
      <c r="Z135" s="7">
        <v>4504.6000000000004</v>
      </c>
      <c r="AA135" s="8">
        <f>IFERROR(Z135/Z444, "NA")</f>
        <v>6.3542607429973924E-3</v>
      </c>
      <c r="AB135" s="9"/>
      <c r="AC135" s="10">
        <f t="shared" si="31"/>
        <v>-1035.54</v>
      </c>
      <c r="AD135" s="8">
        <f>IFERROR(AC135/AC444, "NA")</f>
        <v>-1.2548500109242256E-2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757.48</v>
      </c>
      <c r="L136" s="8">
        <f>IFERROR(K136/K444, "NA")</f>
        <v>7.42690288403813E-3</v>
      </c>
      <c r="M136" s="9"/>
      <c r="N136" s="10">
        <f t="shared" si="29"/>
        <v>757.48</v>
      </c>
      <c r="O136" s="8">
        <f>IFERROR(N136/N444, "NA")</f>
        <v>0.26392019818055751</v>
      </c>
      <c r="P136" s="9"/>
      <c r="Q136" s="7">
        <v>4617.18</v>
      </c>
      <c r="R136" s="8">
        <f>IFERROR(Q136/Q444, "NA")</f>
        <v>5.8339480514823508E-3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0.18953987571398004</v>
      </c>
      <c r="Y136" s="9"/>
      <c r="Z136" s="7">
        <v>6669.01</v>
      </c>
      <c r="AA136" s="8">
        <f>IFERROR(Z136/Z444, "NA")</f>
        <v>9.4074120760238508E-3</v>
      </c>
      <c r="AB136" s="9"/>
      <c r="AC136" s="10">
        <f t="shared" si="31"/>
        <v>2051.83</v>
      </c>
      <c r="AD136" s="8">
        <f>IFERROR(AC136/AC444, "NA")</f>
        <v>2.4863731945793055E-2</v>
      </c>
    </row>
    <row r="137" spans="1:30" ht="16.5" customHeight="1" x14ac:dyDescent="0.45">
      <c r="A137" s="12" t="s">
        <v>129</v>
      </c>
      <c r="B137" s="7">
        <v>486.53</v>
      </c>
      <c r="C137" s="8">
        <f>IFERROR(B137/B444, "NA")</f>
        <v>4.6397399693385976E-3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-486.53</v>
      </c>
      <c r="I137" s="8">
        <f>IFERROR(H137/H444, "NA")</f>
        <v>3.1412682968402654E-2</v>
      </c>
      <c r="J137" s="9"/>
      <c r="K137" s="7">
        <v>665.06</v>
      </c>
      <c r="L137" s="8">
        <f>IFERROR(K137/K444, "NA")</f>
        <v>6.5207477848370898E-3</v>
      </c>
      <c r="M137" s="9"/>
      <c r="N137" s="10">
        <f t="shared" si="29"/>
        <v>178.52999999999997</v>
      </c>
      <c r="O137" s="8">
        <f>IFERROR(N137/N444, "NA")</f>
        <v>6.2203190818470352E-2</v>
      </c>
      <c r="P137" s="9"/>
      <c r="Q137" s="7">
        <v>4691.54</v>
      </c>
      <c r="R137" s="8">
        <f>IFERROR(Q137/Q444, "NA")</f>
        <v>5.9279041842534852E-3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-4691.54</v>
      </c>
      <c r="X137" s="8">
        <f>IFERROR(W137/W444, "NA")</f>
        <v>0.1925924283885761</v>
      </c>
      <c r="Y137" s="9"/>
      <c r="Z137" s="7">
        <v>4370.9799999999996</v>
      </c>
      <c r="AA137" s="8">
        <f>IFERROR(Z137/Z444, "NA")</f>
        <v>6.1657742357649368E-3</v>
      </c>
      <c r="AB137" s="9"/>
      <c r="AC137" s="10">
        <f t="shared" si="31"/>
        <v>-320.5600000000004</v>
      </c>
      <c r="AD137" s="8">
        <f>IFERROR(AC137/AC444, "NA")</f>
        <v>-3.8844923373493085E-3</v>
      </c>
    </row>
    <row r="138" spans="1:30" ht="16.5" customHeight="1" x14ac:dyDescent="0.45">
      <c r="A138" s="12" t="s">
        <v>130</v>
      </c>
      <c r="B138" s="7">
        <v>6329.89</v>
      </c>
      <c r="C138" s="8">
        <f>IFERROR(B138/B444, "NA")</f>
        <v>6.0364301552867657E-2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-6329.89</v>
      </c>
      <c r="I138" s="8">
        <f>IFERROR(H138/H444, "NA")</f>
        <v>0.4086877022894011</v>
      </c>
      <c r="J138" s="9"/>
      <c r="K138" s="7">
        <v>4723.62</v>
      </c>
      <c r="L138" s="8">
        <f>IFERROR(K138/K444, "NA")</f>
        <v>4.6313918520753276E-2</v>
      </c>
      <c r="M138" s="9"/>
      <c r="N138" s="10">
        <f t="shared" si="29"/>
        <v>-1606.2700000000004</v>
      </c>
      <c r="O138" s="8">
        <f>IFERROR(N138/N444, "NA")</f>
        <v>-0.55965450801537231</v>
      </c>
      <c r="P138" s="9"/>
      <c r="Q138" s="7">
        <v>47819.31</v>
      </c>
      <c r="R138" s="8">
        <f>IFERROR(Q138/Q444, "NA")</f>
        <v>6.0421159755030228E-2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-47819.31</v>
      </c>
      <c r="X138" s="8">
        <f>IFERROR(W138/W444, "NA")</f>
        <v>1.963030697119948</v>
      </c>
      <c r="Y138" s="9"/>
      <c r="Z138" s="7">
        <v>34731.21</v>
      </c>
      <c r="AA138" s="8">
        <f>IFERROR(Z138/Z444, "NA")</f>
        <v>4.8992399826798927E-2</v>
      </c>
      <c r="AB138" s="9"/>
      <c r="AC138" s="10">
        <f t="shared" si="31"/>
        <v>-13088.099999999999</v>
      </c>
      <c r="AD138" s="8">
        <f>IFERROR(AC138/AC444, "NA")</f>
        <v>-0.15859940154873164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26025.649999999998</v>
      </c>
      <c r="C141" s="15">
        <f>IFERROR(B141/B444, "NA")</f>
        <v>0.24819075603357876</v>
      </c>
      <c r="D141" s="2"/>
      <c r="E141" s="14">
        <f>IFERROR(E129+E130+E131+E132+E133+E134+E135+E136+E137+E138+E139+E140, "NA")</f>
        <v>27439.759999999998</v>
      </c>
      <c r="F141" s="15">
        <f>IFERROR(E141/E444, "NA")</f>
        <v>0.22800002758625043</v>
      </c>
      <c r="G141" s="2"/>
      <c r="H141" s="14">
        <f t="shared" si="28"/>
        <v>1414.1100000000006</v>
      </c>
      <c r="I141" s="15">
        <f>IFERROR(H141/H444, "NA")</f>
        <v>-9.1301644528493417E-2</v>
      </c>
      <c r="J141" s="2"/>
      <c r="K141" s="14">
        <f>IFERROR(K129+K130+K131+K132+K133+K134+K135+K136+K137+K138+K139+K140, "NA")</f>
        <v>24776.85</v>
      </c>
      <c r="L141" s="15">
        <f>IFERROR(K141/K444, "NA")</f>
        <v>0.24293084797272554</v>
      </c>
      <c r="M141" s="2"/>
      <c r="N141" s="14">
        <f t="shared" si="29"/>
        <v>-1248.7999999999993</v>
      </c>
      <c r="O141" s="15">
        <f>IFERROR(N141/N444, "NA")</f>
        <v>-0.43510527471072502</v>
      </c>
      <c r="P141" s="2"/>
      <c r="Q141" s="14">
        <f>IFERROR(Q129+Q130+Q131+Q132+Q133+Q134+Q135+Q136+Q137+Q138+Q139+Q140, "NA")</f>
        <v>196557.44</v>
      </c>
      <c r="R141" s="15">
        <f>IFERROR(Q141/Q444, "NA")</f>
        <v>0.24835633310643271</v>
      </c>
      <c r="S141" s="2"/>
      <c r="T141" s="14">
        <f>IFERROR(T129+T130+T131+T132+T133+T134+T135+T136+T137+T138+T139+T140, "NA")</f>
        <v>191804.71</v>
      </c>
      <c r="U141" s="15">
        <f>IFERROR(T141/T444, "NA")</f>
        <v>0.23511440296425157</v>
      </c>
      <c r="V141" s="2"/>
      <c r="W141" s="14">
        <f t="shared" si="30"/>
        <v>-4752.7300000000105</v>
      </c>
      <c r="X141" s="15">
        <f>IFERROR(W141/W444, "NA")</f>
        <v>0.19510433933745408</v>
      </c>
      <c r="Y141" s="2"/>
      <c r="Z141" s="14">
        <f>IFERROR(Z129+Z130+Z131+Z132+Z133+Z134+Z135+Z136+Z137+Z138+Z139+Z140, "NA")</f>
        <v>169998.86</v>
      </c>
      <c r="AA141" s="15">
        <f>IFERROR(Z141/Z444, "NA")</f>
        <v>0.23980310847851297</v>
      </c>
      <c r="AB141" s="2"/>
      <c r="AC141" s="14">
        <f t="shared" si="31"/>
        <v>-26558.580000000016</v>
      </c>
      <c r="AD141" s="15">
        <f>IFERROR(AC141/AC444, "NA")</f>
        <v>-0.32183241983054195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1420.91</v>
      </c>
      <c r="C144" s="8">
        <f>IFERROR(B144/B444, "NA")</f>
        <v>1.3550352331475774E-2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-1420.91</v>
      </c>
      <c r="I144" s="8">
        <f>IFERROR(H144/H444, "NA")</f>
        <v>9.1740684760719837E-2</v>
      </c>
      <c r="J144" s="9"/>
      <c r="K144" s="7">
        <v>1313.41</v>
      </c>
      <c r="L144" s="8">
        <f>IFERROR(K144/K444, "NA")</f>
        <v>1.287765817833411E-2</v>
      </c>
      <c r="M144" s="9"/>
      <c r="N144" s="10">
        <f t="shared" si="33"/>
        <v>-107.5</v>
      </c>
      <c r="O144" s="8">
        <f>IFERROR(N144/N444, "NA")</f>
        <v>-3.7455010435140108E-2</v>
      </c>
      <c r="P144" s="9"/>
      <c r="Q144" s="7">
        <v>10400.91</v>
      </c>
      <c r="R144" s="8">
        <f>IFERROR(Q144/Q444, "NA")</f>
        <v>1.3141867682902398E-2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-10400.91</v>
      </c>
      <c r="X144" s="8">
        <f>IFERROR(W144/W444, "NA")</f>
        <v>0.42696780041330251</v>
      </c>
      <c r="Y144" s="9"/>
      <c r="Z144" s="7">
        <v>6672.57</v>
      </c>
      <c r="AA144" s="8">
        <f>IFERROR(Z144/Z444, "NA")</f>
        <v>9.4124338689122455E-3</v>
      </c>
      <c r="AB144" s="9"/>
      <c r="AC144" s="10">
        <f t="shared" si="35"/>
        <v>-3728.34</v>
      </c>
      <c r="AD144" s="8">
        <f>IFERROR(AC144/AC444, "NA")</f>
        <v>-4.5179399054881782E-2</v>
      </c>
    </row>
    <row r="145" spans="1:30" ht="16.5" customHeight="1" x14ac:dyDescent="0.45">
      <c r="A145" s="12" t="s">
        <v>136</v>
      </c>
      <c r="B145" s="7">
        <v>54.09</v>
      </c>
      <c r="C145" s="8">
        <f>IFERROR(B145/B444, "NA")</f>
        <v>5.1582335095785414E-4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-54.09</v>
      </c>
      <c r="I145" s="8">
        <f>IFERROR(H145/H444, "NA")</f>
        <v>3.4923067884013318E-3</v>
      </c>
      <c r="J145" s="9"/>
      <c r="K145" s="7">
        <v>68.62</v>
      </c>
      <c r="L145" s="8">
        <f>IFERROR(K145/K444, "NA")</f>
        <v>6.7280202236718668E-4</v>
      </c>
      <c r="M145" s="9"/>
      <c r="N145" s="10">
        <f t="shared" si="33"/>
        <v>14.530000000000001</v>
      </c>
      <c r="O145" s="8">
        <f>IFERROR(N145/N444, "NA")</f>
        <v>5.0625237360240544E-3</v>
      </c>
      <c r="P145" s="9"/>
      <c r="Q145" s="7">
        <v>498.11</v>
      </c>
      <c r="R145" s="8">
        <f>IFERROR(Q145/Q444, "NA")</f>
        <v>6.2937720944903025E-4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-498.11</v>
      </c>
      <c r="X145" s="8">
        <f>IFERROR(W145/W444, "NA")</f>
        <v>2.044791571736224E-2</v>
      </c>
      <c r="Y145" s="9"/>
      <c r="Z145" s="7">
        <v>497.18</v>
      </c>
      <c r="AA145" s="8">
        <f>IFERROR(Z145/Z444, "NA")</f>
        <v>7.0133005288004334E-4</v>
      </c>
      <c r="AB145" s="9"/>
      <c r="AC145" s="10">
        <f t="shared" si="35"/>
        <v>-0.93000000000000682</v>
      </c>
      <c r="AD145" s="8">
        <f>IFERROR(AC145/AC444, "NA")</f>
        <v>-1.1269584083275764E-5</v>
      </c>
    </row>
    <row r="146" spans="1:30" ht="16.5" customHeight="1" x14ac:dyDescent="0.45">
      <c r="A146" s="12" t="s">
        <v>137</v>
      </c>
      <c r="B146" s="7">
        <v>44.88</v>
      </c>
      <c r="C146" s="8">
        <f>IFERROR(B146/B444, "NA")</f>
        <v>4.2799319635770927E-4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-44.88</v>
      </c>
      <c r="I146" s="8">
        <f>IFERROR(H146/H444, "NA")</f>
        <v>2.8976655326946156E-3</v>
      </c>
      <c r="J146" s="9"/>
      <c r="K146" s="7">
        <v>209.36</v>
      </c>
      <c r="L146" s="8">
        <f>IFERROR(K146/K444, "NA")</f>
        <v>2.052722696047715E-3</v>
      </c>
      <c r="M146" s="9"/>
      <c r="N146" s="10">
        <f t="shared" si="33"/>
        <v>164.48000000000002</v>
      </c>
      <c r="O146" s="8">
        <f>IFERROR(N146/N444, "NA")</f>
        <v>5.7307908059272987E-2</v>
      </c>
      <c r="P146" s="9"/>
      <c r="Q146" s="7">
        <v>888.53</v>
      </c>
      <c r="R146" s="8">
        <f>IFERROR(Q146/Q444, "NA")</f>
        <v>1.1226848124144201E-3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-888.53</v>
      </c>
      <c r="X146" s="8">
        <f>IFERROR(W146/W444, "NA")</f>
        <v>3.6475048789118614E-2</v>
      </c>
      <c r="Y146" s="9"/>
      <c r="Z146" s="7">
        <v>2087.92</v>
      </c>
      <c r="AA146" s="8">
        <f>IFERROR(Z146/Z444, "NA")</f>
        <v>2.9452533167249289E-3</v>
      </c>
      <c r="AB146" s="9"/>
      <c r="AC146" s="10">
        <f t="shared" si="35"/>
        <v>1199.3900000000001</v>
      </c>
      <c r="AD146" s="8">
        <f>IFERROR(AC146/AC444, "NA")</f>
        <v>1.4534006939397872E-2</v>
      </c>
    </row>
    <row r="147" spans="1:30" ht="16.5" customHeight="1" x14ac:dyDescent="0.45">
      <c r="A147" s="12" t="s">
        <v>138</v>
      </c>
      <c r="B147" s="7">
        <v>-0.68</v>
      </c>
      <c r="C147" s="8">
        <f>IFERROR(B147/B444, "NA")</f>
        <v>-6.4847453993592317E-6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0.68</v>
      </c>
      <c r="I147" s="8">
        <f>IFERROR(H147/H444, "NA")</f>
        <v>-4.3904023222645695E-5</v>
      </c>
      <c r="J147" s="9"/>
      <c r="K147" s="7">
        <v>0</v>
      </c>
      <c r="L147" s="8">
        <f>IFERROR(K147/K444, "NA")</f>
        <v>0</v>
      </c>
      <c r="M147" s="9"/>
      <c r="N147" s="10">
        <f t="shared" si="33"/>
        <v>0.68</v>
      </c>
      <c r="O147" s="8">
        <f>IFERROR(N147/N444, "NA")</f>
        <v>2.3692471717111883E-4</v>
      </c>
      <c r="P147" s="9"/>
      <c r="Q147" s="7">
        <v>89.77</v>
      </c>
      <c r="R147" s="8">
        <f>IFERROR(Q147/Q444, "NA")</f>
        <v>1.1342713876902581E-4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-89.77</v>
      </c>
      <c r="X147" s="8">
        <f>IFERROR(W147/W444, "NA")</f>
        <v>3.6851486497914282E-3</v>
      </c>
      <c r="Y147" s="9"/>
      <c r="Z147" s="7">
        <v>113.32</v>
      </c>
      <c r="AA147" s="8">
        <f>IFERROR(Z147/Z444, "NA")</f>
        <v>1.5985100284075486E-4</v>
      </c>
      <c r="AB147" s="9"/>
      <c r="AC147" s="10">
        <f t="shared" si="35"/>
        <v>23.549999999999997</v>
      </c>
      <c r="AD147" s="8">
        <f>IFERROR(AC147/AC444, "NA")</f>
        <v>2.8537495178617447E-4</v>
      </c>
    </row>
    <row r="148" spans="1:30" ht="16.5" customHeight="1" x14ac:dyDescent="0.45">
      <c r="A148" s="13" t="s">
        <v>139</v>
      </c>
      <c r="B148" s="14">
        <f>IFERROR(B143+B144+B145+B146+B147, "NA")</f>
        <v>1519.2</v>
      </c>
      <c r="C148" s="15">
        <f>IFERROR(B148/B444, "NA")</f>
        <v>1.4487684133391977E-2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-1519.2</v>
      </c>
      <c r="I148" s="15">
        <f>IFERROR(H148/H444, "NA")</f>
        <v>9.8086753058593143E-2</v>
      </c>
      <c r="J148" s="2"/>
      <c r="K148" s="14">
        <f>IFERROR(K143+K144+K145+K146+K147, "NA")</f>
        <v>1591.3900000000003</v>
      </c>
      <c r="L148" s="15">
        <f>IFERROR(K148/K444, "NA")</f>
        <v>1.5603182896749014E-2</v>
      </c>
      <c r="M148" s="2"/>
      <c r="N148" s="14">
        <f t="shared" si="33"/>
        <v>72.190000000000282</v>
      </c>
      <c r="O148" s="15">
        <f>IFERROR(N148/N444, "NA")</f>
        <v>2.5152346077328139E-2</v>
      </c>
      <c r="P148" s="2"/>
      <c r="Q148" s="14">
        <f>IFERROR(Q143+Q144+Q145+Q146+Q147, "NA")</f>
        <v>11877.320000000002</v>
      </c>
      <c r="R148" s="15">
        <f>IFERROR(Q148/Q444, "NA")</f>
        <v>1.5007356843534877E-2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-11877.320000000002</v>
      </c>
      <c r="X148" s="15">
        <f>IFERROR(W148/W444, "NA")</f>
        <v>0.48757591356957486</v>
      </c>
      <c r="Y148" s="2"/>
      <c r="Z148" s="14">
        <f>IFERROR(Z143+Z144+Z145+Z146+Z147, "NA")</f>
        <v>9370.99</v>
      </c>
      <c r="AA148" s="15">
        <f>IFERROR(Z148/Z444, "NA")</f>
        <v>1.3218868241357973E-2</v>
      </c>
      <c r="AB148" s="2"/>
      <c r="AC148" s="14">
        <f t="shared" si="35"/>
        <v>-2506.3300000000017</v>
      </c>
      <c r="AD148" s="15">
        <f>IFERROR(AC148/AC444, "NA")</f>
        <v>-3.0371286747781029E-2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27544.85</v>
      </c>
      <c r="C149" s="15">
        <f>IFERROR(B149/B444, "NA")</f>
        <v>0.26267844016697073</v>
      </c>
      <c r="D149" s="2"/>
      <c r="E149" s="14">
        <f>IFERROR(E127+E129+E130+E131+E132+E133+E134+E135+E136+E137+E138+E139+E140+E143+E144+E145+E146+E147, "NA")</f>
        <v>27439.759999999998</v>
      </c>
      <c r="F149" s="15">
        <f>IFERROR(E149/E444, "NA")</f>
        <v>0.22800002758625043</v>
      </c>
      <c r="G149" s="2"/>
      <c r="H149" s="14">
        <f t="shared" si="32"/>
        <v>-105.09000000000015</v>
      </c>
      <c r="I149" s="15">
        <f>IFERROR(H149/H444, "NA")</f>
        <v>6.7851085300997677E-3</v>
      </c>
      <c r="J149" s="2"/>
      <c r="K149" s="14">
        <f>IFERROR(K127+K129+K130+K131+K132+K133+K134+K135+K136+K137+K138+K139+K140+K143+K144+K145+K146+K147, "NA")</f>
        <v>26368.239999999998</v>
      </c>
      <c r="L149" s="15">
        <f>IFERROR(K149/K444, "NA")</f>
        <v>0.25853403086947452</v>
      </c>
      <c r="M149" s="2"/>
      <c r="N149" s="14">
        <f t="shared" si="33"/>
        <v>-1176.6100000000006</v>
      </c>
      <c r="O149" s="15">
        <f>IFERROR(N149/N444, "NA")</f>
        <v>-0.40995292863339744</v>
      </c>
      <c r="P149" s="2"/>
      <c r="Q149" s="14">
        <f>IFERROR(Q127+Q129+Q130+Q131+Q132+Q133+Q134+Q135+Q136+Q137+Q138+Q139+Q140+Q143+Q144+Q145+Q146+Q147, "NA")</f>
        <v>208434.75999999998</v>
      </c>
      <c r="R149" s="15">
        <f>IFERROR(Q149/Q444, "NA")</f>
        <v>0.26336368994996756</v>
      </c>
      <c r="S149" s="2"/>
      <c r="T149" s="14">
        <f>IFERROR(T127+T129+T130+T131+T132+T133+T134+T135+T136+T137+T138+T139+T140+T143+T144+T145+T146+T147, "NA")</f>
        <v>191804.71</v>
      </c>
      <c r="U149" s="15">
        <f>IFERROR(T149/T444, "NA")</f>
        <v>0.23511440296425157</v>
      </c>
      <c r="V149" s="2"/>
      <c r="W149" s="14">
        <f t="shared" si="34"/>
        <v>-16630.049999999988</v>
      </c>
      <c r="X149" s="15">
        <f>IFERROR(W149/W444, "NA")</f>
        <v>0.68268025290702794</v>
      </c>
      <c r="Y149" s="2"/>
      <c r="Z149" s="14">
        <f>IFERROR(Z127+Z129+Z130+Z131+Z132+Z133+Z134+Z135+Z136+Z137+Z138+Z139+Z140+Z143+Z144+Z145+Z146+Z147, "NA")</f>
        <v>179369.85</v>
      </c>
      <c r="AA149" s="15">
        <f>IFERROR(Z149/Z444, "NA")</f>
        <v>0.25302197671987098</v>
      </c>
      <c r="AB149" s="2"/>
      <c r="AC149" s="14">
        <f t="shared" si="35"/>
        <v>-29064.909999999974</v>
      </c>
      <c r="AD149" s="15">
        <f>IFERROR(AC149/AC444, "NA")</f>
        <v>-0.35220370657832245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1805.25</v>
      </c>
      <c r="F153" s="8">
        <f>IFERROR(E153/E444, "NA")</f>
        <v>1.5000023680968005E-2</v>
      </c>
      <c r="G153" s="9"/>
      <c r="H153" s="10">
        <f t="shared" ref="H153:H158" si="36">IFERROR(-(B153-E153), "NA")</f>
        <v>1805.25</v>
      </c>
      <c r="I153" s="8">
        <f>IFERROR(H153/H444, "NA")</f>
        <v>-0.11655549694511931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13259.07</v>
      </c>
      <c r="U153" s="8">
        <f>IFERROR(T153/T444, "NA")</f>
        <v>1.6252981102034558E-2</v>
      </c>
      <c r="V153" s="9"/>
      <c r="W153" s="10">
        <f t="shared" ref="W153:W158" si="38">IFERROR(-(Q153-T153), "NA")</f>
        <v>13259.07</v>
      </c>
      <c r="X153" s="8">
        <f>IFERROR(W153/W444, "NA")</f>
        <v>-0.54429813866536736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3792.19</v>
      </c>
      <c r="C154" s="8">
        <f>IFERROR(B154/B444, "NA")</f>
        <v>3.616380390587659E-2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-3792.19</v>
      </c>
      <c r="I154" s="8">
        <f>IFERROR(H154/H444, "NA")</f>
        <v>0.24484176150688935</v>
      </c>
      <c r="J154" s="9"/>
      <c r="K154" s="7">
        <v>3097.69</v>
      </c>
      <c r="L154" s="8">
        <f>IFERROR(K154/K444, "NA")</f>
        <v>3.0372079520061355E-2</v>
      </c>
      <c r="M154" s="9"/>
      <c r="N154" s="10">
        <f t="shared" si="37"/>
        <v>-694.5</v>
      </c>
      <c r="O154" s="8">
        <f>IFERROR(N154/N444, "NA")</f>
        <v>-0.24197678834609121</v>
      </c>
      <c r="P154" s="9"/>
      <c r="Q154" s="7">
        <v>27645.77</v>
      </c>
      <c r="R154" s="8">
        <f>IFERROR(Q154/Q444, "NA")</f>
        <v>3.493127537224653E-2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-27645.77</v>
      </c>
      <c r="X154" s="8">
        <f>IFERROR(W154/W444, "NA")</f>
        <v>1.1348866212314177</v>
      </c>
      <c r="Y154" s="9"/>
      <c r="Z154" s="7">
        <v>23511.53</v>
      </c>
      <c r="AA154" s="8">
        <f>IFERROR(Z154/Z444, "NA")</f>
        <v>3.3165739929584305E-2</v>
      </c>
      <c r="AB154" s="9"/>
      <c r="AC154" s="10">
        <f t="shared" si="39"/>
        <v>-4134.2400000000016</v>
      </c>
      <c r="AD154" s="8">
        <f>IFERROR(AC154/AC444, "NA")</f>
        <v>-5.0098027204775991E-2</v>
      </c>
    </row>
    <row r="155" spans="1:30" ht="16.5" customHeight="1" x14ac:dyDescent="0.45">
      <c r="A155" s="12" t="s">
        <v>144</v>
      </c>
      <c r="B155" s="7">
        <v>745.7</v>
      </c>
      <c r="C155" s="8">
        <f>IFERROR(B155/B444, "NA")</f>
        <v>7.1112862416208514E-3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-745.7</v>
      </c>
      <c r="I155" s="8">
        <f>IFERROR(H155/H444, "NA")</f>
        <v>4.8145926642833667E-2</v>
      </c>
      <c r="J155" s="9"/>
      <c r="K155" s="7">
        <v>1066.9000000000001</v>
      </c>
      <c r="L155" s="8">
        <f>IFERROR(K155/K444, "NA")</f>
        <v>1.0460688977900779E-2</v>
      </c>
      <c r="M155" s="9"/>
      <c r="N155" s="10">
        <f t="shared" si="37"/>
        <v>321.20000000000005</v>
      </c>
      <c r="O155" s="8">
        <f>IFERROR(N155/N444, "NA")</f>
        <v>0.11191208699318143</v>
      </c>
      <c r="P155" s="9"/>
      <c r="Q155" s="7">
        <v>7424.27</v>
      </c>
      <c r="R155" s="8">
        <f>IFERROR(Q155/Q444, "NA")</f>
        <v>9.3807920635926838E-3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-7424.27</v>
      </c>
      <c r="X155" s="8">
        <f>IFERROR(W155/W444, "NA")</f>
        <v>0.30477373917998229</v>
      </c>
      <c r="Y155" s="9"/>
      <c r="Z155" s="7">
        <v>8376.68</v>
      </c>
      <c r="AA155" s="8">
        <f>IFERROR(Z155/Z444, "NA")</f>
        <v>1.1816278666396882E-2</v>
      </c>
      <c r="AB155" s="9"/>
      <c r="AC155" s="10">
        <f t="shared" si="39"/>
        <v>952.40999999999985</v>
      </c>
      <c r="AD155" s="8">
        <f>IFERROR(AC155/AC444, "NA")</f>
        <v>1.154114470618558E-2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54.77</v>
      </c>
      <c r="AA156" s="8">
        <f>IFERROR(Z156/Z444, "NA")</f>
        <v>7.7259437218391686E-5</v>
      </c>
      <c r="AB156" s="9"/>
      <c r="AC156" s="10">
        <f t="shared" si="39"/>
        <v>54.77</v>
      </c>
      <c r="AD156" s="8">
        <f>IFERROR(AC156/AC444, "NA")</f>
        <v>6.6369367767850438E-4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4537.8900000000003</v>
      </c>
      <c r="C158" s="15">
        <f>IFERROR(B158/B444, "NA")</f>
        <v>4.3275090147497447E-2</v>
      </c>
      <c r="D158" s="2"/>
      <c r="E158" s="14">
        <f>IFERROR(E153+E154+E155+E156+E157, "NA")</f>
        <v>1805.25</v>
      </c>
      <c r="F158" s="15">
        <f>IFERROR(E158/E444, "NA")</f>
        <v>1.5000023680968005E-2</v>
      </c>
      <c r="G158" s="2"/>
      <c r="H158" s="14">
        <f t="shared" si="36"/>
        <v>-2732.6400000000003</v>
      </c>
      <c r="I158" s="15">
        <f>IFERROR(H158/H444, "NA")</f>
        <v>0.17643219120460374</v>
      </c>
      <c r="J158" s="2"/>
      <c r="K158" s="14">
        <f>IFERROR(K153+K154+K155+K156+K157, "NA")</f>
        <v>4164.59</v>
      </c>
      <c r="L158" s="15">
        <f>IFERROR(K158/K444, "NA")</f>
        <v>4.0832768497962135E-2</v>
      </c>
      <c r="M158" s="2"/>
      <c r="N158" s="14">
        <f t="shared" si="37"/>
        <v>-373.30000000000018</v>
      </c>
      <c r="O158" s="15">
        <f>IFERROR(N158/N444, "NA")</f>
        <v>-0.13006470135290985</v>
      </c>
      <c r="P158" s="2"/>
      <c r="Q158" s="14">
        <f>IFERROR(Q153+Q154+Q155+Q156+Q157, "NA")</f>
        <v>35070.04</v>
      </c>
      <c r="R158" s="15">
        <f>IFERROR(Q158/Q444, "NA")</f>
        <v>4.4312067435839209E-2</v>
      </c>
      <c r="S158" s="2"/>
      <c r="T158" s="14">
        <f>IFERROR(T153+T154+T155+T156+T157, "NA")</f>
        <v>13259.07</v>
      </c>
      <c r="U158" s="15">
        <f>IFERROR(T158/T444, "NA")</f>
        <v>1.6252981102034558E-2</v>
      </c>
      <c r="V158" s="2"/>
      <c r="W158" s="14">
        <f t="shared" si="38"/>
        <v>-21810.97</v>
      </c>
      <c r="X158" s="15">
        <f>IFERROR(W158/W444, "NA")</f>
        <v>0.89536222174603264</v>
      </c>
      <c r="Y158" s="2"/>
      <c r="Z158" s="14">
        <f>IFERROR(Z153+Z154+Z155+Z156+Z157, "NA")</f>
        <v>31942.98</v>
      </c>
      <c r="AA158" s="15">
        <f>IFERROR(Z158/Z444, "NA")</f>
        <v>4.5059278033199576E-2</v>
      </c>
      <c r="AB158" s="2"/>
      <c r="AC158" s="14">
        <f t="shared" si="39"/>
        <v>-3127.0600000000013</v>
      </c>
      <c r="AD158" s="15">
        <f>IFERROR(AC158/AC444, "NA")</f>
        <v>-3.7893188820911902E-2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117.05</v>
      </c>
      <c r="C161" s="8">
        <f>IFERROR(B161/B444, "NA")</f>
        <v>1.1162344838161736E-3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-117.05</v>
      </c>
      <c r="I161" s="8">
        <f>IFERROR(H161/H444, "NA")</f>
        <v>7.5573028208980554E-3</v>
      </c>
      <c r="J161" s="9"/>
      <c r="K161" s="7">
        <v>296.55</v>
      </c>
      <c r="L161" s="8">
        <f>IFERROR(K161/K444, "NA")</f>
        <v>2.907598946852072E-3</v>
      </c>
      <c r="M161" s="9"/>
      <c r="N161" s="10">
        <f t="shared" si="41"/>
        <v>179.5</v>
      </c>
      <c r="O161" s="8">
        <f>IFERROR(N161/N444, "NA")</f>
        <v>6.254115695914092E-2</v>
      </c>
      <c r="P161" s="9"/>
      <c r="Q161" s="7">
        <v>2039.09</v>
      </c>
      <c r="R161" s="8">
        <f>IFERROR(Q161/Q444, "NA")</f>
        <v>2.5764525386268557E-3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-2039.09</v>
      </c>
      <c r="X161" s="8">
        <f>IFERROR(W161/W444, "NA")</f>
        <v>8.3706692216811887E-2</v>
      </c>
      <c r="Y161" s="9"/>
      <c r="Z161" s="7">
        <v>2834.37</v>
      </c>
      <c r="AA161" s="8">
        <f>IFERROR(Z161/Z444, "NA")</f>
        <v>3.9982076149113165E-3</v>
      </c>
      <c r="AB161" s="9"/>
      <c r="AC161" s="10">
        <f t="shared" si="43"/>
        <v>795.28</v>
      </c>
      <c r="AD161" s="8">
        <f>IFERROR(AC161/AC444, "NA")</f>
        <v>9.6370697094058967E-3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117.05</v>
      </c>
      <c r="C166" s="15">
        <f>IFERROR(B166/B444, "NA")</f>
        <v>1.1162344838161736E-3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-117.05</v>
      </c>
      <c r="I166" s="15">
        <f>IFERROR(H166/H444, "NA")</f>
        <v>7.5573028208980554E-3</v>
      </c>
      <c r="J166" s="2"/>
      <c r="K166" s="14">
        <f>IFERROR(K160+K161+K162+K163+K164+K165, "NA")</f>
        <v>296.55</v>
      </c>
      <c r="L166" s="15">
        <f>IFERROR(K166/K444, "NA")</f>
        <v>2.907598946852072E-3</v>
      </c>
      <c r="M166" s="2"/>
      <c r="N166" s="14">
        <f t="shared" si="41"/>
        <v>179.5</v>
      </c>
      <c r="O166" s="15">
        <f>IFERROR(N166/N444, "NA")</f>
        <v>6.254115695914092E-2</v>
      </c>
      <c r="P166" s="2"/>
      <c r="Q166" s="14">
        <f>IFERROR(Q160+Q161+Q162+Q163+Q164+Q165, "NA")</f>
        <v>2039.09</v>
      </c>
      <c r="R166" s="15">
        <f>IFERROR(Q166/Q444, "NA")</f>
        <v>2.5764525386268557E-3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-2039.09</v>
      </c>
      <c r="X166" s="15">
        <f>IFERROR(W166/W444, "NA")</f>
        <v>8.3706692216811887E-2</v>
      </c>
      <c r="Y166" s="2"/>
      <c r="Z166" s="14">
        <f>IFERROR(Z160+Z161+Z162+Z163+Z164+Z165, "NA")</f>
        <v>2834.37</v>
      </c>
      <c r="AA166" s="15">
        <f>IFERROR(Z166/Z444, "NA")</f>
        <v>3.9982076149113165E-3</v>
      </c>
      <c r="AB166" s="2"/>
      <c r="AC166" s="14">
        <f t="shared" si="43"/>
        <v>795.28</v>
      </c>
      <c r="AD166" s="15">
        <f>IFERROR(AC166/AC444, "NA")</f>
        <v>9.6370697094058967E-3</v>
      </c>
    </row>
    <row r="167" spans="1:30" ht="16.5" customHeight="1" x14ac:dyDescent="0.45">
      <c r="A167" s="6" t="s">
        <v>155</v>
      </c>
      <c r="B167" s="7">
        <v>110.83</v>
      </c>
      <c r="C167" s="8">
        <f>IFERROR(B167/B444, "NA")</f>
        <v>1.0569181361926229E-3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-110.83</v>
      </c>
      <c r="I167" s="8">
        <f>IFERROR(H167/H444, "NA")</f>
        <v>7.155710137890914E-3</v>
      </c>
      <c r="J167" s="9"/>
      <c r="K167" s="7">
        <v>68.63</v>
      </c>
      <c r="L167" s="8">
        <f>IFERROR(K167/K444, "NA")</f>
        <v>6.7290006987846124E-4</v>
      </c>
      <c r="M167" s="9"/>
      <c r="N167" s="10">
        <f t="shared" si="41"/>
        <v>-42.2</v>
      </c>
      <c r="O167" s="8">
        <f>IFERROR(N167/N444, "NA")</f>
        <v>-1.4703269212678258E-2</v>
      </c>
      <c r="P167" s="9"/>
      <c r="Q167" s="7">
        <v>901.18</v>
      </c>
      <c r="R167" s="8">
        <f>IFERROR(Q167/Q444, "NA")</f>
        <v>1.1386684740544801E-3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-901.18</v>
      </c>
      <c r="X167" s="8">
        <f>IFERROR(W167/W444, "NA")</f>
        <v>3.6994343992637173E-2</v>
      </c>
      <c r="Y167" s="9"/>
      <c r="Z167" s="7">
        <v>1018.78</v>
      </c>
      <c r="AA167" s="8">
        <f>IFERROR(Z167/Z444, "NA")</f>
        <v>1.4371073479889185E-3</v>
      </c>
      <c r="AB167" s="9"/>
      <c r="AC167" s="10">
        <f t="shared" si="43"/>
        <v>117.60000000000002</v>
      </c>
      <c r="AD167" s="8">
        <f>IFERROR(AC167/AC444, "NA")</f>
        <v>1.4250570840787316E-3</v>
      </c>
    </row>
    <row r="168" spans="1:30" ht="16.5" customHeight="1" x14ac:dyDescent="0.45">
      <c r="A168" s="6" t="s">
        <v>156</v>
      </c>
      <c r="B168" s="7">
        <v>36.619999999999997</v>
      </c>
      <c r="C168" s="8">
        <f>IFERROR(B168/B444, "NA")</f>
        <v>3.4922261253608094E-4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-36.619999999999997</v>
      </c>
      <c r="I168" s="8">
        <f>IFERROR(H168/H444, "NA")</f>
        <v>2.3643607800195371E-3</v>
      </c>
      <c r="J168" s="9"/>
      <c r="K168" s="7">
        <v>50.4</v>
      </c>
      <c r="L168" s="8">
        <f>IFERROR(K168/K444, "NA")</f>
        <v>4.9415945682463138E-4</v>
      </c>
      <c r="M168" s="9"/>
      <c r="N168" s="10">
        <f t="shared" si="41"/>
        <v>13.780000000000001</v>
      </c>
      <c r="O168" s="8">
        <f>IFERROR(N168/N444, "NA")</f>
        <v>4.8012097097323786E-3</v>
      </c>
      <c r="P168" s="9"/>
      <c r="Q168" s="7">
        <v>319.93</v>
      </c>
      <c r="R168" s="8">
        <f>IFERROR(Q168/Q444, "NA")</f>
        <v>4.0424133347860563E-4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-319.93</v>
      </c>
      <c r="X168" s="8">
        <f>IFERROR(W168/W444, "NA")</f>
        <v>1.313344778353316E-2</v>
      </c>
      <c r="Y168" s="9"/>
      <c r="Z168" s="7">
        <v>345.9</v>
      </c>
      <c r="AA168" s="8">
        <f>IFERROR(Z168/Z444, "NA")</f>
        <v>4.8793206744279126E-4</v>
      </c>
      <c r="AB168" s="9"/>
      <c r="AC168" s="10">
        <f t="shared" si="43"/>
        <v>25.96999999999997</v>
      </c>
      <c r="AD168" s="8">
        <f>IFERROR(AC168/AC444, "NA")</f>
        <v>3.1470010606738616E-4</v>
      </c>
    </row>
    <row r="169" spans="1:30" ht="16.5" customHeight="1" x14ac:dyDescent="0.45">
      <c r="A169" s="6" t="s">
        <v>157</v>
      </c>
      <c r="B169" s="7">
        <v>-1910.46</v>
      </c>
      <c r="C169" s="8">
        <f>IFERROR(B169/B444, "NA")</f>
        <v>-1.8218892199499761E-2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1910.46</v>
      </c>
      <c r="I169" s="8">
        <f>IFERROR(H169/H444, "NA")</f>
        <v>-0.12334835324402307</v>
      </c>
      <c r="J169" s="9"/>
      <c r="K169" s="7">
        <v>-2389.2600000000002</v>
      </c>
      <c r="L169" s="8">
        <f>IFERROR(K169/K444, "NA")</f>
        <v>-2.3426099678825772E-2</v>
      </c>
      <c r="M169" s="9"/>
      <c r="N169" s="10">
        <f t="shared" si="41"/>
        <v>-478.80000000000018</v>
      </c>
      <c r="O169" s="8">
        <f>IFERROR(N169/N444, "NA")</f>
        <v>-0.1668228743846055</v>
      </c>
      <c r="P169" s="9"/>
      <c r="Q169" s="7">
        <v>-15298.4</v>
      </c>
      <c r="R169" s="8">
        <f>IFERROR(Q169/Q444, "NA")</f>
        <v>-1.9329995986900574E-2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15298.4</v>
      </c>
      <c r="X169" s="8">
        <f>IFERROR(W169/W444, "NA")</f>
        <v>-0.62801468312319464</v>
      </c>
      <c r="Y169" s="9"/>
      <c r="Z169" s="7">
        <v>-16657.46</v>
      </c>
      <c r="AA169" s="8">
        <f>IFERROR(Z169/Z444, "NA")</f>
        <v>-2.3497279260322631E-2</v>
      </c>
      <c r="AB169" s="9"/>
      <c r="AC169" s="10">
        <f t="shared" si="43"/>
        <v>-1359.0599999999995</v>
      </c>
      <c r="AD169" s="8">
        <f>IFERROR(AC169/AC444, "NA")</f>
        <v>-1.6468861230340474E-2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2891.9300000000003</v>
      </c>
      <c r="C170" s="15">
        <f>IFERROR(B170/B444, "NA")</f>
        <v>2.7578573180542562E-2</v>
      </c>
      <c r="D170" s="2"/>
      <c r="E170" s="14">
        <f>IFERROR(E151+E153+E154+E155+E156+E157+E160+E161+E162+E163+E164+E165+E167+E168+E169, "NA")</f>
        <v>1805.25</v>
      </c>
      <c r="F170" s="15">
        <f>IFERROR(E170/E444, "NA")</f>
        <v>1.5000023680968005E-2</v>
      </c>
      <c r="G170" s="2"/>
      <c r="H170" s="14">
        <f t="shared" si="40"/>
        <v>-1086.6800000000003</v>
      </c>
      <c r="I170" s="15">
        <f>IFERROR(H170/H444, "NA")</f>
        <v>7.0161211699389159E-2</v>
      </c>
      <c r="J170" s="2"/>
      <c r="K170" s="14">
        <f>IFERROR(K151+K153+K154+K155+K156+K157+K160+K161+K162+K163+K164+K165+K167+K168+K169, "NA")</f>
        <v>2190.91</v>
      </c>
      <c r="L170" s="15">
        <f>IFERROR(K170/K444, "NA")</f>
        <v>2.1481327292691529E-2</v>
      </c>
      <c r="M170" s="2"/>
      <c r="N170" s="14">
        <f t="shared" si="41"/>
        <v>-701.02000000000044</v>
      </c>
      <c r="O170" s="15">
        <f>IFERROR(N170/N444, "NA")</f>
        <v>-0.24424847828132032</v>
      </c>
      <c r="P170" s="2"/>
      <c r="Q170" s="14">
        <f>IFERROR(Q151+Q153+Q154+Q155+Q156+Q157+Q160+Q161+Q162+Q163+Q164+Q165+Q167+Q168+Q169, "NA")</f>
        <v>23031.839999999997</v>
      </c>
      <c r="R170" s="15">
        <f>IFERROR(Q170/Q444, "NA")</f>
        <v>2.9101433795098573E-2</v>
      </c>
      <c r="S170" s="2"/>
      <c r="T170" s="14">
        <f>IFERROR(T151+T153+T154+T155+T156+T157+T160+T161+T162+T163+T164+T165+T167+T168+T169, "NA")</f>
        <v>13259.07</v>
      </c>
      <c r="U170" s="15">
        <f>IFERROR(T170/T444, "NA")</f>
        <v>1.6252981102034558E-2</v>
      </c>
      <c r="V170" s="2"/>
      <c r="W170" s="14">
        <f t="shared" si="42"/>
        <v>-9772.7699999999968</v>
      </c>
      <c r="X170" s="15">
        <f>IFERROR(W170/W444, "NA")</f>
        <v>0.40118202261582003</v>
      </c>
      <c r="Y170" s="2"/>
      <c r="Z170" s="14">
        <f>IFERROR(Z151+Z153+Z154+Z155+Z156+Z157+Z160+Z161+Z162+Z163+Z164+Z165+Z167+Z168+Z169, "NA")</f>
        <v>19484.57</v>
      </c>
      <c r="AA170" s="15">
        <f>IFERROR(Z170/Z444, "NA")</f>
        <v>2.7485245803219972E-2</v>
      </c>
      <c r="AB170" s="2"/>
      <c r="AC170" s="14">
        <f t="shared" si="43"/>
        <v>-3547.2699999999968</v>
      </c>
      <c r="AD170" s="15">
        <f>IFERROR(AC170/AC444, "NA")</f>
        <v>-4.2985223151700315E-2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30436.78</v>
      </c>
      <c r="C171" s="15">
        <f>IFERROR(B171/B444, "NA")</f>
        <v>0.2902570133475133</v>
      </c>
      <c r="D171" s="2"/>
      <c r="E171" s="14">
        <f>IFERROR(E127+E129+E130+E131+E132+E133+E134+E135+E136+E137+E138+E139+E140+E143+E144+E145+E146+E147+E151+E153+E154+E155+E156+E157+E160+E161+E162+E163+E164+E165+E167+E168+E169, "NA")</f>
        <v>29245.01</v>
      </c>
      <c r="F171" s="15">
        <f>IFERROR(E171/E444, "NA")</f>
        <v>0.24300005126721844</v>
      </c>
      <c r="G171" s="2"/>
      <c r="H171" s="14">
        <f t="shared" si="40"/>
        <v>-1191.7700000000004</v>
      </c>
      <c r="I171" s="15">
        <f>IFERROR(H171/H444, "NA")</f>
        <v>7.6946320229488926E-2</v>
      </c>
      <c r="J171" s="2"/>
      <c r="K171" s="14">
        <f>IFERROR(K127+K129+K130+K131+K132+K133+K134+K135+K136+K137+K138+K139+K140+K143+K144+K145+K146+K147+K151+K153+K154+K155+K156+K157+K160+K161+K162+K163+K164+K165+K167+K168+K169, "NA")</f>
        <v>28559.15</v>
      </c>
      <c r="L171" s="15">
        <f>IFERROR(K171/K444, "NA")</f>
        <v>0.28001535816216611</v>
      </c>
      <c r="M171" s="2"/>
      <c r="N171" s="14">
        <f t="shared" si="41"/>
        <v>-1877.6299999999974</v>
      </c>
      <c r="O171" s="15">
        <f>IFERROR(N171/N444, "NA")</f>
        <v>-0.65420140691471651</v>
      </c>
      <c r="P171" s="2"/>
      <c r="Q171" s="14">
        <f>IFERROR(Q127+Q129+Q130+Q131+Q132+Q133+Q134+Q135+Q136+Q137+Q138+Q139+Q140+Q143+Q144+Q145+Q146+Q147+Q151+Q153+Q154+Q155+Q156+Q157+Q160+Q161+Q162+Q163+Q164+Q165+Q167+Q168+Q169, "NA")</f>
        <v>231466.59999999995</v>
      </c>
      <c r="R171" s="15">
        <f>IFERROR(Q171/Q444, "NA")</f>
        <v>0.29246512374506611</v>
      </c>
      <c r="S171" s="2"/>
      <c r="T171" s="14">
        <f>IFERROR(T127+T129+T130+T131+T132+T133+T134+T135+T136+T137+T138+T139+T140+T143+T144+T145+T146+T147+T151+T153+T154+T155+T156+T157+T160+T161+T162+T163+T164+T165+T167+T168+T169, "NA")</f>
        <v>205063.78</v>
      </c>
      <c r="U171" s="15">
        <f>IFERROR(T171/T444, "NA")</f>
        <v>0.25136738406628611</v>
      </c>
      <c r="V171" s="2"/>
      <c r="W171" s="14">
        <f t="shared" si="42"/>
        <v>-26402.819999999949</v>
      </c>
      <c r="X171" s="15">
        <f>IFERROR(W171/W444, "NA")</f>
        <v>1.0838622755228464</v>
      </c>
      <c r="Y171" s="2"/>
      <c r="Z171" s="14">
        <f>IFERROR(Z127+Z129+Z130+Z131+Z132+Z133+Z134+Z135+Z136+Z137+Z138+Z139+Z140+Z143+Z144+Z145+Z146+Z147+Z151+Z153+Z154+Z155+Z156+Z157+Z160+Z161+Z162+Z163+Z164+Z165+Z167+Z168+Z169, "NA")</f>
        <v>198854.41999999998</v>
      </c>
      <c r="AA171" s="15">
        <f>IFERROR(Z171/Z444, "NA")</f>
        <v>0.2805072225230909</v>
      </c>
      <c r="AB171" s="2"/>
      <c r="AC171" s="14">
        <f t="shared" si="43"/>
        <v>-32612.179999999964</v>
      </c>
      <c r="AD171" s="15">
        <f>IFERROR(AC171/AC444, "NA")</f>
        <v>-0.39518892973002268</v>
      </c>
    </row>
    <row r="172" spans="1:30" ht="16.5" customHeight="1" x14ac:dyDescent="0.45">
      <c r="A172" s="22" t="s">
        <v>160</v>
      </c>
      <c r="B172" s="23">
        <f>IFERROR(B124-B171, "NA")</f>
        <v>74424.699999999983</v>
      </c>
      <c r="C172" s="24">
        <f>IFERROR(B172/B444, "NA")</f>
        <v>0.70974298665248658</v>
      </c>
      <c r="D172" s="25"/>
      <c r="E172" s="23">
        <f>IFERROR(E124-E171, "NA")</f>
        <v>91104.799999999988</v>
      </c>
      <c r="F172" s="24">
        <f>IFERROR(E172/E444, "NA")</f>
        <v>0.75699994873278142</v>
      </c>
      <c r="G172" s="25"/>
      <c r="H172" s="23">
        <f>IFERROR(B172-E172, "NA")</f>
        <v>-16680.100000000006</v>
      </c>
      <c r="I172" s="24">
        <f>IFERROR(H172/H444, "NA")</f>
        <v>1.0769463202294891</v>
      </c>
      <c r="J172" s="25"/>
      <c r="K172" s="23">
        <f>IFERROR(K124-K171, "NA")</f>
        <v>73432.22</v>
      </c>
      <c r="L172" s="24">
        <f>IFERROR(K172/K444, "NA")</f>
        <v>0.71998464183783395</v>
      </c>
      <c r="M172" s="25"/>
      <c r="N172" s="23">
        <f>IFERROR(B172-K172, "NA")</f>
        <v>992.47999999998137</v>
      </c>
      <c r="O172" s="24">
        <f>IFERROR(N172/N444, "NA")</f>
        <v>0.34579859308527588</v>
      </c>
      <c r="P172" s="25"/>
      <c r="Q172" s="23">
        <f>IFERROR(Q124-Q171, "NA")</f>
        <v>559966.56999999995</v>
      </c>
      <c r="R172" s="24">
        <f>IFERROR(Q172/Q444, "NA")</f>
        <v>0.70753487625493372</v>
      </c>
      <c r="S172" s="25"/>
      <c r="T172" s="23">
        <f>IFERROR(T124-T171, "NA")</f>
        <v>610729.32999999996</v>
      </c>
      <c r="U172" s="24">
        <f>IFERROR(T172/T444, "NA")</f>
        <v>0.74863261593371389</v>
      </c>
      <c r="V172" s="25"/>
      <c r="W172" s="23">
        <f>IFERROR(Q172-T172, "NA")</f>
        <v>-50762.760000000009</v>
      </c>
      <c r="X172" s="24">
        <f>IFERROR(W172/W444, "NA")</f>
        <v>2.0838622755228511</v>
      </c>
      <c r="Y172" s="25"/>
      <c r="Z172" s="23">
        <f>IFERROR(Z124-Z171, "NA")</f>
        <v>510055.7399999997</v>
      </c>
      <c r="AA172" s="24">
        <f>IFERROR(Z172/Z444, "NA")</f>
        <v>0.71949277747690865</v>
      </c>
      <c r="AB172" s="25"/>
      <c r="AC172" s="23">
        <f>IFERROR(Q172-Z172, "NA")</f>
        <v>49910.830000000249</v>
      </c>
      <c r="AD172" s="24">
        <f>IFERROR(AC172/AC444, "NA")</f>
        <v>0.60481107026997982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5.5751263476349941E-2</v>
      </c>
      <c r="D178" s="9"/>
      <c r="E178" s="7">
        <v>5692.31</v>
      </c>
      <c r="F178" s="8">
        <f>IFERROR(E178/E444, "NA")</f>
        <v>4.7298038941648524E-2</v>
      </c>
      <c r="G178" s="9"/>
      <c r="H178" s="10">
        <f t="shared" si="44"/>
        <v>-153.84999999999945</v>
      </c>
      <c r="I178" s="8">
        <f>IFERROR(H178/H444, "NA")</f>
        <v>9.9332852541235521E-3</v>
      </c>
      <c r="J178" s="9"/>
      <c r="K178" s="7">
        <v>5615.4</v>
      </c>
      <c r="L178" s="8">
        <f>IFERROR(K178/K444, "NA")</f>
        <v>5.5057599481211007E-2</v>
      </c>
      <c r="M178" s="9"/>
      <c r="N178" s="10">
        <f t="shared" si="45"/>
        <v>-230.76000000000022</v>
      </c>
      <c r="O178" s="8">
        <f>IFERROR(N178/N444, "NA")</f>
        <v>-8.0401099609422697E-2</v>
      </c>
      <c r="P178" s="9"/>
      <c r="Q178" s="7">
        <v>43571.199999999997</v>
      </c>
      <c r="R178" s="8">
        <f>IFERROR(Q178/Q444, "NA")</f>
        <v>5.5053542928962647E-2</v>
      </c>
      <c r="S178" s="9"/>
      <c r="T178" s="7">
        <v>42692.31</v>
      </c>
      <c r="U178" s="8">
        <f>IFERROR(T178/T444, "NA")</f>
        <v>5.2332275765359183E-2</v>
      </c>
      <c r="V178" s="9"/>
      <c r="W178" s="10">
        <f t="shared" si="46"/>
        <v>-878.88999999999942</v>
      </c>
      <c r="X178" s="8">
        <f>IFERROR(W178/W444, "NA")</f>
        <v>3.607931710833448E-2</v>
      </c>
      <c r="Y178" s="9"/>
      <c r="Z178" s="7">
        <v>42115.5</v>
      </c>
      <c r="AA178" s="8">
        <f>IFERROR(Z178/Z444, "NA")</f>
        <v>5.9408797300916097E-2</v>
      </c>
      <c r="AB178" s="9"/>
      <c r="AC178" s="10">
        <f t="shared" si="47"/>
        <v>-1455.6999999999971</v>
      </c>
      <c r="AD178" s="8">
        <f>IFERROR(AC178/AC444, "NA")</f>
        <v>-1.7639928548413307E-2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19994.39</v>
      </c>
      <c r="C180" s="8">
        <f>IFERROR(B180/B444, "NA")</f>
        <v>0.19067430671396207</v>
      </c>
      <c r="D180" s="9"/>
      <c r="E180" s="7">
        <v>23227.51</v>
      </c>
      <c r="F180" s="8">
        <f>IFERROR(E180/E444, "NA")</f>
        <v>0.19299997233065844</v>
      </c>
      <c r="G180" s="9"/>
      <c r="H180" s="10">
        <f t="shared" si="44"/>
        <v>3233.119999999999</v>
      </c>
      <c r="I180" s="8">
        <f>IFERROR(H180/H444, "NA")</f>
        <v>-0.20874555229647088</v>
      </c>
      <c r="J180" s="9"/>
      <c r="K180" s="7">
        <v>20502.939999999999</v>
      </c>
      <c r="L180" s="8">
        <f>IFERROR(K180/K444, "NA")</f>
        <v>0.20102622408150808</v>
      </c>
      <c r="M180" s="9"/>
      <c r="N180" s="10">
        <f t="shared" si="45"/>
        <v>508.54999999999927</v>
      </c>
      <c r="O180" s="8">
        <f>IFERROR(N180/N444, "NA")</f>
        <v>0.17718833076084162</v>
      </c>
      <c r="P180" s="9"/>
      <c r="Q180" s="7">
        <v>146252.26999999999</v>
      </c>
      <c r="R180" s="8">
        <f>IFERROR(Q180/Q444, "NA")</f>
        <v>0.1847942132625045</v>
      </c>
      <c r="S180" s="9"/>
      <c r="T180" s="7">
        <v>159737.35999999999</v>
      </c>
      <c r="U180" s="8">
        <f>IFERROR(T180/T444, "NA")</f>
        <v>0.19580621366120632</v>
      </c>
      <c r="V180" s="9"/>
      <c r="W180" s="10">
        <f t="shared" si="46"/>
        <v>13485.089999999997</v>
      </c>
      <c r="X180" s="8">
        <f>IFERROR(W180/W444, "NA")</f>
        <v>-0.55357648664159387</v>
      </c>
      <c r="Y180" s="9"/>
      <c r="Z180" s="7">
        <v>147128.94</v>
      </c>
      <c r="AA180" s="8">
        <f>IFERROR(Z180/Z444, "NA")</f>
        <v>0.20754243386778376</v>
      </c>
      <c r="AB180" s="9"/>
      <c r="AC180" s="10">
        <f t="shared" si="47"/>
        <v>876.67000000001281</v>
      </c>
      <c r="AD180" s="8">
        <f>IFERROR(AC180/AC444, "NA")</f>
        <v>1.0623340084177889E-2</v>
      </c>
    </row>
    <row r="181" spans="1:30" ht="16.5" customHeight="1" x14ac:dyDescent="0.45">
      <c r="A181" s="12" t="s">
        <v>166</v>
      </c>
      <c r="B181" s="7">
        <v>488.52</v>
      </c>
      <c r="C181" s="8">
        <f>IFERROR(B181/B444, "NA")</f>
        <v>4.658717386022017E-3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-488.52</v>
      </c>
      <c r="I181" s="8">
        <f>IFERROR(H181/H444, "NA")</f>
        <v>3.1541166801068929E-2</v>
      </c>
      <c r="J181" s="9"/>
      <c r="K181" s="7">
        <v>138.35</v>
      </c>
      <c r="L181" s="8">
        <f>IFERROR(K181/K444, "NA")</f>
        <v>1.3564873184858681E-3</v>
      </c>
      <c r="M181" s="9"/>
      <c r="N181" s="10">
        <f t="shared" si="45"/>
        <v>-350.16999999999996</v>
      </c>
      <c r="O181" s="8">
        <f>IFERROR(N181/N444, "NA")</f>
        <v>-0.12200577678207451</v>
      </c>
      <c r="P181" s="9"/>
      <c r="Q181" s="7">
        <v>3511.41</v>
      </c>
      <c r="R181" s="8">
        <f>IFERROR(Q181/Q444, "NA")</f>
        <v>4.4367738592508065E-3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-3511.41</v>
      </c>
      <c r="X181" s="8">
        <f>IFERROR(W181/W444, "NA")</f>
        <v>0.14414690676578054</v>
      </c>
      <c r="Y181" s="9"/>
      <c r="Z181" s="7">
        <v>1440.19</v>
      </c>
      <c r="AA181" s="8">
        <f>IFERROR(Z181/Z444, "NA")</f>
        <v>2.0315550280729506E-3</v>
      </c>
      <c r="AB181" s="9"/>
      <c r="AC181" s="10">
        <f t="shared" si="47"/>
        <v>-2071.2199999999998</v>
      </c>
      <c r="AD181" s="8">
        <f>IFERROR(AC181/AC444, "NA")</f>
        <v>-2.5098696715013177E-2</v>
      </c>
    </row>
    <row r="182" spans="1:30" ht="16.5" customHeight="1" x14ac:dyDescent="0.45">
      <c r="A182" s="13" t="s">
        <v>167</v>
      </c>
      <c r="B182" s="14">
        <f>IFERROR(B177+B178+B179+B180+B181, "NA")</f>
        <v>26329.07</v>
      </c>
      <c r="C182" s="15">
        <f>IFERROR(B182/B444, "NA")</f>
        <v>0.25108428757633405</v>
      </c>
      <c r="D182" s="2"/>
      <c r="E182" s="14">
        <f>IFERROR(E177+E178+E179+E180+E181, "NA")</f>
        <v>28919.82</v>
      </c>
      <c r="F182" s="15">
        <f>IFERROR(E182/E444, "NA")</f>
        <v>0.24029801127230696</v>
      </c>
      <c r="G182" s="2"/>
      <c r="H182" s="14">
        <f t="shared" si="44"/>
        <v>2590.75</v>
      </c>
      <c r="I182" s="15">
        <f>IFERROR(H182/H444, "NA")</f>
        <v>-0.16727110024127842</v>
      </c>
      <c r="J182" s="2"/>
      <c r="K182" s="14">
        <f>IFERROR(K177+K178+K179+K180+K181, "NA")</f>
        <v>26256.689999999995</v>
      </c>
      <c r="L182" s="15">
        <f>IFERROR(K182/K444, "NA")</f>
        <v>0.25744031088120489</v>
      </c>
      <c r="M182" s="2"/>
      <c r="N182" s="14">
        <f t="shared" si="45"/>
        <v>-72.380000000004657</v>
      </c>
      <c r="O182" s="15">
        <f>IFERROR(N182/N444, "NA")</f>
        <v>-2.521854563065689E-2</v>
      </c>
      <c r="P182" s="2"/>
      <c r="Q182" s="14">
        <f>IFERROR(Q177+Q178+Q179+Q180+Q181, "NA")</f>
        <v>193334.87999999998</v>
      </c>
      <c r="R182" s="15">
        <f>IFERROR(Q182/Q444, "NA")</f>
        <v>0.24428453005071796</v>
      </c>
      <c r="S182" s="2"/>
      <c r="T182" s="14">
        <f>IFERROR(T177+T178+T179+T180+T181, "NA")</f>
        <v>202429.66999999998</v>
      </c>
      <c r="U182" s="15">
        <f>IFERROR(T182/T444, "NA")</f>
        <v>0.2481384894265655</v>
      </c>
      <c r="V182" s="2"/>
      <c r="W182" s="14">
        <f t="shared" si="46"/>
        <v>9094.7900000000081</v>
      </c>
      <c r="X182" s="15">
        <f>IFERROR(W182/W444, "NA")</f>
        <v>-0.37335026276747929</v>
      </c>
      <c r="Y182" s="2"/>
      <c r="Z182" s="14">
        <f>IFERROR(Z177+Z178+Z179+Z180+Z181, "NA")</f>
        <v>190684.63</v>
      </c>
      <c r="AA182" s="15">
        <f>IFERROR(Z182/Z444, "NA")</f>
        <v>0.26898278619677279</v>
      </c>
      <c r="AB182" s="2"/>
      <c r="AC182" s="14">
        <f t="shared" si="47"/>
        <v>-2650.2499999999709</v>
      </c>
      <c r="AD182" s="15">
        <f>IFERROR(AC182/AC444, "NA")</f>
        <v>-3.2115285179248436E-2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-1000</v>
      </c>
      <c r="C184" s="8">
        <f>IFERROR(B184/B444, "NA")</f>
        <v>-9.5363902931753404E-3</v>
      </c>
      <c r="D184" s="9"/>
      <c r="E184" s="7">
        <v>500</v>
      </c>
      <c r="F184" s="8">
        <f>IFERROR(E184/E444, "NA")</f>
        <v>4.154555790324887E-3</v>
      </c>
      <c r="G184" s="9"/>
      <c r="H184" s="10">
        <f t="shared" si="44"/>
        <v>1500</v>
      </c>
      <c r="I184" s="8">
        <f>IFERROR(H184/H444, "NA")</f>
        <v>-9.6847110049953722E-2</v>
      </c>
      <c r="J184" s="9"/>
      <c r="K184" s="7">
        <v>300</v>
      </c>
      <c r="L184" s="8">
        <f>IFERROR(K184/K444, "NA")</f>
        <v>2.9414253382418535E-3</v>
      </c>
      <c r="M184" s="9"/>
      <c r="N184" s="10">
        <f t="shared" si="45"/>
        <v>1300</v>
      </c>
      <c r="O184" s="8">
        <f>IFERROR(N184/N444, "NA")</f>
        <v>0.45294431223890363</v>
      </c>
      <c r="P184" s="9"/>
      <c r="Q184" s="7">
        <v>1550</v>
      </c>
      <c r="R184" s="8">
        <f>IFERROR(Q184/Q444, "NA")</f>
        <v>1.9584723748689984E-3</v>
      </c>
      <c r="S184" s="9"/>
      <c r="T184" s="7">
        <v>3500</v>
      </c>
      <c r="U184" s="8">
        <f>IFERROR(T184/T444, "NA")</f>
        <v>4.2903034569634945E-3</v>
      </c>
      <c r="V184" s="9"/>
      <c r="W184" s="10">
        <f t="shared" si="46"/>
        <v>1950</v>
      </c>
      <c r="X184" s="8">
        <f>IFERROR(W184/W444, "NA")</f>
        <v>-8.0049458249897357E-2</v>
      </c>
      <c r="Y184" s="9"/>
      <c r="Z184" s="7">
        <v>2200</v>
      </c>
      <c r="AA184" s="8">
        <f>IFERROR(Z184/Z444, "NA")</f>
        <v>3.1033551557506241E-3</v>
      </c>
      <c r="AB184" s="9"/>
      <c r="AC184" s="10">
        <f t="shared" si="47"/>
        <v>650</v>
      </c>
      <c r="AD184" s="8">
        <f>IFERROR(AC184/AC444, "NA")</f>
        <v>7.8765910259453696E-3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1545.24</v>
      </c>
      <c r="C186" s="8">
        <f>IFERROR(B186/B444, "NA")</f>
        <v>1.4736011736626262E-2</v>
      </c>
      <c r="D186" s="9"/>
      <c r="E186" s="7">
        <v>2938.48</v>
      </c>
      <c r="F186" s="8">
        <f>IFERROR(E186/E444, "NA")</f>
        <v>2.441615819750775E-2</v>
      </c>
      <c r="G186" s="9"/>
      <c r="H186" s="10">
        <f t="shared" ref="H186:H197" si="48">IFERROR(-(B186-E186), "NA")</f>
        <v>1393.24</v>
      </c>
      <c r="I186" s="8">
        <f>IFERROR(H186/H444, "NA")</f>
        <v>-8.9954178403998358E-2</v>
      </c>
      <c r="J186" s="9"/>
      <c r="K186" s="7">
        <v>2633.12</v>
      </c>
      <c r="L186" s="8">
        <f>IFERROR(K186/K444, "NA")</f>
        <v>2.5817086288771295E-2</v>
      </c>
      <c r="M186" s="9"/>
      <c r="N186" s="10">
        <f t="shared" ref="N186:N197" si="49">IFERROR(-(B186-K186), "NA")</f>
        <v>1087.8799999999999</v>
      </c>
      <c r="O186" s="8">
        <f>IFERROR(N186/N444, "NA")</f>
        <v>0.37903773722958339</v>
      </c>
      <c r="P186" s="9"/>
      <c r="Q186" s="7">
        <v>19818.64</v>
      </c>
      <c r="R186" s="8">
        <f>IFERROR(Q186/Q444, "NA")</f>
        <v>2.5041457385466922E-2</v>
      </c>
      <c r="S186" s="9"/>
      <c r="T186" s="7">
        <v>22901.360000000001</v>
      </c>
      <c r="U186" s="8">
        <f>IFERROR(T186/T444, "NA")</f>
        <v>2.8072509707761567E-2</v>
      </c>
      <c r="V186" s="9"/>
      <c r="W186" s="10">
        <f t="shared" ref="W186:W197" si="50">IFERROR(-(Q186-T186), "NA")</f>
        <v>3082.7200000000012</v>
      </c>
      <c r="X186" s="8">
        <f>IFERROR(W186/W444, "NA")</f>
        <v>-0.12654875176211469</v>
      </c>
      <c r="Y186" s="9"/>
      <c r="Z186" s="7">
        <v>20101.400000000001</v>
      </c>
      <c r="AA186" s="8">
        <f>IFERROR(Z186/Z444, "NA")</f>
        <v>2.8355356058093455E-2</v>
      </c>
      <c r="AB186" s="9"/>
      <c r="AC186" s="10">
        <f t="shared" ref="AC186:AC197" si="51">IFERROR(-(Q186-Z186), "NA")</f>
        <v>282.76000000000204</v>
      </c>
      <c r="AD186" s="8">
        <f>IFERROR(AC186/AC444, "NA")</f>
        <v>3.4264382746097364E-3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-8.463695879319884E-8</v>
      </c>
      <c r="AB187" s="9"/>
      <c r="AC187" s="10">
        <f t="shared" si="51"/>
        <v>-0.06</v>
      </c>
      <c r="AD187" s="8">
        <f>IFERROR(AC187/AC444, "NA")</f>
        <v>-7.2706994085649558E-7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1545.24</v>
      </c>
      <c r="C193" s="15">
        <f>IFERROR(B193/B444, "NA")</f>
        <v>1.4736011736626262E-2</v>
      </c>
      <c r="D193" s="2"/>
      <c r="E193" s="14">
        <f>IFERROR(E186+E187+E188+E189+E190+E191+E192, "NA")</f>
        <v>2938.48</v>
      </c>
      <c r="F193" s="15">
        <f>IFERROR(E193/E444, "NA")</f>
        <v>2.441615819750775E-2</v>
      </c>
      <c r="G193" s="2"/>
      <c r="H193" s="14">
        <f t="shared" si="48"/>
        <v>1393.24</v>
      </c>
      <c r="I193" s="15">
        <f>IFERROR(H193/H444, "NA")</f>
        <v>-8.9954178403998358E-2</v>
      </c>
      <c r="J193" s="2"/>
      <c r="K193" s="14">
        <f>IFERROR(K186+K187+K188+K189+K190+K191+K192, "NA")</f>
        <v>2633.12</v>
      </c>
      <c r="L193" s="15">
        <f>IFERROR(K193/K444, "NA")</f>
        <v>2.5817086288771295E-2</v>
      </c>
      <c r="M193" s="2"/>
      <c r="N193" s="14">
        <f t="shared" si="49"/>
        <v>1087.8799999999999</v>
      </c>
      <c r="O193" s="15">
        <f>IFERROR(N193/N444, "NA")</f>
        <v>0.37903773722958339</v>
      </c>
      <c r="P193" s="2"/>
      <c r="Q193" s="14">
        <f>IFERROR(Q186+Q187+Q188+Q189+Q190+Q191+Q192, "NA")</f>
        <v>19818.64</v>
      </c>
      <c r="R193" s="15">
        <f>IFERROR(Q193/Q444, "NA")</f>
        <v>2.5041457385466922E-2</v>
      </c>
      <c r="S193" s="2"/>
      <c r="T193" s="14">
        <f>IFERROR(T186+T187+T188+T189+T190+T191+T192, "NA")</f>
        <v>22901.360000000001</v>
      </c>
      <c r="U193" s="15">
        <f>IFERROR(T193/T444, "NA")</f>
        <v>2.8072509707761567E-2</v>
      </c>
      <c r="V193" s="2"/>
      <c r="W193" s="14">
        <f t="shared" si="50"/>
        <v>3082.7200000000012</v>
      </c>
      <c r="X193" s="15">
        <f>IFERROR(W193/W444, "NA")</f>
        <v>-0.12654875176211469</v>
      </c>
      <c r="Y193" s="2"/>
      <c r="Z193" s="14">
        <f>IFERROR(Z186+Z187+Z188+Z189+Z190+Z191+Z192, "NA")</f>
        <v>20101.34</v>
      </c>
      <c r="AA193" s="15">
        <f>IFERROR(Z193/Z444, "NA")</f>
        <v>2.835527142113466E-2</v>
      </c>
      <c r="AB193" s="2"/>
      <c r="AC193" s="14">
        <f t="shared" si="51"/>
        <v>282.70000000000073</v>
      </c>
      <c r="AD193" s="15">
        <f>IFERROR(AC193/AC444, "NA")</f>
        <v>3.425711204668864E-3</v>
      </c>
    </row>
    <row r="194" spans="1:30" ht="16.5" customHeight="1" x14ac:dyDescent="0.45">
      <c r="A194" s="6" t="s">
        <v>178</v>
      </c>
      <c r="B194" s="7">
        <v>260</v>
      </c>
      <c r="C194" s="8">
        <f>IFERROR(B194/B444, "NA")</f>
        <v>2.4794614762255886E-3</v>
      </c>
      <c r="D194" s="9"/>
      <c r="E194" s="7">
        <v>235.36</v>
      </c>
      <c r="F194" s="8">
        <f>IFERROR(E194/E444, "NA")</f>
        <v>1.9556325016217308E-3</v>
      </c>
      <c r="G194" s="9"/>
      <c r="H194" s="10">
        <f t="shared" si="48"/>
        <v>-24.639999999999986</v>
      </c>
      <c r="I194" s="8">
        <f>IFERROR(H194/H444, "NA")</f>
        <v>1.5908751944205724E-3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-260</v>
      </c>
      <c r="O194" s="8">
        <f>IFERROR(N194/N444, "NA")</f>
        <v>-9.0588862447780735E-2</v>
      </c>
      <c r="P194" s="9"/>
      <c r="Q194" s="7">
        <v>1684</v>
      </c>
      <c r="R194" s="8">
        <f>IFERROR(Q194/Q444, "NA")</f>
        <v>2.1277854705028347E-3</v>
      </c>
      <c r="S194" s="9"/>
      <c r="T194" s="7">
        <v>1647.44</v>
      </c>
      <c r="U194" s="8">
        <f>IFERROR(T194/T444, "NA")</f>
        <v>2.0194335791828399E-3</v>
      </c>
      <c r="V194" s="9"/>
      <c r="W194" s="10">
        <f t="shared" si="50"/>
        <v>-36.559999999999945</v>
      </c>
      <c r="X194" s="8">
        <f>IFERROR(W194/W444, "NA")</f>
        <v>1.5008247146749963E-3</v>
      </c>
      <c r="Y194" s="9"/>
      <c r="Z194" s="7">
        <v>1446</v>
      </c>
      <c r="AA194" s="8">
        <f>IFERROR(Z194/Z444, "NA")</f>
        <v>2.039750706916092E-3</v>
      </c>
      <c r="AB194" s="9"/>
      <c r="AC194" s="10">
        <f t="shared" si="51"/>
        <v>-238</v>
      </c>
      <c r="AD194" s="8">
        <f>IFERROR(AC194/AC444, "NA")</f>
        <v>-2.8840440987307659E-3</v>
      </c>
    </row>
    <row r="195" spans="1:30" ht="16.5" customHeight="1" x14ac:dyDescent="0.45">
      <c r="A195" s="6" t="s">
        <v>179</v>
      </c>
      <c r="B195" s="7">
        <v>136.78</v>
      </c>
      <c r="C195" s="8">
        <f>IFERROR(B195/B444, "NA")</f>
        <v>1.3043874643005229E-3</v>
      </c>
      <c r="D195" s="9"/>
      <c r="E195" s="7">
        <v>205.94</v>
      </c>
      <c r="F195" s="8">
        <f>IFERROR(E195/E444, "NA")</f>
        <v>1.7111784389190145E-3</v>
      </c>
      <c r="G195" s="9"/>
      <c r="H195" s="10">
        <f t="shared" si="48"/>
        <v>69.16</v>
      </c>
      <c r="I195" s="8">
        <f>IFERROR(H195/H444, "NA")</f>
        <v>-4.4652974207031997E-3</v>
      </c>
      <c r="J195" s="9"/>
      <c r="K195" s="7">
        <v>246.55</v>
      </c>
      <c r="L195" s="8">
        <f>IFERROR(K195/K444, "NA")</f>
        <v>2.4173613904784298E-3</v>
      </c>
      <c r="M195" s="9"/>
      <c r="N195" s="10">
        <f t="shared" si="49"/>
        <v>109.77000000000001</v>
      </c>
      <c r="O195" s="8">
        <f>IFERROR(N195/N444, "NA")</f>
        <v>3.8245920888049581E-2</v>
      </c>
      <c r="P195" s="9"/>
      <c r="Q195" s="7">
        <v>1859.41</v>
      </c>
      <c r="R195" s="8">
        <f>IFERROR(Q195/Q444, "NA")</f>
        <v>2.3494213668097839E-3</v>
      </c>
      <c r="S195" s="9"/>
      <c r="T195" s="7">
        <v>1441.52</v>
      </c>
      <c r="U195" s="8">
        <f>IFERROR(T195/T444, "NA")</f>
        <v>1.7670166397948618E-3</v>
      </c>
      <c r="V195" s="9"/>
      <c r="W195" s="10">
        <f t="shared" si="50"/>
        <v>-417.8900000000001</v>
      </c>
      <c r="X195" s="8">
        <f>IFERROR(W195/W444, "NA")</f>
        <v>1.7154804157974161E-2</v>
      </c>
      <c r="Y195" s="9"/>
      <c r="Z195" s="7">
        <v>1555.95</v>
      </c>
      <c r="AA195" s="8">
        <f>IFERROR(Z195/Z444, "NA")</f>
        <v>2.1948479339046292E-3</v>
      </c>
      <c r="AB195" s="9"/>
      <c r="AC195" s="10">
        <f t="shared" si="51"/>
        <v>-303.46000000000004</v>
      </c>
      <c r="AD195" s="8">
        <f>IFERROR(AC195/AC444, "NA")</f>
        <v>-3.6772774042052028E-3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27271.09</v>
      </c>
      <c r="C196" s="15">
        <f>IFERROR(B196/B444, "NA")</f>
        <v>0.26006775796031106</v>
      </c>
      <c r="D196" s="2"/>
      <c r="E196" s="14">
        <f>IFERROR(E175+E177+E178+E179+E180+E181+E183+E184+E186+E187+E188+E189+E190+E191+E192+E194+E195, "NA")</f>
        <v>32799.599999999999</v>
      </c>
      <c r="F196" s="15">
        <f>IFERROR(E196/E444, "NA")</f>
        <v>0.27253553620068033</v>
      </c>
      <c r="G196" s="2"/>
      <c r="H196" s="14">
        <f t="shared" si="48"/>
        <v>5528.5099999999984</v>
      </c>
      <c r="I196" s="15">
        <f>IFERROR(H196/H444, "NA")</f>
        <v>-0.35694681092151304</v>
      </c>
      <c r="J196" s="2"/>
      <c r="K196" s="14">
        <f>IFERROR(K175+K177+K178+K179+K180+K181+K183+K184+K186+K187+K188+K189+K190+K191+K192+K194+K195, "NA")</f>
        <v>29436.359999999993</v>
      </c>
      <c r="L196" s="15">
        <f>IFERROR(K196/K444, "NA")</f>
        <v>0.28861618389869648</v>
      </c>
      <c r="M196" s="2"/>
      <c r="N196" s="14">
        <f t="shared" si="49"/>
        <v>2165.2699999999932</v>
      </c>
      <c r="O196" s="15">
        <f>IFERROR(N196/N444, "NA")</f>
        <v>0.75442056227809828</v>
      </c>
      <c r="P196" s="2"/>
      <c r="Q196" s="14">
        <f>IFERROR(Q175+Q177+Q178+Q179+Q180+Q181+Q183+Q184+Q186+Q187+Q188+Q189+Q190+Q191+Q192+Q194+Q195, "NA")</f>
        <v>218246.92999999996</v>
      </c>
      <c r="R196" s="15">
        <f>IFERROR(Q196/Q444, "NA")</f>
        <v>0.27576166664836649</v>
      </c>
      <c r="S196" s="2"/>
      <c r="T196" s="14">
        <f>IFERROR(T175+T177+T178+T179+T180+T181+T183+T184+T186+T187+T188+T189+T190+T191+T192+T194+T195, "NA")</f>
        <v>231919.98999999996</v>
      </c>
      <c r="U196" s="15">
        <f>IFERROR(T196/T444, "NA")</f>
        <v>0.28428775281026825</v>
      </c>
      <c r="V196" s="2"/>
      <c r="W196" s="14">
        <f t="shared" si="50"/>
        <v>13673.059999999998</v>
      </c>
      <c r="X196" s="15">
        <f>IFERROR(W196/W444, "NA")</f>
        <v>-0.56129284390684164</v>
      </c>
      <c r="Y196" s="2"/>
      <c r="Z196" s="14">
        <f>IFERROR(Z175+Z177+Z178+Z179+Z180+Z181+Z183+Z184+Z186+Z187+Z188+Z189+Z190+Z191+Z192+Z194+Z195, "NA")</f>
        <v>215987.92</v>
      </c>
      <c r="AA196" s="15">
        <f>IFERROR(Z196/Z444, "NA")</f>
        <v>0.30467601141447881</v>
      </c>
      <c r="AB196" s="2"/>
      <c r="AC196" s="14">
        <f t="shared" si="51"/>
        <v>-2259.0099999999511</v>
      </c>
      <c r="AD196" s="15">
        <f>IFERROR(AC196/AC444, "NA")</f>
        <v>-2.7374304451569943E-2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27271.09</v>
      </c>
      <c r="C197" s="15">
        <f>IFERROR(B197/B444, "NA")</f>
        <v>0.26006775796031106</v>
      </c>
      <c r="D197" s="2"/>
      <c r="E197" s="14">
        <f>IFERROR(E175+E177+E178+E179+E180+E181+E183+E184+E186+E187+E188+E189+E190+E191+E192+E194+E195, "NA")</f>
        <v>32799.599999999999</v>
      </c>
      <c r="F197" s="15">
        <f>IFERROR(E197/E444, "NA")</f>
        <v>0.27253553620068033</v>
      </c>
      <c r="G197" s="2"/>
      <c r="H197" s="14">
        <f t="shared" si="48"/>
        <v>5528.5099999999984</v>
      </c>
      <c r="I197" s="15">
        <f>IFERROR(H197/H444, "NA")</f>
        <v>-0.35694681092151304</v>
      </c>
      <c r="J197" s="2"/>
      <c r="K197" s="14">
        <f>IFERROR(K175+K177+K178+K179+K180+K181+K183+K184+K186+K187+K188+K189+K190+K191+K192+K194+K195, "NA")</f>
        <v>29436.359999999993</v>
      </c>
      <c r="L197" s="15">
        <f>IFERROR(K197/K444, "NA")</f>
        <v>0.28861618389869648</v>
      </c>
      <c r="M197" s="2"/>
      <c r="N197" s="14">
        <f t="shared" si="49"/>
        <v>2165.2699999999932</v>
      </c>
      <c r="O197" s="15">
        <f>IFERROR(N197/N444, "NA")</f>
        <v>0.75442056227809828</v>
      </c>
      <c r="P197" s="2"/>
      <c r="Q197" s="14">
        <f>IFERROR(Q175+Q177+Q178+Q179+Q180+Q181+Q183+Q184+Q186+Q187+Q188+Q189+Q190+Q191+Q192+Q194+Q195, "NA")</f>
        <v>218246.92999999996</v>
      </c>
      <c r="R197" s="15">
        <f>IFERROR(Q197/Q444, "NA")</f>
        <v>0.27576166664836649</v>
      </c>
      <c r="S197" s="2"/>
      <c r="T197" s="14">
        <f>IFERROR(T175+T177+T178+T179+T180+T181+T183+T184+T186+T187+T188+T189+T190+T191+T192+T194+T195, "NA")</f>
        <v>231919.98999999996</v>
      </c>
      <c r="U197" s="15">
        <f>IFERROR(T197/T444, "NA")</f>
        <v>0.28428775281026825</v>
      </c>
      <c r="V197" s="2"/>
      <c r="W197" s="14">
        <f t="shared" si="50"/>
        <v>13673.059999999998</v>
      </c>
      <c r="X197" s="15">
        <f>IFERROR(W197/W444, "NA")</f>
        <v>-0.56129284390684164</v>
      </c>
      <c r="Y197" s="2"/>
      <c r="Z197" s="14">
        <f>IFERROR(Z175+Z177+Z178+Z179+Z180+Z181+Z183+Z184+Z186+Z187+Z188+Z189+Z190+Z191+Z192+Z194+Z195, "NA")</f>
        <v>215987.92</v>
      </c>
      <c r="AA197" s="15">
        <f>IFERROR(Z197/Z444, "NA")</f>
        <v>0.30467601141447881</v>
      </c>
      <c r="AB197" s="2"/>
      <c r="AC197" s="14">
        <f t="shared" si="51"/>
        <v>-2259.0099999999511</v>
      </c>
      <c r="AD197" s="15">
        <f>IFERROR(AC197/AC444, "NA")</f>
        <v>-2.7374304451569943E-2</v>
      </c>
    </row>
    <row r="198" spans="1:30" ht="16.5" customHeight="1" x14ac:dyDescent="0.45">
      <c r="A198" s="22" t="s">
        <v>181</v>
      </c>
      <c r="B198" s="23">
        <f>IFERROR(B172-B197, "NA")</f>
        <v>47153.609999999986</v>
      </c>
      <c r="C198" s="24">
        <f>IFERROR(B198/B444, "NA")</f>
        <v>0.44967522869217552</v>
      </c>
      <c r="D198" s="25"/>
      <c r="E198" s="23">
        <f>IFERROR(E172-E197, "NA")</f>
        <v>58305.19999999999</v>
      </c>
      <c r="F198" s="24">
        <f>IFERROR(E198/E444, "NA")</f>
        <v>0.48446441253210115</v>
      </c>
      <c r="G198" s="25"/>
      <c r="H198" s="23">
        <f>IFERROR(B198-E198, "NA")</f>
        <v>-11151.590000000004</v>
      </c>
      <c r="I198" s="24">
        <f>IFERROR(H198/H444, "NA")</f>
        <v>0.71999950930797596</v>
      </c>
      <c r="J198" s="25"/>
      <c r="K198" s="23">
        <f>IFERROR(K172-K197, "NA")</f>
        <v>43995.860000000008</v>
      </c>
      <c r="L198" s="24">
        <f>IFERROR(K198/K444, "NA")</f>
        <v>0.43136845793913747</v>
      </c>
      <c r="M198" s="25"/>
      <c r="N198" s="23">
        <f>IFERROR(B198-K198, "NA")</f>
        <v>3157.7499999999782</v>
      </c>
      <c r="O198" s="24">
        <f>IFERROR(N198/N444, "NA")</f>
        <v>1.1002191553633756</v>
      </c>
      <c r="P198" s="25"/>
      <c r="Q198" s="23">
        <f>IFERROR(Q172-Q197, "NA")</f>
        <v>341719.64</v>
      </c>
      <c r="R198" s="24">
        <f>IFERROR(Q198/Q444, "NA")</f>
        <v>0.43177320960656729</v>
      </c>
      <c r="S198" s="25"/>
      <c r="T198" s="23">
        <f>IFERROR(T172-T197, "NA")</f>
        <v>378809.33999999997</v>
      </c>
      <c r="U198" s="24">
        <f>IFERROR(T198/T444, "NA")</f>
        <v>0.46434486312344558</v>
      </c>
      <c r="V198" s="25"/>
      <c r="W198" s="23">
        <f>IFERROR(Q198-T198, "NA")</f>
        <v>-37089.699999999953</v>
      </c>
      <c r="X198" s="24">
        <f>IFERROR(W198/W444, "NA")</f>
        <v>1.5225694316160072</v>
      </c>
      <c r="Y198" s="25"/>
      <c r="Z198" s="23">
        <f>IFERROR(Z172-Z197, "NA")</f>
        <v>294067.81999999972</v>
      </c>
      <c r="AA198" s="24">
        <f>IFERROR(Z198/Z444, "NA")</f>
        <v>0.41481676606242984</v>
      </c>
      <c r="AB198" s="25"/>
      <c r="AC198" s="23">
        <f>IFERROR(Q198-Z198, "NA")</f>
        <v>47651.820000000298</v>
      </c>
      <c r="AD198" s="24">
        <f>IFERROR(AC198/AC444, "NA")</f>
        <v>0.57743676581840986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2527.35</v>
      </c>
      <c r="F201" s="8">
        <f>IFERROR(E201/E444, "NA")</f>
        <v>2.1000033153355205E-2</v>
      </c>
      <c r="G201" s="9"/>
      <c r="H201" s="10">
        <f t="shared" ref="H201:H209" si="52">IFERROR(-(B201-E201), "NA")</f>
        <v>2527.35</v>
      </c>
      <c r="I201" s="8">
        <f>IFERROR(H201/H444, "NA")</f>
        <v>-0.16317769572316704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17472.37</v>
      </c>
      <c r="U201" s="8">
        <f>IFERROR(T201/T444, "NA")</f>
        <v>2.1417648403527213E-2</v>
      </c>
      <c r="V201" s="9"/>
      <c r="W201" s="10">
        <f t="shared" ref="W201:W209" si="54">IFERROR(-(Q201-T201), "NA")</f>
        <v>17472.37</v>
      </c>
      <c r="X201" s="8">
        <f>IFERROR(W201/W444, "NA")</f>
        <v>-0.7172583347906456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1418.31</v>
      </c>
      <c r="C202" s="8">
        <f>IFERROR(B202/B444, "NA")</f>
        <v>1.3525557716713515E-2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-1418.31</v>
      </c>
      <c r="I202" s="8">
        <f>IFERROR(H202/H444, "NA")</f>
        <v>9.1572816436633245E-2</v>
      </c>
      <c r="J202" s="9"/>
      <c r="K202" s="7">
        <v>1244.33</v>
      </c>
      <c r="L202" s="8">
        <f>IFERROR(K202/K444, "NA")</f>
        <v>1.2200345970448284E-2</v>
      </c>
      <c r="M202" s="9"/>
      <c r="N202" s="10">
        <f t="shared" si="53"/>
        <v>-173.98000000000002</v>
      </c>
      <c r="O202" s="8">
        <f>IFERROR(N202/N444, "NA")</f>
        <v>-6.0617885725634202E-2</v>
      </c>
      <c r="P202" s="9"/>
      <c r="Q202" s="7">
        <v>11573.11</v>
      </c>
      <c r="R202" s="8">
        <f>IFERROR(Q202/Q444, "NA")</f>
        <v>1.4622978210529134E-2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-11573.11</v>
      </c>
      <c r="X202" s="8">
        <f>IFERROR(W202/W444, "NA")</f>
        <v>0.47508778757254849</v>
      </c>
      <c r="Y202" s="9"/>
      <c r="Z202" s="7">
        <v>8709.23</v>
      </c>
      <c r="AA202" s="8">
        <f>IFERROR(Z202/Z444, "NA")</f>
        <v>1.2285379010508185E-2</v>
      </c>
      <c r="AB202" s="9"/>
      <c r="AC202" s="10">
        <f t="shared" si="55"/>
        <v>-2863.880000000001</v>
      </c>
      <c r="AD202" s="8">
        <f>IFERROR(AC202/AC444, "NA")</f>
        <v>-3.4704017703668356E-2</v>
      </c>
    </row>
    <row r="203" spans="1:30" ht="16.5" customHeight="1" x14ac:dyDescent="0.45">
      <c r="A203" s="6" t="s">
        <v>185</v>
      </c>
      <c r="B203" s="7">
        <v>705.05</v>
      </c>
      <c r="C203" s="8">
        <f>IFERROR(B203/B444, "NA")</f>
        <v>6.7236319762032726E-3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-705.05</v>
      </c>
      <c r="I203" s="8">
        <f>IFERROR(H203/H444, "NA")</f>
        <v>4.5521369960479917E-2</v>
      </c>
      <c r="J203" s="9"/>
      <c r="K203" s="7">
        <v>565.65</v>
      </c>
      <c r="L203" s="8">
        <f>IFERROR(K203/K444, "NA")</f>
        <v>5.5460574752550142E-3</v>
      </c>
      <c r="M203" s="9"/>
      <c r="N203" s="10">
        <f t="shared" si="53"/>
        <v>-139.39999999999998</v>
      </c>
      <c r="O203" s="8">
        <f>IFERROR(N203/N444, "NA")</f>
        <v>-4.8569567020079349E-2</v>
      </c>
      <c r="P203" s="9"/>
      <c r="Q203" s="7">
        <v>6602.26</v>
      </c>
      <c r="R203" s="8">
        <f>IFERROR(Q203/Q444, "NA")</f>
        <v>8.3421573043242544E-3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-6602.26</v>
      </c>
      <c r="X203" s="8">
        <f>IFERROR(W203/W444, "NA")</f>
        <v>0.27102940319229091</v>
      </c>
      <c r="Y203" s="9"/>
      <c r="Z203" s="7">
        <v>3346.68</v>
      </c>
      <c r="AA203" s="8">
        <f>IFERROR(Z203/Z444, "NA")</f>
        <v>4.720880287567045E-3</v>
      </c>
      <c r="AB203" s="9"/>
      <c r="AC203" s="10">
        <f t="shared" si="55"/>
        <v>-3255.5800000000004</v>
      </c>
      <c r="AD203" s="8">
        <f>IFERROR(AC203/AC444, "NA")</f>
        <v>-3.9450572634226501E-2</v>
      </c>
    </row>
    <row r="204" spans="1:30" ht="16.5" customHeight="1" x14ac:dyDescent="0.45">
      <c r="A204" s="6" t="s">
        <v>186</v>
      </c>
      <c r="B204" s="7">
        <v>408.99</v>
      </c>
      <c r="C204" s="8">
        <f>IFERROR(B204/B444, "NA")</f>
        <v>3.9002882660057825E-3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-408.99</v>
      </c>
      <c r="I204" s="8">
        <f>IFERROR(H204/H444, "NA")</f>
        <v>2.6406333026220384E-2</v>
      </c>
      <c r="J204" s="9"/>
      <c r="K204" s="7">
        <v>37.200000000000003</v>
      </c>
      <c r="L204" s="8">
        <f>IFERROR(K204/K444, "NA")</f>
        <v>3.6473674194198983E-4</v>
      </c>
      <c r="M204" s="9"/>
      <c r="N204" s="10">
        <f t="shared" si="53"/>
        <v>-371.79</v>
      </c>
      <c r="O204" s="8">
        <f>IFERROR(N204/N444, "NA")</f>
        <v>-0.12953858911330923</v>
      </c>
      <c r="P204" s="9"/>
      <c r="Q204" s="7">
        <v>1803.69</v>
      </c>
      <c r="R204" s="8">
        <f>IFERROR(Q204/Q444, "NA")</f>
        <v>2.2790174437596544E-3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-1803.69</v>
      </c>
      <c r="X204" s="8">
        <f>IFERROR(W204/W444, "NA")</f>
        <v>7.4043285820901208E-2</v>
      </c>
      <c r="Y204" s="9"/>
      <c r="Z204" s="7">
        <v>870.65</v>
      </c>
      <c r="AA204" s="8">
        <f>IFERROR(Z204/Z444, "NA")</f>
        <v>1.2281528028883096E-3</v>
      </c>
      <c r="AB204" s="9"/>
      <c r="AC204" s="10">
        <f t="shared" si="55"/>
        <v>-933.04000000000008</v>
      </c>
      <c r="AD204" s="8">
        <f>IFERROR(AC204/AC444, "NA")</f>
        <v>-1.1306422293612412E-2</v>
      </c>
    </row>
    <row r="205" spans="1:30" ht="16.5" customHeight="1" x14ac:dyDescent="0.45">
      <c r="A205" s="6" t="s">
        <v>187</v>
      </c>
      <c r="B205" s="7">
        <v>209.96</v>
      </c>
      <c r="C205" s="8">
        <f>IFERROR(B205/B444, "NA")</f>
        <v>2.0022605059550943E-3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-209.96</v>
      </c>
      <c r="I205" s="8">
        <f>IFERROR(H205/H444, "NA")</f>
        <v>1.355601281739219E-2</v>
      </c>
      <c r="J205" s="9"/>
      <c r="K205" s="7">
        <v>207.88</v>
      </c>
      <c r="L205" s="8">
        <f>IFERROR(K205/K444, "NA")</f>
        <v>2.0382116643790547E-3</v>
      </c>
      <c r="M205" s="9"/>
      <c r="N205" s="10">
        <f t="shared" si="53"/>
        <v>-2.0800000000000125</v>
      </c>
      <c r="O205" s="8">
        <f>IFERROR(N205/N444, "NA")</f>
        <v>-7.2471089958225021E-4</v>
      </c>
      <c r="P205" s="9"/>
      <c r="Q205" s="7">
        <v>1687.18</v>
      </c>
      <c r="R205" s="8">
        <f>IFERROR(Q205/Q444, "NA")</f>
        <v>2.131803497697727E-3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-1687.18</v>
      </c>
      <c r="X205" s="8">
        <f>IFERROR(W205/W444, "NA")</f>
        <v>6.9260433317980416E-2</v>
      </c>
      <c r="Y205" s="9"/>
      <c r="Z205" s="7">
        <v>1668.9</v>
      </c>
      <c r="AA205" s="8">
        <f>IFERROR(Z205/Z444, "NA")</f>
        <v>2.3541770088328258E-3</v>
      </c>
      <c r="AB205" s="9"/>
      <c r="AC205" s="10">
        <f t="shared" si="55"/>
        <v>-18.279999999999973</v>
      </c>
      <c r="AD205" s="8">
        <f>IFERROR(AC205/AC444, "NA")</f>
        <v>-2.2151397531427864E-4</v>
      </c>
    </row>
    <row r="206" spans="1:30" ht="16.5" customHeight="1" x14ac:dyDescent="0.45">
      <c r="A206" s="6" t="s">
        <v>188</v>
      </c>
      <c r="B206" s="7">
        <v>407.04</v>
      </c>
      <c r="C206" s="8">
        <f>IFERROR(B206/B444, "NA")</f>
        <v>3.8816923049340905E-3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-407.04</v>
      </c>
      <c r="I206" s="8">
        <f>IFERROR(H206/H444, "NA")</f>
        <v>2.6280431783155447E-2</v>
      </c>
      <c r="J206" s="9"/>
      <c r="K206" s="7">
        <v>9.84</v>
      </c>
      <c r="L206" s="8">
        <f>IFERROR(K206/K444, "NA")</f>
        <v>9.6478751094332787E-5</v>
      </c>
      <c r="M206" s="9"/>
      <c r="N206" s="10">
        <f t="shared" si="53"/>
        <v>-397.20000000000005</v>
      </c>
      <c r="O206" s="8">
        <f>IFERROR(N206/N444, "NA")</f>
        <v>-0.13839190832407119</v>
      </c>
      <c r="P206" s="9"/>
      <c r="Q206" s="7">
        <v>1400.97</v>
      </c>
      <c r="R206" s="8">
        <f>IFERROR(Q206/Q444, "NA")</f>
        <v>1.7701684148517555E-3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-1400.97</v>
      </c>
      <c r="X206" s="8">
        <f>IFERROR(W206/W444, "NA")</f>
        <v>5.751122539710702E-2</v>
      </c>
      <c r="Y206" s="9"/>
      <c r="Z206" s="7">
        <v>9.84</v>
      </c>
      <c r="AA206" s="8">
        <f>IFERROR(Z206/Z444, "NA")</f>
        <v>1.388046124208461E-5</v>
      </c>
      <c r="AB206" s="9"/>
      <c r="AC206" s="10">
        <f t="shared" si="55"/>
        <v>-1391.13</v>
      </c>
      <c r="AD206" s="8">
        <f>IFERROR(AC206/AC444, "NA")</f>
        <v>-1.6857480113728278E-2</v>
      </c>
    </row>
    <row r="207" spans="1:30" ht="16.5" customHeight="1" x14ac:dyDescent="0.45">
      <c r="A207" s="6" t="s">
        <v>189</v>
      </c>
      <c r="B207" s="7">
        <v>174.68</v>
      </c>
      <c r="C207" s="8">
        <f>IFERROR(B207/B444, "NA")</f>
        <v>1.6658166564118685E-3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-174.68</v>
      </c>
      <c r="I207" s="8">
        <f>IFERROR(H207/H444, "NA")</f>
        <v>1.1278168789017278E-2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-174.68</v>
      </c>
      <c r="O207" s="8">
        <f>IFERROR(N207/N444, "NA")</f>
        <v>-6.0861778816839761E-2</v>
      </c>
      <c r="P207" s="9"/>
      <c r="Q207" s="7">
        <v>762.98</v>
      </c>
      <c r="R207" s="8">
        <f>IFERROR(Q207/Q444, "NA")</f>
        <v>9.6404855005003136E-4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3.1321095207952142E-2</v>
      </c>
      <c r="Y207" s="9"/>
      <c r="Z207" s="7">
        <v>308.3</v>
      </c>
      <c r="AA207" s="8">
        <f>IFERROR(Z207/Z444, "NA")</f>
        <v>4.3489290659905341E-4</v>
      </c>
      <c r="AB207" s="9"/>
      <c r="AC207" s="10">
        <f t="shared" si="55"/>
        <v>-454.68</v>
      </c>
      <c r="AD207" s="8">
        <f>IFERROR(AC207/AC444, "NA")</f>
        <v>-5.5097360118105234E-3</v>
      </c>
    </row>
    <row r="208" spans="1:30" ht="16.5" customHeight="1" x14ac:dyDescent="0.45">
      <c r="A208" s="6" t="s">
        <v>190</v>
      </c>
      <c r="B208" s="7">
        <v>107.04</v>
      </c>
      <c r="C208" s="8">
        <f>IFERROR(B208/B444, "NA")</f>
        <v>1.0207752169814884E-3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-107.04</v>
      </c>
      <c r="I208" s="8">
        <f>IFERROR(H208/H444, "NA")</f>
        <v>6.9110097731646981E-3</v>
      </c>
      <c r="J208" s="9"/>
      <c r="K208" s="7">
        <v>47.68</v>
      </c>
      <c r="L208" s="8">
        <f>IFERROR(K208/K444, "NA")</f>
        <v>4.6749053375790521E-4</v>
      </c>
      <c r="M208" s="9"/>
      <c r="N208" s="10">
        <f t="shared" si="53"/>
        <v>-59.360000000000007</v>
      </c>
      <c r="O208" s="8">
        <f>IFERROR(N208/N444, "NA")</f>
        <v>-2.0682134134231787E-2</v>
      </c>
      <c r="P208" s="9"/>
      <c r="Q208" s="7">
        <v>879.64</v>
      </c>
      <c r="R208" s="8">
        <f>IFERROR(Q208/Q444, "NA")</f>
        <v>1.1114520256966232E-3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-879.64</v>
      </c>
      <c r="X208" s="8">
        <f>IFERROR(W208/W444, "NA")</f>
        <v>3.6110105361507543E-2</v>
      </c>
      <c r="Y208" s="9"/>
      <c r="Z208" s="7">
        <v>1580.92</v>
      </c>
      <c r="AA208" s="8">
        <f>IFERROR(Z208/Z444, "NA")</f>
        <v>2.2300710149223985E-3</v>
      </c>
      <c r="AB208" s="9"/>
      <c r="AC208" s="10">
        <f t="shared" si="55"/>
        <v>701.28000000000009</v>
      </c>
      <c r="AD208" s="8">
        <f>IFERROR(AC208/AC444, "NA")</f>
        <v>8.4979934687307215E-3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3431.0699999999993</v>
      </c>
      <c r="C209" s="15">
        <f>IFERROR(B209/B444, "NA")</f>
        <v>3.2720022643205109E-2</v>
      </c>
      <c r="D209" s="2"/>
      <c r="E209" s="14">
        <f>IFERROR(E201+E202+E203+E204+E205+E206+E207+E208, "NA")</f>
        <v>2527.35</v>
      </c>
      <c r="F209" s="15">
        <f>IFERROR(E209/E444, "NA")</f>
        <v>2.1000033153355205E-2</v>
      </c>
      <c r="G209" s="2"/>
      <c r="H209" s="14">
        <f t="shared" si="52"/>
        <v>-903.71999999999935</v>
      </c>
      <c r="I209" s="15">
        <f>IFERROR(H209/H444, "NA")</f>
        <v>5.8348446862896079E-2</v>
      </c>
      <c r="J209" s="2"/>
      <c r="K209" s="14">
        <f>IFERROR(K201+K202+K203+K204+K205+K206+K207+K208, "NA")</f>
        <v>2112.58</v>
      </c>
      <c r="L209" s="15">
        <f>IFERROR(K209/K444, "NA")</f>
        <v>2.0713321136876579E-2</v>
      </c>
      <c r="M209" s="2"/>
      <c r="N209" s="14">
        <f t="shared" si="53"/>
        <v>-1318.4899999999993</v>
      </c>
      <c r="O209" s="15">
        <f>IFERROR(N209/N444, "NA")</f>
        <v>-0.4593865740337475</v>
      </c>
      <c r="P209" s="2"/>
      <c r="Q209" s="14">
        <f>IFERROR(Q201+Q202+Q203+Q204+Q205+Q206+Q207+Q208, "NA")</f>
        <v>24709.83</v>
      </c>
      <c r="R209" s="15">
        <f>IFERROR(Q209/Q444, "NA")</f>
        <v>3.1221625446909183E-2</v>
      </c>
      <c r="S209" s="2"/>
      <c r="T209" s="14">
        <f>IFERROR(T201+T202+T203+T204+T205+T206+T207+T208, "NA")</f>
        <v>17472.37</v>
      </c>
      <c r="U209" s="15">
        <f>IFERROR(T209/T444, "NA")</f>
        <v>2.1417648403527213E-2</v>
      </c>
      <c r="V209" s="2"/>
      <c r="W209" s="14">
        <f t="shared" si="54"/>
        <v>-7237.4600000000028</v>
      </c>
      <c r="X209" s="15">
        <f>IFERROR(W209/W444, "NA")</f>
        <v>0.29710500107964222</v>
      </c>
      <c r="Y209" s="2"/>
      <c r="Z209" s="14">
        <f>IFERROR(Z201+Z202+Z203+Z204+Z205+Z206+Z207+Z208, "NA")</f>
        <v>16494.519999999997</v>
      </c>
      <c r="AA209" s="15">
        <f>IFERROR(Z209/Z444, "NA")</f>
        <v>2.3267433492559896E-2</v>
      </c>
      <c r="AB209" s="2"/>
      <c r="AC209" s="14">
        <f t="shared" si="55"/>
        <v>-8215.3100000000049</v>
      </c>
      <c r="AD209" s="15">
        <f>IFERROR(AC209/AC444, "NA")</f>
        <v>-9.9551749263629669E-2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2739.51</v>
      </c>
      <c r="F213" s="8">
        <f>IFERROR(E213/E444, "NA")</f>
        <v>2.2762894266305865E-2</v>
      </c>
      <c r="G213" s="9"/>
      <c r="H213" s="10">
        <f t="shared" ref="H213:H227" si="56">IFERROR(-(B213-E213), "NA")</f>
        <v>2739.51</v>
      </c>
      <c r="I213" s="8">
        <f>IFERROR(H213/H444, "NA")</f>
        <v>-0.17687575096863251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19041.48</v>
      </c>
      <c r="U213" s="8">
        <f>IFERROR(T213/T444, "NA")</f>
        <v>2.3341064991343211E-2</v>
      </c>
      <c r="V213" s="9"/>
      <c r="W213" s="10">
        <f t="shared" ref="W213:W227" si="58">IFERROR(-(Q213-T213), "NA")</f>
        <v>19041.48</v>
      </c>
      <c r="X213" s="8">
        <f>IFERROR(W213/W444, "NA")</f>
        <v>-0.78167187603910537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1366.06</v>
      </c>
      <c r="C214" s="8">
        <f>IFERROR(B214/B444, "NA")</f>
        <v>1.3027281323895105E-2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-1366.06</v>
      </c>
      <c r="I214" s="8">
        <f>IFERROR(H214/H444, "NA")</f>
        <v>8.8199308769893195E-2</v>
      </c>
      <c r="J214" s="9"/>
      <c r="K214" s="7">
        <v>420</v>
      </c>
      <c r="L214" s="8">
        <f>IFERROR(K214/K444, "NA")</f>
        <v>4.1179954735385948E-3</v>
      </c>
      <c r="M214" s="9"/>
      <c r="N214" s="10">
        <f t="shared" si="57"/>
        <v>-946.06</v>
      </c>
      <c r="O214" s="8">
        <f>IFERROR(N214/N444, "NA")</f>
        <v>-0.32962499695133629</v>
      </c>
      <c r="P214" s="9"/>
      <c r="Q214" s="7">
        <v>15398.65</v>
      </c>
      <c r="R214" s="8">
        <f>IFERROR(Q214/Q444, "NA")</f>
        <v>1.9456664925984843E-2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-15398.65</v>
      </c>
      <c r="X214" s="8">
        <f>IFERROR(W214/W444, "NA")</f>
        <v>0.63213004629732406</v>
      </c>
      <c r="Y214" s="9"/>
      <c r="Z214" s="7">
        <v>2985</v>
      </c>
      <c r="AA214" s="8">
        <f>IFERROR(Z214/Z444, "NA")</f>
        <v>4.2106886999616422E-3</v>
      </c>
      <c r="AB214" s="9"/>
      <c r="AC214" s="10">
        <f t="shared" si="59"/>
        <v>-12413.65</v>
      </c>
      <c r="AD214" s="8">
        <f>IFERROR(AC214/AC444, "NA")</f>
        <v>-0.15042652952188726</v>
      </c>
    </row>
    <row r="215" spans="1:30" ht="16.5" customHeight="1" x14ac:dyDescent="0.45">
      <c r="A215" s="12" t="s">
        <v>195</v>
      </c>
      <c r="B215" s="7">
        <v>160.83000000000001</v>
      </c>
      <c r="C215" s="8">
        <f>IFERROR(B215/B444, "NA")</f>
        <v>1.53373765085139E-3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-160.83000000000001</v>
      </c>
      <c r="I215" s="8">
        <f>IFERROR(H215/H444, "NA")</f>
        <v>1.038394713955604E-2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-160.83000000000001</v>
      </c>
      <c r="O215" s="8">
        <f>IFERROR(N215/N444, "NA")</f>
        <v>-5.6036179797986828E-2</v>
      </c>
      <c r="P215" s="9"/>
      <c r="Q215" s="7">
        <v>165.96</v>
      </c>
      <c r="R215" s="8">
        <f>IFERROR(Q215/Q444, "NA")</f>
        <v>2.0969553247307033E-4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-165.96</v>
      </c>
      <c r="X215" s="8">
        <f>IFERROR(W215/W444, "NA")</f>
        <v>6.8128246621297255E-3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-165.96</v>
      </c>
      <c r="AD215" s="8">
        <f>IFERROR(AC215/AC444, "NA")</f>
        <v>-2.011075456409067E-3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2.41</v>
      </c>
      <c r="R216" s="8">
        <f>IFERROR(Q216/Q444, "NA")</f>
        <v>3.0451086602801853E-6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9.8932920196026982E-5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-2.41</v>
      </c>
      <c r="AD216" s="8">
        <f>IFERROR(AC216/AC444, "NA")</f>
        <v>-2.9203975957735907E-5</v>
      </c>
    </row>
    <row r="217" spans="1:30" ht="16.5" customHeight="1" x14ac:dyDescent="0.45">
      <c r="A217" s="12" t="s">
        <v>197</v>
      </c>
      <c r="B217" s="7">
        <v>1215.8599999999999</v>
      </c>
      <c r="C217" s="8">
        <f>IFERROR(B217/B444, "NA")</f>
        <v>1.1594915501860167E-2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-1215.8599999999999</v>
      </c>
      <c r="I217" s="8">
        <f>IFERROR(H217/H444, "NA")</f>
        <v>7.8501684816891154E-2</v>
      </c>
      <c r="J217" s="9"/>
      <c r="K217" s="7">
        <v>108.5</v>
      </c>
      <c r="L217" s="8">
        <f>IFERROR(K217/K444, "NA")</f>
        <v>1.0638154973308036E-3</v>
      </c>
      <c r="M217" s="9"/>
      <c r="N217" s="10">
        <f t="shared" si="57"/>
        <v>-1107.3599999999999</v>
      </c>
      <c r="O217" s="8">
        <f>IFERROR(N217/N444, "NA")</f>
        <v>-0.38582493353913255</v>
      </c>
      <c r="P217" s="9"/>
      <c r="Q217" s="7">
        <v>12344.23</v>
      </c>
      <c r="R217" s="8">
        <f>IFERROR(Q217/Q444, "NA")</f>
        <v>1.5597311899373637E-2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-12344.23</v>
      </c>
      <c r="X217" s="8">
        <f>IFERROR(W217/W444, "NA")</f>
        <v>0.50674303795493869</v>
      </c>
      <c r="Y217" s="9"/>
      <c r="Z217" s="7">
        <v>956.47</v>
      </c>
      <c r="AA217" s="8">
        <f>IFERROR(Z217/Z444, "NA")</f>
        <v>1.3492118662821815E-3</v>
      </c>
      <c r="AB217" s="9"/>
      <c r="AC217" s="10">
        <f t="shared" si="59"/>
        <v>-11387.76</v>
      </c>
      <c r="AD217" s="8">
        <f>IFERROR(AC217/AC444, "NA")</f>
        <v>-0.13799496649479945</v>
      </c>
    </row>
    <row r="218" spans="1:30" ht="16.5" customHeight="1" x14ac:dyDescent="0.45">
      <c r="A218" s="13" t="s">
        <v>198</v>
      </c>
      <c r="B218" s="14">
        <f>IFERROR(B213+B214+B215+B216+B217, "NA")</f>
        <v>2742.75</v>
      </c>
      <c r="C218" s="15">
        <f>IFERROR(B218/B444, "NA")</f>
        <v>2.6155934476606663E-2</v>
      </c>
      <c r="D218" s="2"/>
      <c r="E218" s="14">
        <f>IFERROR(E213+E214+E215+E216+E217, "NA")</f>
        <v>2739.51</v>
      </c>
      <c r="F218" s="15">
        <f>IFERROR(E218/E444, "NA")</f>
        <v>2.2762894266305865E-2</v>
      </c>
      <c r="G218" s="2"/>
      <c r="H218" s="14">
        <f t="shared" si="56"/>
        <v>-3.2399999999997817</v>
      </c>
      <c r="I218" s="15">
        <f>IFERROR(H218/H444, "NA")</f>
        <v>2.0918975770788597E-4</v>
      </c>
      <c r="J218" s="2"/>
      <c r="K218" s="14">
        <f>IFERROR(K213+K214+K215+K216+K217, "NA")</f>
        <v>528.5</v>
      </c>
      <c r="L218" s="15">
        <f>IFERROR(K218/K444, "NA")</f>
        <v>5.1818109708693981E-3</v>
      </c>
      <c r="M218" s="2"/>
      <c r="N218" s="14">
        <f t="shared" si="57"/>
        <v>-2214.25</v>
      </c>
      <c r="O218" s="15">
        <f>IFERROR(N218/N444, "NA")</f>
        <v>-0.77148611028845571</v>
      </c>
      <c r="P218" s="2"/>
      <c r="Q218" s="14">
        <f>IFERROR(Q213+Q214+Q215+Q216+Q217, "NA")</f>
        <v>27911.25</v>
      </c>
      <c r="R218" s="15">
        <f>IFERROR(Q218/Q444, "NA")</f>
        <v>3.5266717466491834E-2</v>
      </c>
      <c r="S218" s="2"/>
      <c r="T218" s="14">
        <f>IFERROR(T213+T214+T215+T216+T217, "NA")</f>
        <v>19041.48</v>
      </c>
      <c r="U218" s="15">
        <f>IFERROR(T218/T444, "NA")</f>
        <v>2.3341064991343211E-2</v>
      </c>
      <c r="V218" s="2"/>
      <c r="W218" s="14">
        <f t="shared" si="58"/>
        <v>-8869.77</v>
      </c>
      <c r="X218" s="15">
        <f>IFERROR(W218/W444, "NA")</f>
        <v>0.36411296579548313</v>
      </c>
      <c r="Y218" s="2"/>
      <c r="Z218" s="14">
        <f>IFERROR(Z213+Z214+Z215+Z216+Z217, "NA")</f>
        <v>3941.4700000000003</v>
      </c>
      <c r="AA218" s="15">
        <f>IFERROR(Z218/Z444, "NA")</f>
        <v>5.559900566243824E-3</v>
      </c>
      <c r="AB218" s="2"/>
      <c r="AC218" s="14">
        <f t="shared" si="59"/>
        <v>-23969.78</v>
      </c>
      <c r="AD218" s="15">
        <f>IFERROR(AC218/AC444, "NA")</f>
        <v>-0.29046177544905349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307.27999999999997</v>
      </c>
      <c r="C222" s="8">
        <f>IFERROR(B222/B444, "NA")</f>
        <v>2.9303420092869183E-3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-307.27999999999997</v>
      </c>
      <c r="I222" s="8">
        <f>IFERROR(H222/H444, "NA")</f>
        <v>1.9839453317433187E-2</v>
      </c>
      <c r="J222" s="9"/>
      <c r="K222" s="7">
        <v>150</v>
      </c>
      <c r="L222" s="8">
        <f>IFERROR(K222/K444, "NA")</f>
        <v>1.4707126691209267E-3</v>
      </c>
      <c r="M222" s="9"/>
      <c r="N222" s="10">
        <f t="shared" si="57"/>
        <v>-157.27999999999997</v>
      </c>
      <c r="O222" s="8">
        <f>IFERROR(N222/N444, "NA")</f>
        <v>-5.4799293406872888E-2</v>
      </c>
      <c r="P222" s="9"/>
      <c r="Q222" s="7">
        <v>2130.27</v>
      </c>
      <c r="R222" s="8">
        <f>IFERROR(Q222/Q444, "NA")</f>
        <v>2.6916612554917299E-3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-2130.27</v>
      </c>
      <c r="X222" s="8">
        <f>IFERROR(W222/W444, "NA")</f>
        <v>8.7449722782568629E-2</v>
      </c>
      <c r="Y222" s="9"/>
      <c r="Z222" s="7">
        <v>1050</v>
      </c>
      <c r="AA222" s="8">
        <f>IFERROR(Z222/Z444, "NA")</f>
        <v>1.4811467788809797E-3</v>
      </c>
      <c r="AB222" s="9"/>
      <c r="AC222" s="10">
        <f t="shared" si="59"/>
        <v>-1080.27</v>
      </c>
      <c r="AD222" s="8">
        <f>IFERROR(AC222/AC444, "NA")</f>
        <v>-1.3090530750150774E-2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120.35</v>
      </c>
      <c r="F226" s="8">
        <f>IFERROR(E226/E444, "NA")</f>
        <v>1.0000015787312003E-3</v>
      </c>
      <c r="G226" s="9"/>
      <c r="H226" s="10">
        <f t="shared" si="56"/>
        <v>120.35</v>
      </c>
      <c r="I226" s="8">
        <f>IFERROR(H226/H444, "NA")</f>
        <v>-7.7703664630079539E-3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815.78</v>
      </c>
      <c r="U226" s="8">
        <f>IFERROR(T226/T444, "NA")</f>
        <v>9.9998392974905126E-4</v>
      </c>
      <c r="V226" s="9"/>
      <c r="W226" s="10">
        <f t="shared" si="58"/>
        <v>815.78</v>
      </c>
      <c r="X226" s="8">
        <f>IFERROR(W226/W444, "NA")</f>
        <v>-3.3488588231333979E-2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3050.0299999999997</v>
      </c>
      <c r="C227" s="15">
        <f>IFERROR(B227/B444, "NA")</f>
        <v>2.908627648589358E-2</v>
      </c>
      <c r="D227" s="2"/>
      <c r="E227" s="14">
        <f>IFERROR(E211+E213+E214+E215+E216+E217+E219+E220+E221+E222+E223+E224+E225+E226, "NA")</f>
        <v>2859.86</v>
      </c>
      <c r="F227" s="15">
        <f>IFERROR(E227/E444, "NA")</f>
        <v>2.3762895845037064E-2</v>
      </c>
      <c r="G227" s="2"/>
      <c r="H227" s="14">
        <f t="shared" si="56"/>
        <v>-190.16999999999962</v>
      </c>
      <c r="I227" s="15">
        <f>IFERROR(H227/H444, "NA")</f>
        <v>1.2278276612133109E-2</v>
      </c>
      <c r="J227" s="2"/>
      <c r="K227" s="14">
        <f>IFERROR(K211+K213+K214+K215+K216+K217+K219+K220+K221+K222+K223+K224+K225+K226, "NA")</f>
        <v>678.5</v>
      </c>
      <c r="L227" s="15">
        <f>IFERROR(K227/K444, "NA")</f>
        <v>6.6525236399903251E-3</v>
      </c>
      <c r="M227" s="2"/>
      <c r="N227" s="14">
        <f t="shared" si="57"/>
        <v>-2371.5299999999997</v>
      </c>
      <c r="O227" s="15">
        <f>IFERROR(N227/N444, "NA")</f>
        <v>-0.82628540369532855</v>
      </c>
      <c r="P227" s="2"/>
      <c r="Q227" s="14">
        <f>IFERROR(Q211+Q213+Q214+Q215+Q216+Q217+Q219+Q220+Q221+Q222+Q223+Q224+Q225+Q226, "NA")</f>
        <v>30041.52</v>
      </c>
      <c r="R227" s="15">
        <f>IFERROR(Q227/Q444, "NA")</f>
        <v>3.7958378721983564E-2</v>
      </c>
      <c r="S227" s="2"/>
      <c r="T227" s="14">
        <f>IFERROR(T211+T213+T214+T215+T216+T217+T219+T220+T221+T222+T223+T224+T225+T226, "NA")</f>
        <v>19857.259999999998</v>
      </c>
      <c r="U227" s="15">
        <f>IFERROR(T227/T444, "NA")</f>
        <v>2.4341048921092259E-2</v>
      </c>
      <c r="V227" s="2"/>
      <c r="W227" s="14">
        <f t="shared" si="58"/>
        <v>-10184.260000000002</v>
      </c>
      <c r="X227" s="15">
        <f>IFERROR(W227/W444, "NA")</f>
        <v>0.41807410034671783</v>
      </c>
      <c r="Y227" s="2"/>
      <c r="Z227" s="14">
        <f>IFERROR(Z211+Z213+Z214+Z215+Z216+Z217+Z219+Z220+Z221+Z222+Z223+Z224+Z225+Z226, "NA")</f>
        <v>4991.47</v>
      </c>
      <c r="AA227" s="15">
        <f>IFERROR(Z227/Z444, "NA")</f>
        <v>7.0410473451248037E-3</v>
      </c>
      <c r="AB227" s="2"/>
      <c r="AC227" s="14">
        <f t="shared" si="59"/>
        <v>-25050.05</v>
      </c>
      <c r="AD227" s="15">
        <f>IFERROR(AC227/AC444, "NA")</f>
        <v>-0.30355230619920426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1444.2</v>
      </c>
      <c r="F229" s="8">
        <f>IFERROR(E229/E444, "NA")</f>
        <v>1.2000018944774404E-2</v>
      </c>
      <c r="G229" s="9"/>
      <c r="H229" s="10">
        <f t="shared" ref="H229:H236" si="60">IFERROR(-(B229-E229), "NA")</f>
        <v>1444.2</v>
      </c>
      <c r="I229" s="8">
        <f>IFERROR(H229/H444, "NA")</f>
        <v>-9.3244397556095454E-2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9789.51</v>
      </c>
      <c r="U229" s="8">
        <f>IFERROR(T229/T444, "NA")</f>
        <v>1.199999102713677E-2</v>
      </c>
      <c r="V229" s="9"/>
      <c r="W229" s="10">
        <f t="shared" ref="W229:W236" si="62">IFERROR(-(Q229-T229), "NA")</f>
        <v>9789.51</v>
      </c>
      <c r="X229" s="8">
        <f>IFERROR(W229/W444, "NA")</f>
        <v>-0.40186921642664236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3.1738859547449566E-4</v>
      </c>
      <c r="AB230" s="9"/>
      <c r="AC230" s="10">
        <f t="shared" si="63"/>
        <v>225</v>
      </c>
      <c r="AD230" s="8">
        <f>IFERROR(AC230/AC444, "NA")</f>
        <v>2.7265122782118584E-3</v>
      </c>
    </row>
    <row r="231" spans="1:30" ht="16.5" customHeight="1" x14ac:dyDescent="0.45">
      <c r="A231" s="6" t="s">
        <v>210</v>
      </c>
      <c r="B231" s="7">
        <v>133</v>
      </c>
      <c r="C231" s="8">
        <f>IFERROR(B231/B444, "NA")</f>
        <v>1.2683399089923203E-3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-133</v>
      </c>
      <c r="I231" s="8">
        <f>IFERROR(H231/H444, "NA")</f>
        <v>8.5871104244292298E-3</v>
      </c>
      <c r="J231" s="9"/>
      <c r="K231" s="7">
        <v>115.03</v>
      </c>
      <c r="L231" s="8">
        <f>IFERROR(K231/K444, "NA")</f>
        <v>1.1278405221932014E-3</v>
      </c>
      <c r="M231" s="9"/>
      <c r="N231" s="10">
        <f t="shared" si="61"/>
        <v>-17.97</v>
      </c>
      <c r="O231" s="8">
        <f>IFERROR(N231/N444, "NA")</f>
        <v>-6.2610840699485366E-3</v>
      </c>
      <c r="P231" s="9"/>
      <c r="Q231" s="7">
        <v>1039.26</v>
      </c>
      <c r="R231" s="8">
        <f>IFERROR(Q231/Q444, "NA")</f>
        <v>1.3131367743911971E-3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-1039.26</v>
      </c>
      <c r="X231" s="8">
        <f>IFERROR(W231/W444, "NA")</f>
        <v>4.2662666656814521E-2</v>
      </c>
      <c r="Y231" s="9"/>
      <c r="Z231" s="7">
        <v>1387.68</v>
      </c>
      <c r="AA231" s="8">
        <f>IFERROR(Z231/Z444, "NA")</f>
        <v>1.957483582969103E-3</v>
      </c>
      <c r="AB231" s="9"/>
      <c r="AC231" s="10">
        <f t="shared" si="63"/>
        <v>348.42000000000007</v>
      </c>
      <c r="AD231" s="8">
        <f>IFERROR(AC231/AC444, "NA")</f>
        <v>4.2220951465536706E-3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815.66</v>
      </c>
      <c r="C234" s="8">
        <f>IFERROR(B234/B444, "NA")</f>
        <v>7.7784521065313974E-3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-815.66</v>
      </c>
      <c r="I234" s="8">
        <f>IFERROR(H234/H444, "NA")</f>
        <v>5.2662875855563507E-2</v>
      </c>
      <c r="J234" s="9"/>
      <c r="K234" s="7">
        <v>1007.22</v>
      </c>
      <c r="L234" s="8">
        <f>IFERROR(K234/K444, "NA")</f>
        <v>9.8755414306131994E-3</v>
      </c>
      <c r="M234" s="9"/>
      <c r="N234" s="10">
        <f t="shared" si="61"/>
        <v>191.56000000000006</v>
      </c>
      <c r="O234" s="8">
        <f>IFERROR(N234/N444, "NA")</f>
        <v>6.6743086501911089E-2</v>
      </c>
      <c r="P234" s="9"/>
      <c r="Q234" s="7">
        <v>9478.44</v>
      </c>
      <c r="R234" s="8">
        <f>IFERROR(Q234/Q444, "NA")</f>
        <v>1.197629864313117E-2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-9478.44</v>
      </c>
      <c r="X234" s="8">
        <f>IFERROR(W234/W444, "NA")</f>
        <v>0.3890994805405934</v>
      </c>
      <c r="Y234" s="9"/>
      <c r="Z234" s="7">
        <v>9346.2199999999993</v>
      </c>
      <c r="AA234" s="8">
        <f>IFERROR(Z234/Z444, "NA")</f>
        <v>1.318392728353618E-2</v>
      </c>
      <c r="AB234" s="9"/>
      <c r="AC234" s="10">
        <f t="shared" si="63"/>
        <v>-132.22000000000116</v>
      </c>
      <c r="AD234" s="8">
        <f>IFERROR(AC234/AC444, "NA")</f>
        <v>-1.6022197930007781E-3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948.66</v>
      </c>
      <c r="C236" s="15">
        <f>IFERROR(B236/B444, "NA")</f>
        <v>9.0467920155237174E-3</v>
      </c>
      <c r="D236" s="2"/>
      <c r="E236" s="14">
        <f>IFERROR(E229+E230+E231+E232+E233+E234+E235, "NA")</f>
        <v>1444.2</v>
      </c>
      <c r="F236" s="15">
        <f>IFERROR(E236/E444, "NA")</f>
        <v>1.2000018944774404E-2</v>
      </c>
      <c r="G236" s="2"/>
      <c r="H236" s="14">
        <f t="shared" si="60"/>
        <v>495.54000000000008</v>
      </c>
      <c r="I236" s="15">
        <f>IFERROR(H236/H444, "NA")</f>
        <v>-3.1994411276102717E-2</v>
      </c>
      <c r="J236" s="2"/>
      <c r="K236" s="14">
        <f>IFERROR(K229+K230+K231+K232+K233+K234+K235, "NA")</f>
        <v>1122.25</v>
      </c>
      <c r="L236" s="15">
        <f>IFERROR(K236/K444, "NA")</f>
        <v>1.1003381952806399E-2</v>
      </c>
      <c r="M236" s="2"/>
      <c r="N236" s="14">
        <f t="shared" si="61"/>
        <v>173.59000000000003</v>
      </c>
      <c r="O236" s="15">
        <f>IFERROR(N236/N444, "NA")</f>
        <v>6.0482002431962535E-2</v>
      </c>
      <c r="P236" s="2"/>
      <c r="Q236" s="14">
        <f>IFERROR(Q229+Q230+Q231+Q232+Q233+Q234+Q235, "NA")</f>
        <v>10517.7</v>
      </c>
      <c r="R236" s="15">
        <f>IFERROR(Q236/Q444, "NA")</f>
        <v>1.3289435417522366E-2</v>
      </c>
      <c r="S236" s="2"/>
      <c r="T236" s="14">
        <f>IFERROR(T229+T230+T231+T232+T233+T234+T235, "NA")</f>
        <v>9789.51</v>
      </c>
      <c r="U236" s="15">
        <f>IFERROR(T236/T444, "NA")</f>
        <v>1.199999102713677E-2</v>
      </c>
      <c r="V236" s="2"/>
      <c r="W236" s="14">
        <f t="shared" si="62"/>
        <v>-728.19000000000051</v>
      </c>
      <c r="X236" s="15">
        <f>IFERROR(W236/W444, "NA")</f>
        <v>2.9892930770765536E-2</v>
      </c>
      <c r="Y236" s="2"/>
      <c r="Z236" s="14">
        <f>IFERROR(Z229+Z230+Z231+Z232+Z233+Z234+Z235, "NA")</f>
        <v>10958.9</v>
      </c>
      <c r="AA236" s="15">
        <f>IFERROR(Z236/Z444, "NA")</f>
        <v>1.545879946197978E-2</v>
      </c>
      <c r="AB236" s="2"/>
      <c r="AC236" s="14">
        <f t="shared" si="63"/>
        <v>441.19999999999891</v>
      </c>
      <c r="AD236" s="15">
        <f>IFERROR(AC236/AC444, "NA")</f>
        <v>5.3463876317647509E-3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5673.29</v>
      </c>
      <c r="F240" s="8">
        <f>IFERROR(E240/E444, "NA")</f>
        <v>4.7139999639384561E-2</v>
      </c>
      <c r="G240" s="9"/>
      <c r="H240" s="10">
        <f t="shared" ref="H240:H263" si="64">IFERROR(-(B240-E240), "NA")</f>
        <v>5673.29</v>
      </c>
      <c r="I240" s="8">
        <f>IFERROR(H240/H444, "NA")</f>
        <v>-0.36629449398353464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38820.86</v>
      </c>
      <c r="U240" s="8">
        <f>IFERROR(T240/T444, "NA")</f>
        <v>4.7586648531513093E-2</v>
      </c>
      <c r="V240" s="9"/>
      <c r="W240" s="10">
        <f t="shared" ref="W240:W263" si="66">IFERROR(-(Q240-T240), "NA")</f>
        <v>38820.86</v>
      </c>
      <c r="X240" s="8">
        <f>IFERROR(W240/W444, "NA")</f>
        <v>-1.5936352881000564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1320.48</v>
      </c>
      <c r="C242" s="8">
        <f>IFERROR(B242/B444, "NA")</f>
        <v>1.2592612654332173E-2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-1320.48</v>
      </c>
      <c r="I242" s="8">
        <f>IFERROR(H242/H444, "NA")</f>
        <v>8.5256447919175263E-2</v>
      </c>
      <c r="J242" s="9"/>
      <c r="K242" s="7">
        <v>774.55</v>
      </c>
      <c r="L242" s="8">
        <f>IFERROR(K242/K444, "NA")</f>
        <v>7.5942699857840914E-3</v>
      </c>
      <c r="M242" s="9"/>
      <c r="N242" s="10">
        <f t="shared" si="65"/>
        <v>-545.93000000000006</v>
      </c>
      <c r="O242" s="8">
        <f>IFERROR(N242/N444, "NA")</f>
        <v>-0.190212221831219</v>
      </c>
      <c r="P242" s="9"/>
      <c r="Q242" s="7">
        <v>8921.77</v>
      </c>
      <c r="R242" s="8">
        <f>IFERROR(Q242/Q444, "NA")</f>
        <v>1.1272929083829025E-2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-8921.77</v>
      </c>
      <c r="X242" s="8">
        <f>IFERROR(W242/W444, "NA")</f>
        <v>0.36624761801548039</v>
      </c>
      <c r="Y242" s="9"/>
      <c r="Z242" s="7">
        <v>6160.99</v>
      </c>
      <c r="AA242" s="8">
        <f>IFERROR(Z242/Z444, "NA")</f>
        <v>8.690790945921836E-3</v>
      </c>
      <c r="AB242" s="9"/>
      <c r="AC242" s="10">
        <f t="shared" si="67"/>
        <v>-2760.7800000000007</v>
      </c>
      <c r="AD242" s="8">
        <f>IFERROR(AC242/AC444, "NA")</f>
        <v>-3.3454669188629937E-2</v>
      </c>
    </row>
    <row r="243" spans="1:30" ht="16.5" customHeight="1" x14ac:dyDescent="0.45">
      <c r="A243" s="12" t="s">
        <v>220</v>
      </c>
      <c r="B243" s="7">
        <v>1546.87</v>
      </c>
      <c r="C243" s="8">
        <f>IFERROR(B243/B444, "NA")</f>
        <v>1.4751556052804137E-2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-1546.87</v>
      </c>
      <c r="I243" s="8">
        <f>IFERROR(H243/H444, "NA")</f>
        <v>9.9873259415314608E-2</v>
      </c>
      <c r="J243" s="9"/>
      <c r="K243" s="7">
        <v>2327.29</v>
      </c>
      <c r="L243" s="8">
        <f>IFERROR(K243/K444, "NA")</f>
        <v>2.2818499251456275E-2</v>
      </c>
      <c r="M243" s="9"/>
      <c r="N243" s="10">
        <f t="shared" si="65"/>
        <v>780.42000000000007</v>
      </c>
      <c r="O243" s="8">
        <f>IFERROR(N243/N444, "NA")</f>
        <v>0.27191292319806554</v>
      </c>
      <c r="P243" s="9"/>
      <c r="Q243" s="7">
        <v>15826.94</v>
      </c>
      <c r="R243" s="8">
        <f>IFERROR(Q243/Q444, "NA")</f>
        <v>1.9997822431425259E-2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-15826.94</v>
      </c>
      <c r="X243" s="8">
        <f>IFERROR(W243/W444, "NA")</f>
        <v>0.6497117808992976</v>
      </c>
      <c r="Y243" s="9"/>
      <c r="Z243" s="7">
        <v>19056.09</v>
      </c>
      <c r="AA243" s="8">
        <f>IFERROR(Z243/Z444, "NA")</f>
        <v>2.6880825068158143E-2</v>
      </c>
      <c r="AB243" s="9"/>
      <c r="AC243" s="10">
        <f t="shared" si="67"/>
        <v>3229.1499999999996</v>
      </c>
      <c r="AD243" s="8">
        <f>IFERROR(AC243/AC444, "NA")</f>
        <v>3.9130298325279207E-2</v>
      </c>
    </row>
    <row r="244" spans="1:30" ht="16.5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336.64</v>
      </c>
      <c r="R244" s="8">
        <f>IFERROR(Q244/Q444, "NA")</f>
        <v>4.2535492921025786E-4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-336.64</v>
      </c>
      <c r="X244" s="8">
        <f>IFERROR(W244/W444, "NA")</f>
        <v>1.3819410064228432E-2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-336.64</v>
      </c>
      <c r="AD244" s="8">
        <f>IFERROR(AC244/AC444, "NA")</f>
        <v>-4.0793470814988447E-3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266.56</v>
      </c>
      <c r="C246" s="8">
        <f>IFERROR(B246/B444, "NA")</f>
        <v>2.5420201965488188E-3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-266.56</v>
      </c>
      <c r="I246" s="8">
        <f>IFERROR(H246/H444, "NA")</f>
        <v>1.7210377103277111E-2</v>
      </c>
      <c r="J246" s="9"/>
      <c r="K246" s="7">
        <v>72.89</v>
      </c>
      <c r="L246" s="8">
        <f>IFERROR(K246/K444, "NA")</f>
        <v>7.1466830968149563E-4</v>
      </c>
      <c r="M246" s="9"/>
      <c r="N246" s="10">
        <f t="shared" si="65"/>
        <v>-193.67000000000002</v>
      </c>
      <c r="O246" s="8">
        <f>IFERROR(N246/N444, "NA")</f>
        <v>-6.7478249962544978E-2</v>
      </c>
      <c r="P246" s="9"/>
      <c r="Q246" s="7">
        <v>2089.41</v>
      </c>
      <c r="R246" s="8">
        <f>IFERROR(Q246/Q444, "NA")</f>
        <v>2.6400333966290542E-3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-2089.41</v>
      </c>
      <c r="X246" s="8">
        <f>IFERROR(W246/W444, "NA")</f>
        <v>8.5772378749701547E-2</v>
      </c>
      <c r="Y246" s="9"/>
      <c r="Z246" s="7">
        <v>72.89</v>
      </c>
      <c r="AA246" s="8">
        <f>IFERROR(Z246/Z444, "NA")</f>
        <v>1.0281979877393772E-4</v>
      </c>
      <c r="AB246" s="9"/>
      <c r="AC246" s="10">
        <f t="shared" si="67"/>
        <v>-2016.5199999999998</v>
      </c>
      <c r="AD246" s="8">
        <f>IFERROR(AC246/AC444, "NA")</f>
        <v>-2.4435851285599004E-2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272.08</v>
      </c>
      <c r="C248" s="8">
        <f>IFERROR(B248/B444, "NA")</f>
        <v>2.5946610709671465E-3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-272.08</v>
      </c>
      <c r="I248" s="8">
        <f>IFERROR(H248/H444, "NA")</f>
        <v>1.7566774468260941E-2</v>
      </c>
      <c r="J248" s="9"/>
      <c r="K248" s="7">
        <v>275.66000000000003</v>
      </c>
      <c r="L248" s="8">
        <f>IFERROR(K248/K444, "NA")</f>
        <v>2.7027776957991643E-3</v>
      </c>
      <c r="M248" s="9"/>
      <c r="N248" s="10">
        <f t="shared" si="65"/>
        <v>3.5800000000000409</v>
      </c>
      <c r="O248" s="8">
        <f>IFERROR(N248/N444, "NA")</f>
        <v>1.2473389521656104E-3</v>
      </c>
      <c r="P248" s="9"/>
      <c r="Q248" s="7">
        <v>1922.39</v>
      </c>
      <c r="R248" s="8">
        <f>IFERROR(Q248/Q444, "NA")</f>
        <v>2.4289985217576869E-3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-1922.39</v>
      </c>
      <c r="X248" s="8">
        <f>IFERROR(W248/W444, "NA")</f>
        <v>7.8916040023087275E-2</v>
      </c>
      <c r="Y248" s="9"/>
      <c r="Z248" s="7">
        <v>1787.74</v>
      </c>
      <c r="AA248" s="8">
        <f>IFERROR(Z248/Z444, "NA")</f>
        <v>2.5218146118825549E-3</v>
      </c>
      <c r="AB248" s="9"/>
      <c r="AC248" s="10">
        <f t="shared" si="67"/>
        <v>-134.65000000000009</v>
      </c>
      <c r="AD248" s="8">
        <f>IFERROR(AC248/AC444, "NA")</f>
        <v>-1.6316661256054533E-3</v>
      </c>
    </row>
    <row r="249" spans="1:30" ht="16.5" customHeight="1" x14ac:dyDescent="0.45">
      <c r="A249" s="12" t="s">
        <v>226</v>
      </c>
      <c r="B249" s="7">
        <v>797.06</v>
      </c>
      <c r="C249" s="8">
        <f>IFERROR(B249/B444, "NA")</f>
        <v>7.6010752470783358E-3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-797.06</v>
      </c>
      <c r="I249" s="8">
        <f>IFERROR(H249/H444, "NA")</f>
        <v>5.1461971690944075E-2</v>
      </c>
      <c r="J249" s="9"/>
      <c r="K249" s="7">
        <v>669.43</v>
      </c>
      <c r="L249" s="8">
        <f>IFERROR(K249/K444, "NA")</f>
        <v>6.5635945472641462E-3</v>
      </c>
      <c r="M249" s="9"/>
      <c r="N249" s="10">
        <f t="shared" si="65"/>
        <v>-127.63</v>
      </c>
      <c r="O249" s="8">
        <f>IFERROR(N249/N444, "NA")</f>
        <v>-4.4468678900808668E-2</v>
      </c>
      <c r="P249" s="9"/>
      <c r="Q249" s="7">
        <v>7154.88</v>
      </c>
      <c r="R249" s="8">
        <f>IFERROR(Q249/Q444, "NA")</f>
        <v>9.0404095648404532E-3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-7154.88</v>
      </c>
      <c r="X249" s="8">
        <f>IFERROR(W249/W444, "NA")</f>
        <v>0.29371500915026955</v>
      </c>
      <c r="Y249" s="9"/>
      <c r="Z249" s="7">
        <v>5133.1400000000003</v>
      </c>
      <c r="AA249" s="8">
        <f>IFERROR(Z249/Z444, "NA")</f>
        <v>7.2408893109953453E-3</v>
      </c>
      <c r="AB249" s="9"/>
      <c r="AC249" s="10">
        <f t="shared" si="67"/>
        <v>-2021.7399999999998</v>
      </c>
      <c r="AD249" s="8">
        <f>IFERROR(AC249/AC444, "NA")</f>
        <v>-2.4499106370453522E-2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1068.68</v>
      </c>
      <c r="L254" s="8">
        <f>IFERROR(K254/K444, "NA")</f>
        <v>1.0478141434907681E-2</v>
      </c>
      <c r="M254" s="9"/>
      <c r="N254" s="10">
        <f t="shared" si="65"/>
        <v>1068.68</v>
      </c>
      <c r="O254" s="8">
        <f>IFERROR(N254/N444, "NA")</f>
        <v>0.37234809815651659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2464.48</v>
      </c>
      <c r="AA254" s="8">
        <f>IFERROR(Z254/Z444, "NA")</f>
        <v>3.4764348701110449E-3</v>
      </c>
      <c r="AB254" s="9"/>
      <c r="AC254" s="10">
        <f t="shared" si="67"/>
        <v>2464.48</v>
      </c>
      <c r="AD254" s="8">
        <f>IFERROR(AC254/AC444, "NA")</f>
        <v>2.9864155464033603E-2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1125</v>
      </c>
      <c r="C257" s="8">
        <f>IFERROR(B257/B444, "NA")</f>
        <v>1.0728439079822258E-2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-1125</v>
      </c>
      <c r="I257" s="8">
        <f>IFERROR(H257/H444, "NA")</f>
        <v>7.2635332537465291E-2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-1125</v>
      </c>
      <c r="O257" s="8">
        <f>IFERROR(N257/N444, "NA")</f>
        <v>-0.39197103943751277</v>
      </c>
      <c r="P257" s="9"/>
      <c r="Q257" s="7">
        <v>4961.25</v>
      </c>
      <c r="R257" s="8">
        <f>IFERROR(Q257/Q444, "NA")</f>
        <v>6.2686910127863352E-3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-4961.25</v>
      </c>
      <c r="X257" s="8">
        <f>IFERROR(W257/W444, "NA")</f>
        <v>0.20366429473964268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-4961.25</v>
      </c>
      <c r="AD257" s="8">
        <f>IFERROR(AC257/AC444, "NA")</f>
        <v>-6.0119595734571478E-2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5328.0499999999993</v>
      </c>
      <c r="C262" s="15">
        <f>IFERROR(B262/B444, "NA")</f>
        <v>5.0810364301552863E-2</v>
      </c>
      <c r="D262" s="2"/>
      <c r="E262" s="14">
        <f>IFERROR(E240+E241+E242+E243+E244+E245+E246+E247+E248+E249+E250+E251+E252+E253+E254+E255+E256+E257+E258+E259+E260+E261, "NA")</f>
        <v>5673.29</v>
      </c>
      <c r="F262" s="15">
        <f>IFERROR(E262/E444, "NA")</f>
        <v>4.7139999639384561E-2</v>
      </c>
      <c r="G262" s="2"/>
      <c r="H262" s="14">
        <f t="shared" si="64"/>
        <v>345.24000000000069</v>
      </c>
      <c r="I262" s="15">
        <f>IFERROR(H262/H444, "NA")</f>
        <v>-2.2290330849097394E-2</v>
      </c>
      <c r="J262" s="2"/>
      <c r="K262" s="14">
        <f>IFERROR(K240+K241+K242+K243+K244+K245+K246+K247+K248+K249+K250+K251+K252+K253+K254+K255+K256+K257+K258+K259+K260+K261, "NA")</f>
        <v>5188.5</v>
      </c>
      <c r="L262" s="15">
        <f>IFERROR(K262/K444, "NA")</f>
        <v>5.0871951224892853E-2</v>
      </c>
      <c r="M262" s="2"/>
      <c r="N262" s="14">
        <f t="shared" si="65"/>
        <v>-139.54999999999927</v>
      </c>
      <c r="O262" s="15">
        <f>IFERROR(N262/N444, "NA")</f>
        <v>-4.8621829825337443E-2</v>
      </c>
      <c r="P262" s="2"/>
      <c r="Q262" s="14">
        <f>IFERROR(Q240+Q241+Q242+Q243+Q244+Q245+Q246+Q247+Q248+Q249+Q250+Q251+Q252+Q253+Q254+Q255+Q256+Q257+Q258+Q259+Q260+Q261, "NA")</f>
        <v>41213.279999999999</v>
      </c>
      <c r="R262" s="15">
        <f>IFERROR(Q262/Q444, "NA")</f>
        <v>5.2074238940478065E-2</v>
      </c>
      <c r="S262" s="2"/>
      <c r="T262" s="14">
        <f>IFERROR(T240+T241+T242+T243+T244+T245+T246+T247+T248+T249+T250+T251+T252+T253+T254+T255+T256+T257+T258+T259+T260+T261, "NA")</f>
        <v>38820.86</v>
      </c>
      <c r="U262" s="15">
        <f>IFERROR(T262/T444, "NA")</f>
        <v>4.7586648531513093E-2</v>
      </c>
      <c r="V262" s="2"/>
      <c r="W262" s="14">
        <f t="shared" si="66"/>
        <v>-2392.4199999999983</v>
      </c>
      <c r="X262" s="15">
        <f>IFERROR(W262/W444, "NA")</f>
        <v>9.8211243541650908E-2</v>
      </c>
      <c r="Y262" s="2"/>
      <c r="Z262" s="14">
        <f>IFERROR(Z240+Z241+Z242+Z243+Z244+Z245+Z246+Z247+Z248+Z249+Z250+Z251+Z252+Z253+Z254+Z255+Z256+Z257+Z258+Z259+Z260+Z261, "NA")</f>
        <v>34675.33</v>
      </c>
      <c r="AA262" s="15">
        <f>IFERROR(Z262/Z444, "NA")</f>
        <v>4.8913574605842863E-2</v>
      </c>
      <c r="AB262" s="2"/>
      <c r="AC262" s="14">
        <f t="shared" si="67"/>
        <v>-6537.9499999999971</v>
      </c>
      <c r="AD262" s="15">
        <f>IFERROR(AC262/AC444, "NA")</f>
        <v>-7.9225781997045386E-2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5328.0499999999993</v>
      </c>
      <c r="C263" s="15">
        <f>IFERROR(B263/B444, "NA")</f>
        <v>5.0810364301552863E-2</v>
      </c>
      <c r="D263" s="2"/>
      <c r="E263" s="14">
        <f>IFERROR(E238+E240+E241+E242+E243+E244+E245+E246+E247+E248+E249+E250+E251+E252+E253+E254+E255+E256+E257+E258+E259+E260+E261, "NA")</f>
        <v>5673.29</v>
      </c>
      <c r="F263" s="15">
        <f>IFERROR(E263/E444, "NA")</f>
        <v>4.7139999639384561E-2</v>
      </c>
      <c r="G263" s="2"/>
      <c r="H263" s="14">
        <f t="shared" si="64"/>
        <v>345.24000000000069</v>
      </c>
      <c r="I263" s="15">
        <f>IFERROR(H263/H444, "NA")</f>
        <v>-2.2290330849097394E-2</v>
      </c>
      <c r="J263" s="2"/>
      <c r="K263" s="14">
        <f>IFERROR(K238+K240+K241+K242+K243+K244+K245+K246+K247+K248+K249+K250+K251+K252+K253+K254+K255+K256+K257+K258+K259+K260+K261, "NA")</f>
        <v>5188.5</v>
      </c>
      <c r="L263" s="15">
        <f>IFERROR(K263/K444, "NA")</f>
        <v>5.0871951224892853E-2</v>
      </c>
      <c r="M263" s="2"/>
      <c r="N263" s="14">
        <f t="shared" si="65"/>
        <v>-139.54999999999927</v>
      </c>
      <c r="O263" s="15">
        <f>IFERROR(N263/N444, "NA")</f>
        <v>-4.8621829825337443E-2</v>
      </c>
      <c r="P263" s="2"/>
      <c r="Q263" s="14">
        <f>IFERROR(Q238+Q240+Q241+Q242+Q243+Q244+Q245+Q246+Q247+Q248+Q249+Q250+Q251+Q252+Q253+Q254+Q255+Q256+Q257+Q258+Q259+Q260+Q261, "NA")</f>
        <v>41213.279999999999</v>
      </c>
      <c r="R263" s="15">
        <f>IFERROR(Q263/Q444, "NA")</f>
        <v>5.2074238940478065E-2</v>
      </c>
      <c r="S263" s="2"/>
      <c r="T263" s="14">
        <f>IFERROR(T238+T240+T241+T242+T243+T244+T245+T246+T247+T248+T249+T250+T251+T252+T253+T254+T255+T256+T257+T258+T259+T260+T261, "NA")</f>
        <v>38820.86</v>
      </c>
      <c r="U263" s="15">
        <f>IFERROR(T263/T444, "NA")</f>
        <v>4.7586648531513093E-2</v>
      </c>
      <c r="V263" s="2"/>
      <c r="W263" s="14">
        <f t="shared" si="66"/>
        <v>-2392.4199999999983</v>
      </c>
      <c r="X263" s="15">
        <f>IFERROR(W263/W444, "NA")</f>
        <v>9.8211243541650908E-2</v>
      </c>
      <c r="Y263" s="2"/>
      <c r="Z263" s="14">
        <f>IFERROR(Z238+Z240+Z241+Z242+Z243+Z244+Z245+Z246+Z247+Z248+Z249+Z250+Z251+Z252+Z253+Z254+Z255+Z256+Z257+Z258+Z259+Z260+Z261, "NA")</f>
        <v>34675.33</v>
      </c>
      <c r="AA263" s="15">
        <f>IFERROR(Z263/Z444, "NA")</f>
        <v>4.8913574605842863E-2</v>
      </c>
      <c r="AB263" s="2"/>
      <c r="AC263" s="14">
        <f t="shared" si="67"/>
        <v>-6537.9499999999971</v>
      </c>
      <c r="AD263" s="15">
        <f>IFERROR(AC263/AC444, "NA")</f>
        <v>-7.9225781997045386E-2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2774.04</v>
      </c>
      <c r="C265" s="8">
        <f>IFERROR(B265/B444, "NA")</f>
        <v>2.6454328128880121E-2</v>
      </c>
      <c r="D265" s="9"/>
      <c r="E265" s="7">
        <v>3369.79</v>
      </c>
      <c r="F265" s="8">
        <f>IFERROR(E265/E444, "NA")</f>
        <v>2.7999961113357803E-2</v>
      </c>
      <c r="G265" s="9"/>
      <c r="H265" s="10">
        <f>IFERROR(-(B265-E265), "NA")</f>
        <v>595.75</v>
      </c>
      <c r="I265" s="8">
        <f>IFERROR(H265/H444, "NA")</f>
        <v>-3.8464443874839958E-2</v>
      </c>
      <c r="J265" s="9"/>
      <c r="K265" s="7">
        <v>2994.93</v>
      </c>
      <c r="L265" s="8">
        <f>IFERROR(K265/K444, "NA")</f>
        <v>2.9364543294202246E-2</v>
      </c>
      <c r="M265" s="9"/>
      <c r="N265" s="10">
        <f>IFERROR(-(B265-K265), "NA")</f>
        <v>220.88999999999987</v>
      </c>
      <c r="O265" s="8">
        <f>IFERROR(N265/N444, "NA")</f>
        <v>7.6962207023424128E-2</v>
      </c>
      <c r="P265" s="9"/>
      <c r="Q265" s="7">
        <v>21652.13</v>
      </c>
      <c r="R265" s="8">
        <f>IFERROR(Q265/Q444, "NA")</f>
        <v>2.7358128040046642E-2</v>
      </c>
      <c r="S265" s="9"/>
      <c r="T265" s="7">
        <v>23012.560000000001</v>
      </c>
      <c r="U265" s="8">
        <f>IFERROR(T265/T444, "NA")</f>
        <v>2.8208818777594239E-2</v>
      </c>
      <c r="V265" s="9"/>
      <c r="W265" s="10">
        <f>IFERROR(-(Q265-T265), "NA")</f>
        <v>1360.4300000000003</v>
      </c>
      <c r="X265" s="8">
        <f>IFERROR(W265/W444, "NA")</f>
        <v>-5.5847017685593782E-2</v>
      </c>
      <c r="Y265" s="9"/>
      <c r="Z265" s="7">
        <v>21417.23</v>
      </c>
      <c r="AA265" s="8">
        <f>IFERROR(Z265/Z444, "NA")</f>
        <v>3.0211486882907701E-2</v>
      </c>
      <c r="AB265" s="9"/>
      <c r="AC265" s="10">
        <f>IFERROR(-(Q265-Z265), "NA")</f>
        <v>-234.90000000000146</v>
      </c>
      <c r="AD265" s="8">
        <f>IFERROR(AC265/AC444, "NA")</f>
        <v>-2.846478818453198E-3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92.63</v>
      </c>
      <c r="R266" s="8">
        <f>IFERROR(Q266/Q444, "NA")</f>
        <v>1.1704083618330022E-4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-92.63</v>
      </c>
      <c r="X266" s="8">
        <f>IFERROR(W266/W444, "NA")</f>
        <v>3.8025545218912777E-3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-92.63</v>
      </c>
      <c r="AD266" s="8">
        <f>IFERROR(AC266/AC444, "NA")</f>
        <v>-1.1224748103589529E-3</v>
      </c>
    </row>
    <row r="267" spans="1:30" ht="16.5" customHeight="1" x14ac:dyDescent="0.45">
      <c r="A267" s="19" t="s">
        <v>243</v>
      </c>
      <c r="B267" s="14">
        <f>IFERROR(B265+B266, "NA")</f>
        <v>2774.04</v>
      </c>
      <c r="C267" s="15">
        <f>IFERROR(B267/B444, "NA")</f>
        <v>2.6454328128880121E-2</v>
      </c>
      <c r="D267" s="2"/>
      <c r="E267" s="14">
        <f>IFERROR(E265+E266, "NA")</f>
        <v>3369.79</v>
      </c>
      <c r="F267" s="15">
        <f>IFERROR(E267/E444, "NA")</f>
        <v>2.7999961113357803E-2</v>
      </c>
      <c r="G267" s="2"/>
      <c r="H267" s="14">
        <f>IFERROR(-(B267-E267), "NA")</f>
        <v>595.75</v>
      </c>
      <c r="I267" s="15">
        <f>IFERROR(H267/H444, "NA")</f>
        <v>-3.8464443874839958E-2</v>
      </c>
      <c r="J267" s="2"/>
      <c r="K267" s="14">
        <f>IFERROR(K265+K266, "NA")</f>
        <v>2994.93</v>
      </c>
      <c r="L267" s="15">
        <f>IFERROR(K267/K444, "NA")</f>
        <v>2.9364543294202246E-2</v>
      </c>
      <c r="M267" s="2"/>
      <c r="N267" s="14">
        <f>IFERROR(-(B267-K267), "NA")</f>
        <v>220.88999999999987</v>
      </c>
      <c r="O267" s="15">
        <f>IFERROR(N267/N444, "NA")</f>
        <v>7.6962207023424128E-2</v>
      </c>
      <c r="P267" s="2"/>
      <c r="Q267" s="14">
        <f>IFERROR(Q265+Q266, "NA")</f>
        <v>21744.760000000002</v>
      </c>
      <c r="R267" s="15">
        <f>IFERROR(Q267/Q444, "NA")</f>
        <v>2.7475168876229944E-2</v>
      </c>
      <c r="S267" s="2"/>
      <c r="T267" s="14">
        <f>IFERROR(T265+T266, "NA")</f>
        <v>23012.560000000001</v>
      </c>
      <c r="U267" s="15">
        <f>IFERROR(T267/T444, "NA")</f>
        <v>2.8208818777594239E-2</v>
      </c>
      <c r="V267" s="2"/>
      <c r="W267" s="14">
        <f>IFERROR(-(Q267-T267), "NA")</f>
        <v>1267.7999999999993</v>
      </c>
      <c r="X267" s="15">
        <f>IFERROR(W267/W444, "NA")</f>
        <v>-5.204446316370246E-2</v>
      </c>
      <c r="Y267" s="2"/>
      <c r="Z267" s="14">
        <f>IFERROR(Z265+Z266, "NA")</f>
        <v>21417.23</v>
      </c>
      <c r="AA267" s="15">
        <f>IFERROR(Z267/Z444, "NA")</f>
        <v>3.0211486882907701E-2</v>
      </c>
      <c r="AB267" s="2"/>
      <c r="AC267" s="14">
        <f>IFERROR(-(Q267-Z267), "NA")</f>
        <v>-327.53000000000247</v>
      </c>
      <c r="AD267" s="15">
        <f>IFERROR(AC267/AC444, "NA")</f>
        <v>-3.9689536288121637E-3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202.08</v>
      </c>
      <c r="C270" s="8">
        <f>IFERROR(B270/B444, "NA")</f>
        <v>1.9271137504448727E-3</v>
      </c>
      <c r="D270" s="9"/>
      <c r="E270" s="7">
        <v>176.52</v>
      </c>
      <c r="F270" s="8">
        <f>IFERROR(E270/E444, "NA")</f>
        <v>1.4667243762162983E-3</v>
      </c>
      <c r="G270" s="9"/>
      <c r="H270" s="10">
        <f>IFERROR(-(B270-E270), "NA")</f>
        <v>-25.560000000000002</v>
      </c>
      <c r="I270" s="8">
        <f>IFERROR(H270/H444, "NA")</f>
        <v>1.6502747552512116E-3</v>
      </c>
      <c r="J270" s="9"/>
      <c r="K270" s="7">
        <v>182.33</v>
      </c>
      <c r="L270" s="8">
        <f>IFERROR(K270/K444, "NA")</f>
        <v>1.7877002730721239E-3</v>
      </c>
      <c r="M270" s="9"/>
      <c r="N270" s="10">
        <f>IFERROR(-(B270-K270), "NA")</f>
        <v>-19.75</v>
      </c>
      <c r="O270" s="8">
        <f>IFERROR(N270/N444, "NA")</f>
        <v>-6.8812693590141133E-3</v>
      </c>
      <c r="P270" s="9"/>
      <c r="Q270" s="7">
        <v>1412.83</v>
      </c>
      <c r="R270" s="8">
        <f>IFERROR(Q270/Q444, "NA")</f>
        <v>1.7851538873459142E-3</v>
      </c>
      <c r="S270" s="9"/>
      <c r="T270" s="7">
        <v>1396.16</v>
      </c>
      <c r="U270" s="8">
        <f>IFERROR(T270/T444, "NA")</f>
        <v>1.711414306992615E-3</v>
      </c>
      <c r="V270" s="9"/>
      <c r="W270" s="10">
        <f>IFERROR(-(Q270-T270), "NA")</f>
        <v>-16.669999999999845</v>
      </c>
      <c r="X270" s="8">
        <f>IFERROR(W270/W444, "NA")</f>
        <v>6.8432024052603917E-4</v>
      </c>
      <c r="Y270" s="9"/>
      <c r="Z270" s="7">
        <v>774.38</v>
      </c>
      <c r="AA270" s="8">
        <f>IFERROR(Z270/Z444, "NA")</f>
        <v>1.092352802504622E-3</v>
      </c>
      <c r="AB270" s="9"/>
      <c r="AC270" s="10">
        <f>IFERROR(-(Q270-Z270), "NA")</f>
        <v>-638.44999999999993</v>
      </c>
      <c r="AD270" s="8">
        <f>IFERROR(AC270/AC444, "NA")</f>
        <v>-7.7366300623304927E-3</v>
      </c>
    </row>
    <row r="271" spans="1:30" ht="16.5" customHeight="1" x14ac:dyDescent="0.45">
      <c r="A271" s="6" t="s">
        <v>246</v>
      </c>
      <c r="B271" s="7">
        <v>861.83</v>
      </c>
      <c r="C271" s="8">
        <f>IFERROR(B271/B444, "NA")</f>
        <v>8.2187472463673035E-3</v>
      </c>
      <c r="D271" s="9"/>
      <c r="E271" s="7">
        <v>722.1</v>
      </c>
      <c r="F271" s="8">
        <f>IFERROR(E271/E444, "NA")</f>
        <v>6.000009472387202E-3</v>
      </c>
      <c r="G271" s="9"/>
      <c r="H271" s="10">
        <f>IFERROR(-(B271-E271), "NA")</f>
        <v>-139.73000000000002</v>
      </c>
      <c r="I271" s="8">
        <f>IFERROR(H271/H444, "NA")</f>
        <v>9.0216311248533573E-3</v>
      </c>
      <c r="J271" s="9"/>
      <c r="K271" s="7">
        <v>734.08</v>
      </c>
      <c r="L271" s="8">
        <f>IFERROR(K271/K444, "NA")</f>
        <v>7.1974717076552664E-3</v>
      </c>
      <c r="M271" s="9"/>
      <c r="N271" s="10">
        <f>IFERROR(-(B271-K271), "NA")</f>
        <v>-127.75</v>
      </c>
      <c r="O271" s="8">
        <f>IFERROR(N271/N444, "NA")</f>
        <v>-4.451048914501534E-2</v>
      </c>
      <c r="P271" s="9"/>
      <c r="Q271" s="7">
        <v>5616.62</v>
      </c>
      <c r="R271" s="8">
        <f>IFERROR(Q271/Q444, "NA")</f>
        <v>7.0967710387978807E-3</v>
      </c>
      <c r="S271" s="9"/>
      <c r="T271" s="7">
        <v>4894.7700000000004</v>
      </c>
      <c r="U271" s="8">
        <f>IFERROR(T271/T444, "NA")</f>
        <v>6.0000139005832011E-3</v>
      </c>
      <c r="V271" s="9"/>
      <c r="W271" s="10">
        <f>IFERROR(-(Q271-T271), "NA")</f>
        <v>-721.84999999999945</v>
      </c>
      <c r="X271" s="8">
        <f>IFERROR(W271/W444, "NA")</f>
        <v>2.9632667403942749E-2</v>
      </c>
      <c r="Y271" s="9"/>
      <c r="Z271" s="7">
        <v>4227.1899999999996</v>
      </c>
      <c r="AA271" s="8">
        <f>IFERROR(Z271/Z444, "NA")</f>
        <v>5.9629417640170365E-3</v>
      </c>
      <c r="AB271" s="9"/>
      <c r="AC271" s="10">
        <f>IFERROR(-(Q271-Z271), "NA")</f>
        <v>-1389.4300000000003</v>
      </c>
      <c r="AD271" s="8">
        <f>IFERROR(AC271/AC444, "NA")</f>
        <v>-1.6836879798737346E-2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1063.9100000000001</v>
      </c>
      <c r="C273" s="15">
        <f>IFERROR(B273/B444, "NA")</f>
        <v>1.0145860996812176E-2</v>
      </c>
      <c r="D273" s="2"/>
      <c r="E273" s="14">
        <f>IFERROR(E269+E270+E271+E272, "NA")</f>
        <v>898.62</v>
      </c>
      <c r="F273" s="15">
        <f>IFERROR(E273/E444, "NA")</f>
        <v>7.4667338486035005E-3</v>
      </c>
      <c r="G273" s="2"/>
      <c r="H273" s="14">
        <f>IFERROR(-(B273-E273), "NA")</f>
        <v>-165.29000000000008</v>
      </c>
      <c r="I273" s="15">
        <f>IFERROR(H273/H444, "NA")</f>
        <v>1.0671905880104573E-2</v>
      </c>
      <c r="J273" s="2"/>
      <c r="K273" s="14">
        <f>IFERROR(K269+K270+K271+K272, "NA")</f>
        <v>916.41000000000008</v>
      </c>
      <c r="L273" s="15">
        <f>IFERROR(K273/K444, "NA")</f>
        <v>8.9851719807273901E-3</v>
      </c>
      <c r="M273" s="2"/>
      <c r="N273" s="14">
        <f>IFERROR(-(B273-K273), "NA")</f>
        <v>-147.5</v>
      </c>
      <c r="O273" s="15">
        <f>IFERROR(N273/N444, "NA")</f>
        <v>-5.1391758504029453E-2</v>
      </c>
      <c r="P273" s="2"/>
      <c r="Q273" s="14">
        <f>IFERROR(Q269+Q270+Q271+Q272, "NA")</f>
        <v>7029.45</v>
      </c>
      <c r="R273" s="15">
        <f>IFERROR(Q273/Q444, "NA")</f>
        <v>8.8819249261437947E-3</v>
      </c>
      <c r="S273" s="2"/>
      <c r="T273" s="14">
        <f>IFERROR(T269+T270+T271+T272, "NA")</f>
        <v>6290.93</v>
      </c>
      <c r="U273" s="15">
        <f>IFERROR(T273/T444, "NA")</f>
        <v>7.7114282075758161E-3</v>
      </c>
      <c r="V273" s="2"/>
      <c r="W273" s="14">
        <f>IFERROR(-(Q273-T273), "NA")</f>
        <v>-738.51999999999953</v>
      </c>
      <c r="X273" s="15">
        <f>IFERROR(W273/W444, "NA")</f>
        <v>3.0316987644468798E-2</v>
      </c>
      <c r="Y273" s="2"/>
      <c r="Z273" s="14">
        <f>IFERROR(Z269+Z270+Z271+Z272, "NA")</f>
        <v>5001.57</v>
      </c>
      <c r="AA273" s="15">
        <f>IFERROR(Z273/Z444, "NA")</f>
        <v>7.0552945665216587E-3</v>
      </c>
      <c r="AB273" s="2"/>
      <c r="AC273" s="14">
        <f>IFERROR(-(Q273-Z273), "NA")</f>
        <v>-2027.88</v>
      </c>
      <c r="AD273" s="15">
        <f>IFERROR(AC273/AC444, "NA")</f>
        <v>-2.4573509861067839E-2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2.4927334741949325E-3</v>
      </c>
      <c r="G287" s="9"/>
      <c r="H287" s="10">
        <f t="shared" si="72"/>
        <v>300</v>
      </c>
      <c r="I287" s="8">
        <f>IFERROR(H287/H444, "NA")</f>
        <v>-1.9369422009990745E-2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2100</v>
      </c>
      <c r="U287" s="8">
        <f>IFERROR(T287/T444, "NA")</f>
        <v>2.5741820741780963E-3</v>
      </c>
      <c r="V287" s="9"/>
      <c r="W287" s="10">
        <f t="shared" si="74"/>
        <v>2100</v>
      </c>
      <c r="X287" s="8">
        <f>IFERROR(W287/W444, "NA")</f>
        <v>-8.6207108884504835E-2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1.3112536653116093E-3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8.8776517545790922E-3</v>
      </c>
      <c r="J288" s="9"/>
      <c r="K288" s="7">
        <v>137.5</v>
      </c>
      <c r="L288" s="8">
        <f>IFERROR(K288/K444, "NA")</f>
        <v>1.3481532800275161E-3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962.5</v>
      </c>
      <c r="R288" s="8">
        <f>IFERROR(Q288/Q444, "NA")</f>
        <v>1.2161481682654266E-3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-962.5</v>
      </c>
      <c r="X288" s="8">
        <f>IFERROR(W288/W444, "NA")</f>
        <v>3.9511591572064721E-2</v>
      </c>
      <c r="Y288" s="9"/>
      <c r="Z288" s="7">
        <v>962.5</v>
      </c>
      <c r="AA288" s="8">
        <f>IFERROR(Z288/Z444, "NA")</f>
        <v>1.3577178806408981E-3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206.28</v>
      </c>
      <c r="C289" s="8">
        <f>IFERROR(B289/B444, "NA")</f>
        <v>1.9671665896762091E-3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-206.28</v>
      </c>
      <c r="I289" s="8">
        <f>IFERROR(H289/H444, "NA")</f>
        <v>1.3318414574069636E-2</v>
      </c>
      <c r="J289" s="9"/>
      <c r="K289" s="7">
        <v>189.85</v>
      </c>
      <c r="L289" s="8">
        <f>IFERROR(K289/K444, "NA")</f>
        <v>1.8614320015507195E-3</v>
      </c>
      <c r="M289" s="9"/>
      <c r="N289" s="10">
        <f t="shared" si="73"/>
        <v>-16.430000000000007</v>
      </c>
      <c r="O289" s="8">
        <f>IFERROR(N289/N444, "NA")</f>
        <v>-5.7245192692962996E-3</v>
      </c>
      <c r="P289" s="9"/>
      <c r="Q289" s="7">
        <v>1243.47</v>
      </c>
      <c r="R289" s="8">
        <f>IFERROR(Q289/Q444, "NA")</f>
        <v>1.5711623509537765E-3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-1243.47</v>
      </c>
      <c r="X289" s="8">
        <f>IFERROR(W289/W444, "NA")</f>
        <v>5.1045692230769157E-2</v>
      </c>
      <c r="Y289" s="9"/>
      <c r="Z289" s="7">
        <v>1170.19</v>
      </c>
      <c r="AA289" s="8">
        <f>IFERROR(Z289/Z444, "NA")</f>
        <v>1.6506887135035559E-3</v>
      </c>
      <c r="AB289" s="9"/>
      <c r="AC289" s="10">
        <f t="shared" si="75"/>
        <v>-73.279999999999973</v>
      </c>
      <c r="AD289" s="8">
        <f>IFERROR(AC289/AC444, "NA")</f>
        <v>-8.8799475443273289E-4</v>
      </c>
    </row>
    <row r="290" spans="1:30" ht="16.5" customHeight="1" x14ac:dyDescent="0.45">
      <c r="A290" s="6" t="s">
        <v>263</v>
      </c>
      <c r="B290" s="7">
        <v>135.05000000000001</v>
      </c>
      <c r="C290" s="8">
        <f>IFERROR(B290/B444, "NA")</f>
        <v>1.2878895090933297E-3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-135.05000000000001</v>
      </c>
      <c r="I290" s="8">
        <f>IFERROR(H290/H444, "NA")</f>
        <v>8.7194681414975023E-3</v>
      </c>
      <c r="J290" s="9"/>
      <c r="K290" s="7">
        <v>21.32</v>
      </c>
      <c r="L290" s="8">
        <f>IFERROR(K290/K444, "NA")</f>
        <v>2.0903729403772104E-4</v>
      </c>
      <c r="M290" s="9"/>
      <c r="N290" s="10">
        <f t="shared" si="73"/>
        <v>-113.73000000000002</v>
      </c>
      <c r="O290" s="8">
        <f>IFERROR(N290/N444, "NA")</f>
        <v>-3.9625658946869632E-2</v>
      </c>
      <c r="P290" s="9"/>
      <c r="Q290" s="7">
        <v>3317.46</v>
      </c>
      <c r="R290" s="8">
        <f>IFERROR(Q290/Q444, "NA")</f>
        <v>4.1917121062792955E-3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-3317.46</v>
      </c>
      <c r="X290" s="8">
        <f>IFERROR(W290/W444, "NA")</f>
        <v>0.13618506449523307</v>
      </c>
      <c r="Y290" s="9"/>
      <c r="Z290" s="7">
        <v>21.32</v>
      </c>
      <c r="AA290" s="8">
        <f>IFERROR(Z290/Z444, "NA")</f>
        <v>3.0074332691183322E-5</v>
      </c>
      <c r="AB290" s="9"/>
      <c r="AC290" s="10">
        <f t="shared" si="75"/>
        <v>-3296.14</v>
      </c>
      <c r="AD290" s="8">
        <f>IFERROR(AC290/AC444, "NA")</f>
        <v>-3.9942071914245487E-2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1444.2</v>
      </c>
      <c r="F291" s="8">
        <f>IFERROR(E291/E444, "NA")</f>
        <v>1.2000018944774404E-2</v>
      </c>
      <c r="G291" s="9"/>
      <c r="H291" s="10">
        <f t="shared" si="72"/>
        <v>1444.2</v>
      </c>
      <c r="I291" s="8">
        <f>IFERROR(H291/H444, "NA")</f>
        <v>-9.3244397556095454E-2</v>
      </c>
      <c r="J291" s="9"/>
      <c r="K291" s="7">
        <v>605.42999999999995</v>
      </c>
      <c r="L291" s="8">
        <f>IFERROR(K291/K444, "NA")</f>
        <v>5.9360904751058841E-3</v>
      </c>
      <c r="M291" s="9"/>
      <c r="N291" s="10">
        <f t="shared" si="73"/>
        <v>605.42999999999995</v>
      </c>
      <c r="O291" s="8">
        <f>IFERROR(N291/N444, "NA")</f>
        <v>0.21094313458369185</v>
      </c>
      <c r="P291" s="9"/>
      <c r="Q291" s="7">
        <v>2475.0300000000002</v>
      </c>
      <c r="R291" s="8">
        <f>IFERROR(Q291/Q444, "NA")</f>
        <v>3.1272760528851728E-3</v>
      </c>
      <c r="S291" s="9"/>
      <c r="T291" s="7">
        <v>9789.51</v>
      </c>
      <c r="U291" s="8">
        <f>IFERROR(T291/T444, "NA")</f>
        <v>1.199999102713677E-2</v>
      </c>
      <c r="V291" s="9"/>
      <c r="W291" s="10">
        <f t="shared" si="74"/>
        <v>7314.48</v>
      </c>
      <c r="X291" s="8">
        <f>IFERROR(W291/W444, "NA")</f>
        <v>-0.30026674942549186</v>
      </c>
      <c r="Y291" s="9"/>
      <c r="Z291" s="7">
        <v>1092.1500000000001</v>
      </c>
      <c r="AA291" s="8">
        <f>IFERROR(Z291/Z444, "NA")</f>
        <v>1.5406042424332021E-3</v>
      </c>
      <c r="AB291" s="9"/>
      <c r="AC291" s="10">
        <f t="shared" si="75"/>
        <v>-1382.88</v>
      </c>
      <c r="AD291" s="8">
        <f>IFERROR(AC291/AC444, "NA")</f>
        <v>-1.6757507996860512E-2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6.3285191850121717E-4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2.0560805978996712E-2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-6.0693375096230731E-3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4.6741786170018622E-4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1.5185997995068989E-2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-4.4827497203507238E-3</v>
      </c>
    </row>
    <row r="294" spans="1:30" ht="16.5" customHeight="1" x14ac:dyDescent="0.45">
      <c r="A294" s="6" t="s">
        <v>267</v>
      </c>
      <c r="B294" s="7">
        <v>309.99</v>
      </c>
      <c r="C294" s="8">
        <f>IFERROR(B294/B444, "NA")</f>
        <v>2.9561856269814239E-3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-309.99</v>
      </c>
      <c r="I294" s="8">
        <f>IFERROR(H294/H444, "NA")</f>
        <v>2.001442376292344E-2</v>
      </c>
      <c r="J294" s="9"/>
      <c r="K294" s="7">
        <v>-420.85</v>
      </c>
      <c r="L294" s="8">
        <f>IFERROR(K294/K444, "NA")</f>
        <v>-4.1263295119969472E-3</v>
      </c>
      <c r="M294" s="9"/>
      <c r="N294" s="10">
        <f t="shared" si="73"/>
        <v>-730.84</v>
      </c>
      <c r="O294" s="8">
        <f>IFERROR(N294/N444, "NA")</f>
        <v>-0.25463832396667718</v>
      </c>
      <c r="P294" s="9"/>
      <c r="Q294" s="7">
        <v>2398.94</v>
      </c>
      <c r="R294" s="8">
        <f>IFERROR(Q294/Q444, "NA")</f>
        <v>3.0311340122375712E-3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-2398.94</v>
      </c>
      <c r="X294" s="8">
        <f>IFERROR(W294/W444, "NA")</f>
        <v>9.8478896089235254E-2</v>
      </c>
      <c r="Y294" s="9"/>
      <c r="Z294" s="7">
        <v>593.75</v>
      </c>
      <c r="AA294" s="8">
        <f>IFERROR(Z294/Z444, "NA")</f>
        <v>8.3755323805769681E-4</v>
      </c>
      <c r="AB294" s="9"/>
      <c r="AC294" s="10">
        <f t="shared" si="75"/>
        <v>-1805.19</v>
      </c>
      <c r="AD294" s="8">
        <f>IFERROR(AC294/AC444, "NA")</f>
        <v>-2.1874989775578956E-2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788.81999999999994</v>
      </c>
      <c r="C295" s="15">
        <f>IFERROR(B295/B444, "NA")</f>
        <v>7.5224953910625709E-3</v>
      </c>
      <c r="D295" s="2"/>
      <c r="E295" s="14">
        <f>IFERROR(E286+E287+E288+E289+E290+E291+E292+E293+E294, "NA")</f>
        <v>1744.2</v>
      </c>
      <c r="F295" s="15">
        <f>IFERROR(E295/E444, "NA")</f>
        <v>1.4492752418969336E-2</v>
      </c>
      <c r="G295" s="2"/>
      <c r="H295" s="14">
        <f t="shared" si="72"/>
        <v>955.38000000000011</v>
      </c>
      <c r="I295" s="15">
        <f>IFERROR(H295/H444, "NA")</f>
        <v>-6.1683861333016538E-2</v>
      </c>
      <c r="J295" s="2"/>
      <c r="K295" s="14">
        <f>IFERROR(K286+K287+K288+K289+K290+K291+K292+K293+K294, "NA")</f>
        <v>533.24999999999989</v>
      </c>
      <c r="L295" s="15">
        <f>IFERROR(K295/K444, "NA")</f>
        <v>5.2283835387248933E-3</v>
      </c>
      <c r="M295" s="2"/>
      <c r="N295" s="14">
        <f t="shared" si="73"/>
        <v>-255.57000000000005</v>
      </c>
      <c r="O295" s="15">
        <f>IFERROR(N295/N444, "NA")</f>
        <v>-8.9045367599151257E-2</v>
      </c>
      <c r="P295" s="2"/>
      <c r="Q295" s="14">
        <f>IFERROR(Q286+Q287+Q288+Q289+Q290+Q291+Q292+Q293+Q294, "NA")</f>
        <v>11268.190000000002</v>
      </c>
      <c r="R295" s="15">
        <f>IFERROR(Q295/Q444, "NA")</f>
        <v>1.423770247082265E-2</v>
      </c>
      <c r="S295" s="2"/>
      <c r="T295" s="14">
        <f>IFERROR(T286+T287+T288+T289+T290+T291+T292+T293+T294, "NA")</f>
        <v>11889.51</v>
      </c>
      <c r="U295" s="15">
        <f>IFERROR(T295/T444, "NA")</f>
        <v>1.4574173101314867E-2</v>
      </c>
      <c r="V295" s="2"/>
      <c r="W295" s="14">
        <f t="shared" si="74"/>
        <v>621.31999999999789</v>
      </c>
      <c r="X295" s="15">
        <f>IFERROR(W295/W444, "NA")</f>
        <v>-2.5505809948628746E-2</v>
      </c>
      <c r="Y295" s="2"/>
      <c r="Z295" s="14">
        <f>IFERROR(Z286+Z287+Z288+Z289+Z290+Z291+Z292+Z293+Z294, "NA")</f>
        <v>3839.9100000000003</v>
      </c>
      <c r="AA295" s="15">
        <f>IFERROR(Z295/Z444, "NA")</f>
        <v>5.4166384073265367E-3</v>
      </c>
      <c r="AB295" s="2"/>
      <c r="AC295" s="14">
        <f t="shared" si="75"/>
        <v>-7428.2800000000025</v>
      </c>
      <c r="AD295" s="15">
        <f>IFERROR(AC295/AC444, "NA")</f>
        <v>-9.0014651671091517E-2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1564.55</v>
      </c>
      <c r="F297" s="8">
        <f>IFERROR(E297/E444, "NA")</f>
        <v>1.3000020523505604E-2</v>
      </c>
      <c r="G297" s="9"/>
      <c r="H297" s="10">
        <f t="shared" ref="H297:H325" si="76">IFERROR(-(B297-E297), "NA")</f>
        <v>1564.55</v>
      </c>
      <c r="I297" s="8">
        <f>IFERROR(H297/H444, "NA")</f>
        <v>-0.10101476401910341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10605.31</v>
      </c>
      <c r="U297" s="8">
        <f>IFERROR(T297/T444, "NA")</f>
        <v>1.2999999472905576E-2</v>
      </c>
      <c r="V297" s="9"/>
      <c r="W297" s="10">
        <f t="shared" ref="W297:W325" si="78">IFERROR(-(Q297-T297), "NA")</f>
        <v>10605.31</v>
      </c>
      <c r="X297" s="8">
        <f>IFERROR(W297/W444, "NA")</f>
        <v>-0.43535862567806094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194.06</v>
      </c>
      <c r="C299" s="8">
        <f>IFERROR(B299/B444, "NA")</f>
        <v>1.8506319002936065E-3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-194.06</v>
      </c>
      <c r="I299" s="8">
        <f>IFERROR(H299/H444, "NA")</f>
        <v>1.252943345086268E-2</v>
      </c>
      <c r="J299" s="9"/>
      <c r="K299" s="7">
        <v>184.72</v>
      </c>
      <c r="L299" s="8">
        <f>IFERROR(K299/K444, "NA")</f>
        <v>1.8111336282667838E-3</v>
      </c>
      <c r="M299" s="9"/>
      <c r="N299" s="10">
        <f t="shared" si="77"/>
        <v>-9.3400000000000034</v>
      </c>
      <c r="O299" s="8">
        <f>IFERROR(N299/N444, "NA")</f>
        <v>-3.2542306740856626E-3</v>
      </c>
      <c r="P299" s="9"/>
      <c r="Q299" s="7">
        <v>1907.23</v>
      </c>
      <c r="R299" s="8">
        <f>IFERROR(Q299/Q444, "NA")</f>
        <v>2.4098433984009035E-3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-1907.23</v>
      </c>
      <c r="X299" s="8">
        <f>IFERROR(W299/W444, "NA")</f>
        <v>7.8293706798949605E-2</v>
      </c>
      <c r="Y299" s="9"/>
      <c r="Z299" s="7">
        <v>1550.78</v>
      </c>
      <c r="AA299" s="8">
        <f>IFERROR(Z299/Z444, "NA")</f>
        <v>2.1875550492886147E-3</v>
      </c>
      <c r="AB299" s="9"/>
      <c r="AC299" s="10">
        <f t="shared" si="79"/>
        <v>-356.45000000000005</v>
      </c>
      <c r="AD299" s="8">
        <f>IFERROR(AC299/AC444, "NA")</f>
        <v>-4.3194013403049644E-3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151.43</v>
      </c>
      <c r="C304" s="8">
        <f>IFERROR(B304/B444, "NA")</f>
        <v>1.4440955820955417E-3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-151.43</v>
      </c>
      <c r="I304" s="8">
        <f>IFERROR(H304/H444, "NA")</f>
        <v>9.7770385832429956E-3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-151.43</v>
      </c>
      <c r="O304" s="8">
        <f>IFERROR(N304/N444, "NA")</f>
        <v>-5.2761044001797833E-2</v>
      </c>
      <c r="P304" s="9"/>
      <c r="Q304" s="7">
        <v>348.44</v>
      </c>
      <c r="R304" s="8">
        <f>IFERROR(Q304/Q444, "NA")</f>
        <v>4.4026458987055089E-4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-348.44</v>
      </c>
      <c r="X304" s="8">
        <f>IFERROR(W304/W444, "NA")</f>
        <v>1.4303811914150888E-2</v>
      </c>
      <c r="Y304" s="9"/>
      <c r="Z304" s="7">
        <v>268.92</v>
      </c>
      <c r="AA304" s="8">
        <f>IFERROR(Z304/Z444, "NA")</f>
        <v>3.7934284931111722E-4</v>
      </c>
      <c r="AB304" s="9"/>
      <c r="AC304" s="10">
        <f t="shared" si="79"/>
        <v>-79.519999999999982</v>
      </c>
      <c r="AD304" s="8">
        <f>IFERROR(AC304/AC444, "NA")</f>
        <v>-9.6361002828180859E-4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53.43</v>
      </c>
      <c r="C310" s="8">
        <f>IFERROR(B310/B444, "NA")</f>
        <v>5.0952933336435836E-4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-53.43</v>
      </c>
      <c r="I310" s="8">
        <f>IFERROR(H310/H444, "NA")</f>
        <v>3.4496940599793519E-3</v>
      </c>
      <c r="J310" s="9"/>
      <c r="K310" s="7">
        <v>56.65</v>
      </c>
      <c r="L310" s="8">
        <f>IFERROR(K310/K444, "NA")</f>
        <v>5.554391513713366E-4</v>
      </c>
      <c r="M310" s="9"/>
      <c r="N310" s="10">
        <f t="shared" si="77"/>
        <v>3.2199999999999989</v>
      </c>
      <c r="O310" s="8">
        <f>IFERROR(N310/N444, "NA")</f>
        <v>1.1219082195455918E-3</v>
      </c>
      <c r="P310" s="9"/>
      <c r="Q310" s="7">
        <v>411.01</v>
      </c>
      <c r="R310" s="8">
        <f>IFERROR(Q310/Q444, "NA")</f>
        <v>5.1932369728703684E-4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-411.01</v>
      </c>
      <c r="X310" s="8">
        <f>IFERROR(W310/W444, "NA")</f>
        <v>1.6872373248866826E-2</v>
      </c>
      <c r="Y310" s="9"/>
      <c r="Z310" s="7">
        <v>249.92</v>
      </c>
      <c r="AA310" s="8">
        <f>IFERROR(Z310/Z444, "NA")</f>
        <v>3.5254114569327087E-4</v>
      </c>
      <c r="AB310" s="9"/>
      <c r="AC310" s="10">
        <f t="shared" si="79"/>
        <v>-161.09</v>
      </c>
      <c r="AD310" s="8">
        <f>IFERROR(AC310/AC444, "NA")</f>
        <v>-1.9520616128762146E-3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3.3736266070324041E-5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1.096061812960133E-3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-3.2354612368114055E-4</v>
      </c>
    </row>
    <row r="312" spans="1:30" ht="16.5" customHeight="1" x14ac:dyDescent="0.45">
      <c r="A312" s="6" t="s">
        <v>284</v>
      </c>
      <c r="B312" s="7">
        <v>410.09</v>
      </c>
      <c r="C312" s="8">
        <f>IFERROR(B312/B444, "NA")</f>
        <v>3.910778295328275E-3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-410.09</v>
      </c>
      <c r="I312" s="8">
        <f>IFERROR(H312/H444, "NA")</f>
        <v>2.6477354240257014E-2</v>
      </c>
      <c r="J312" s="9"/>
      <c r="K312" s="7">
        <v>100</v>
      </c>
      <c r="L312" s="8">
        <f>IFERROR(K312/K444, "NA")</f>
        <v>9.8047511274728435E-4</v>
      </c>
      <c r="M312" s="9"/>
      <c r="N312" s="10">
        <f t="shared" si="77"/>
        <v>-310.08999999999997</v>
      </c>
      <c r="O312" s="8">
        <f>IFERROR(N312/N444, "NA")</f>
        <v>-0.10804115521704739</v>
      </c>
      <c r="P312" s="9"/>
      <c r="Q312" s="7">
        <v>1306.27</v>
      </c>
      <c r="R312" s="8">
        <f>IFERROR(Q312/Q444, "NA")</f>
        <v>1.6505120704000818E-3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-1306.27</v>
      </c>
      <c r="X312" s="8">
        <f>IFERROR(W312/W444, "NA")</f>
        <v>5.3623695296458163E-2</v>
      </c>
      <c r="Y312" s="9"/>
      <c r="Z312" s="7">
        <v>208.32</v>
      </c>
      <c r="AA312" s="8">
        <f>IFERROR(Z312/Z444, "NA")</f>
        <v>2.9385952092998637E-4</v>
      </c>
      <c r="AB312" s="9"/>
      <c r="AC312" s="10">
        <f t="shared" si="79"/>
        <v>-1097.95</v>
      </c>
      <c r="AD312" s="8">
        <f>IFERROR(AC312/AC444, "NA")</f>
        <v>-1.3304774026056489E-2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53.75</v>
      </c>
      <c r="R313" s="8">
        <f>IFERROR(Q313/Q444, "NA")</f>
        <v>6.7914767838199151E-5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2.2064914774010168E-3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-6.5133348868394393E-4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7.5729428957134696E-3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5.1271505707845839E-2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-0.27668277522464291</v>
      </c>
      <c r="P315" s="9"/>
      <c r="Q315" s="7">
        <v>5558.77</v>
      </c>
      <c r="R315" s="8">
        <f>IFERROR(Q315/Q444, "NA")</f>
        <v>7.0236757956455122E-3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-5558.77</v>
      </c>
      <c r="X315" s="8">
        <f>IFERROR(W315/W444, "NA")</f>
        <v>0.22819309078758049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-5558.77</v>
      </c>
      <c r="AD315" s="8">
        <f>IFERROR(AC315/AC444, "NA")</f>
        <v>-6.7360242918914376E-2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4.6785530778318219E-3</v>
      </c>
      <c r="D318" s="9"/>
      <c r="E318" s="7">
        <v>718</v>
      </c>
      <c r="F318" s="8">
        <f>IFERROR(E318/E444, "NA")</f>
        <v>5.9659421149065384E-3</v>
      </c>
      <c r="G318" s="9"/>
      <c r="H318" s="10">
        <f t="shared" si="76"/>
        <v>227.39999999999998</v>
      </c>
      <c r="I318" s="8">
        <f>IFERROR(H318/H444, "NA")</f>
        <v>-1.4682021883572984E-2</v>
      </c>
      <c r="J318" s="9"/>
      <c r="K318" s="7">
        <v>490.6</v>
      </c>
      <c r="L318" s="8">
        <f>IFERROR(K318/K444, "NA")</f>
        <v>4.8102109031381776E-3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3434.2</v>
      </c>
      <c r="R318" s="8">
        <f>IFERROR(Q318/Q444, "NA")</f>
        <v>4.3392166643710416E-3</v>
      </c>
      <c r="S318" s="9"/>
      <c r="T318" s="7">
        <v>5026</v>
      </c>
      <c r="U318" s="8">
        <f>IFERROR(T318/T444, "NA")</f>
        <v>6.1608757641995774E-3</v>
      </c>
      <c r="V318" s="9"/>
      <c r="W318" s="10">
        <f t="shared" si="78"/>
        <v>1591.8000000000002</v>
      </c>
      <c r="X318" s="8">
        <f>IFERROR(W318/W444, "NA")</f>
        <v>-6.5344988534454682E-2</v>
      </c>
      <c r="Y318" s="9"/>
      <c r="Z318" s="7">
        <v>3434.2</v>
      </c>
      <c r="AA318" s="8">
        <f>IFERROR(Z318/Z444, "NA")</f>
        <v>4.8443373981267241E-3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160.1</v>
      </c>
      <c r="C319" s="8">
        <f>IFERROR(B319/B444, "NA")</f>
        <v>1.5267760859373719E-3</v>
      </c>
      <c r="D319" s="9"/>
      <c r="E319" s="7">
        <v>160</v>
      </c>
      <c r="F319" s="8">
        <f>IFERROR(E319/E444, "NA")</f>
        <v>1.3294578529039639E-3</v>
      </c>
      <c r="G319" s="9"/>
      <c r="H319" s="10">
        <f t="shared" si="76"/>
        <v>-9.9999999999994316E-2</v>
      </c>
      <c r="I319" s="8">
        <f>IFERROR(H319/H444, "NA")</f>
        <v>6.4564740033298818E-6</v>
      </c>
      <c r="J319" s="9"/>
      <c r="K319" s="7">
        <v>159.81</v>
      </c>
      <c r="L319" s="8">
        <f>IFERROR(K319/K444, "NA")</f>
        <v>1.5668972776814354E-3</v>
      </c>
      <c r="M319" s="9"/>
      <c r="N319" s="10">
        <f t="shared" si="77"/>
        <v>-0.28999999999999204</v>
      </c>
      <c r="O319" s="8">
        <f>IFERROR(N319/N444, "NA")</f>
        <v>-1.0104142349944497E-4</v>
      </c>
      <c r="P319" s="9"/>
      <c r="Q319" s="7">
        <v>1251.21</v>
      </c>
      <c r="R319" s="8">
        <f>IFERROR(Q319/Q444, "NA")</f>
        <v>1.5809420775224773E-3</v>
      </c>
      <c r="S319" s="9"/>
      <c r="T319" s="7">
        <v>1120</v>
      </c>
      <c r="U319" s="8">
        <f>IFERROR(T319/T444, "NA")</f>
        <v>1.3728971062283181E-3</v>
      </c>
      <c r="V319" s="9"/>
      <c r="W319" s="10">
        <f t="shared" si="78"/>
        <v>-131.21000000000004</v>
      </c>
      <c r="X319" s="8">
        <f>IFERROR(W319/W444, "NA")</f>
        <v>5.3863022651123253E-3</v>
      </c>
      <c r="Y319" s="9"/>
      <c r="Z319" s="7">
        <v>1117.95</v>
      </c>
      <c r="AA319" s="8">
        <f>IFERROR(Z319/Z444, "NA")</f>
        <v>1.5769981347142775E-3</v>
      </c>
      <c r="AB319" s="9"/>
      <c r="AC319" s="10">
        <f t="shared" si="79"/>
        <v>-133.26</v>
      </c>
      <c r="AD319" s="8">
        <f>IFERROR(AC319/AC444, "NA")</f>
        <v>-1.6148223386422765E-3</v>
      </c>
    </row>
    <row r="320" spans="1:30" ht="16.5" customHeight="1" x14ac:dyDescent="0.45">
      <c r="A320" s="6" t="s">
        <v>292</v>
      </c>
      <c r="B320" s="7">
        <v>848.61</v>
      </c>
      <c r="C320" s="8">
        <f>IFERROR(B320/B444, "NA")</f>
        <v>8.0926761666915252E-3</v>
      </c>
      <c r="D320" s="9"/>
      <c r="E320" s="7">
        <v>827</v>
      </c>
      <c r="F320" s="8">
        <f>IFERROR(E320/E444, "NA")</f>
        <v>6.8716352771973632E-3</v>
      </c>
      <c r="G320" s="9"/>
      <c r="H320" s="10">
        <f t="shared" si="76"/>
        <v>-21.610000000000014</v>
      </c>
      <c r="I320" s="8">
        <f>IFERROR(H320/H444, "NA")</f>
        <v>1.3952440321196675E-3</v>
      </c>
      <c r="J320" s="9"/>
      <c r="K320" s="7">
        <v>703.92</v>
      </c>
      <c r="L320" s="8">
        <f>IFERROR(K320/K444, "NA")</f>
        <v>6.9017604136506839E-3</v>
      </c>
      <c r="M320" s="9"/>
      <c r="N320" s="10">
        <f t="shared" si="77"/>
        <v>-144.69000000000005</v>
      </c>
      <c r="O320" s="8">
        <f>IFERROR(N320/N444, "NA")</f>
        <v>-5.0412701952189998E-2</v>
      </c>
      <c r="P320" s="9"/>
      <c r="Q320" s="7">
        <v>8162.73</v>
      </c>
      <c r="R320" s="8">
        <f>IFERROR(Q320/Q444, "NA")</f>
        <v>1.0313858844202852E-2</v>
      </c>
      <c r="S320" s="9"/>
      <c r="T320" s="7">
        <v>5789</v>
      </c>
      <c r="U320" s="8">
        <f>IFERROR(T320/T444, "NA")</f>
        <v>7.0961619178176189E-3</v>
      </c>
      <c r="V320" s="9"/>
      <c r="W320" s="10">
        <f t="shared" si="78"/>
        <v>-2373.7299999999996</v>
      </c>
      <c r="X320" s="8">
        <f>IFERROR(W320/W444, "NA")</f>
        <v>9.7444000272578879E-2</v>
      </c>
      <c r="Y320" s="9"/>
      <c r="Z320" s="7">
        <v>5813.78</v>
      </c>
      <c r="AA320" s="8">
        <f>IFERROR(Z320/Z444, "NA")</f>
        <v>8.2010109715453926E-3</v>
      </c>
      <c r="AB320" s="9"/>
      <c r="AC320" s="10">
        <f t="shared" si="79"/>
        <v>-2348.9499999999998</v>
      </c>
      <c r="AD320" s="8">
        <f>IFERROR(AC320/AC444, "NA")</f>
        <v>-2.8464182292914419E-2</v>
      </c>
    </row>
    <row r="321" spans="1:30" ht="16.5" customHeight="1" x14ac:dyDescent="0.45">
      <c r="A321" s="6" t="s">
        <v>293</v>
      </c>
      <c r="B321" s="7">
        <v>1910.46</v>
      </c>
      <c r="C321" s="8">
        <f>IFERROR(B321/B444, "NA")</f>
        <v>1.8218892199499761E-2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-1910.46</v>
      </c>
      <c r="I321" s="8">
        <f>IFERROR(H321/H444, "NA")</f>
        <v>0.12334835324402307</v>
      </c>
      <c r="J321" s="9"/>
      <c r="K321" s="7">
        <v>2389.2600000000002</v>
      </c>
      <c r="L321" s="8">
        <f>IFERROR(K321/K444, "NA")</f>
        <v>2.3426099678825772E-2</v>
      </c>
      <c r="M321" s="9"/>
      <c r="N321" s="10">
        <f t="shared" si="77"/>
        <v>478.80000000000018</v>
      </c>
      <c r="O321" s="8">
        <f>IFERROR(N321/N444, "NA")</f>
        <v>0.1668228743846055</v>
      </c>
      <c r="P321" s="9"/>
      <c r="Q321" s="7">
        <v>15298.4</v>
      </c>
      <c r="R321" s="8">
        <f>IFERROR(Q321/Q444, "NA")</f>
        <v>1.9329995986900574E-2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-15298.4</v>
      </c>
      <c r="X321" s="8">
        <f>IFERROR(W321/W444, "NA")</f>
        <v>0.62801468312319464</v>
      </c>
      <c r="Y321" s="9"/>
      <c r="Z321" s="7">
        <v>16657.46</v>
      </c>
      <c r="AA321" s="8">
        <f>IFERROR(Z321/Z444, "NA")</f>
        <v>2.3497279260322631E-2</v>
      </c>
      <c r="AB321" s="9"/>
      <c r="AC321" s="10">
        <f t="shared" si="79"/>
        <v>1359.0599999999995</v>
      </c>
      <c r="AD321" s="8">
        <f>IFERROR(AC321/AC444, "NA")</f>
        <v>1.6468861230340474E-2</v>
      </c>
    </row>
    <row r="322" spans="1:30" ht="16.5" customHeight="1" x14ac:dyDescent="0.45">
      <c r="A322" s="6" t="s">
        <v>294</v>
      </c>
      <c r="B322" s="7">
        <v>726.98</v>
      </c>
      <c r="C322" s="8">
        <f>IFERROR(B322/B444, "NA")</f>
        <v>6.9327650153326089E-3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-726.98</v>
      </c>
      <c r="I322" s="8">
        <f>IFERROR(H322/H444, "NA")</f>
        <v>4.693727470941024E-2</v>
      </c>
      <c r="J322" s="9"/>
      <c r="K322" s="7">
        <v>155.97</v>
      </c>
      <c r="L322" s="8">
        <f>IFERROR(K322/K444, "NA")</f>
        <v>1.5292470333519396E-3</v>
      </c>
      <c r="M322" s="9"/>
      <c r="N322" s="10">
        <f t="shared" si="77"/>
        <v>-571.01</v>
      </c>
      <c r="O322" s="8">
        <f>IFERROR(N322/N444, "NA")</f>
        <v>-0.1989505628704126</v>
      </c>
      <c r="P322" s="9"/>
      <c r="Q322" s="7">
        <v>2453.15</v>
      </c>
      <c r="R322" s="8">
        <f>IFERROR(Q322/Q444, "NA")</f>
        <v>3.0996300041354089E-3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-2453.15</v>
      </c>
      <c r="X322" s="8">
        <f>IFERROR(W322/W444, "NA")</f>
        <v>0.10070427102858241</v>
      </c>
      <c r="Y322" s="9"/>
      <c r="Z322" s="7">
        <v>1441.79</v>
      </c>
      <c r="AA322" s="8">
        <f>IFERROR(Z322/Z444, "NA")</f>
        <v>2.0338120136407694E-3</v>
      </c>
      <c r="AB322" s="9"/>
      <c r="AC322" s="10">
        <f t="shared" si="79"/>
        <v>-1011.3600000000001</v>
      </c>
      <c r="AD322" s="8">
        <f>IFERROR(AC322/AC444, "NA")</f>
        <v>-1.2255490923077091E-2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5739.869999999999</v>
      </c>
      <c r="C324" s="15">
        <f>IFERROR(B324/B444, "NA")</f>
        <v>5.4737640552088331E-2</v>
      </c>
      <c r="D324" s="2"/>
      <c r="E324" s="14">
        <f>IFERROR(E297+E298+E299+E300+E301+E302+E303+E304+E305+E306+E307+E308+E309+E310+E311+E312+E313+E314+E315+E316+E317+E318+E319+E320+E321+E322+E323, "NA")</f>
        <v>3269.55</v>
      </c>
      <c r="F324" s="15">
        <f>IFERROR(E324/E444, "NA")</f>
        <v>2.7167055768513471E-2</v>
      </c>
      <c r="G324" s="2"/>
      <c r="H324" s="14">
        <f t="shared" si="76"/>
        <v>-2470.3199999999988</v>
      </c>
      <c r="I324" s="15">
        <f>IFERROR(H324/H444, "NA")</f>
        <v>0.15949556859906772</v>
      </c>
      <c r="J324" s="2"/>
      <c r="K324" s="14">
        <f>IFERROR(K297+K298+K299+K300+K301+K302+K303+K304+K305+K306+K307+K308+K309+K310+K311+K312+K313+K314+K315+K316+K317+K318+K319+K320+K321+K322+K323, "NA")</f>
        <v>4240.93</v>
      </c>
      <c r="L324" s="15">
        <f>IFERROR(K324/K444, "NA")</f>
        <v>4.1581263199033415E-2</v>
      </c>
      <c r="M324" s="2"/>
      <c r="N324" s="14">
        <f t="shared" si="77"/>
        <v>-1498.9399999999987</v>
      </c>
      <c r="O324" s="15">
        <f>IFERROR(N324/N444, "NA")</f>
        <v>-0.52225872875952428</v>
      </c>
      <c r="P324" s="2"/>
      <c r="Q324" s="14">
        <f>IFERROR(Q297+Q298+Q299+Q300+Q301+Q302+Q303+Q304+Q305+Q306+Q307+Q308+Q309+Q310+Q311+Q312+Q313+Q314+Q315+Q316+Q317+Q318+Q319+Q320+Q321+Q322+Q323, "NA")</f>
        <v>40211.86</v>
      </c>
      <c r="R324" s="15">
        <f>IFERROR(Q324/Q444, "NA")</f>
        <v>5.0808914162644964E-2</v>
      </c>
      <c r="S324" s="2"/>
      <c r="T324" s="14">
        <f>IFERROR(T297+T298+T299+T300+T301+T302+T303+T304+T305+T306+T307+T308+T309+T310+T311+T312+T313+T314+T315+T316+T317+T318+T319+T320+T321+T322+T323, "NA")</f>
        <v>22540.309999999998</v>
      </c>
      <c r="U324" s="15">
        <f>IFERROR(T324/T444, "NA")</f>
        <v>2.7629934261151089E-2</v>
      </c>
      <c r="V324" s="2"/>
      <c r="W324" s="14">
        <f t="shared" si="78"/>
        <v>-17671.550000000003</v>
      </c>
      <c r="X324" s="15">
        <f>IFERROR(W324/W444, "NA")</f>
        <v>0.72543487381331984</v>
      </c>
      <c r="Y324" s="2"/>
      <c r="Z324" s="14">
        <f>IFERROR(Z297+Z298+Z299+Z300+Z301+Z302+Z303+Z304+Z305+Z306+Z307+Z308+Z309+Z310+Z311+Z312+Z313+Z314+Z315+Z316+Z317+Z318+Z319+Z320+Z321+Z322+Z323, "NA")</f>
        <v>30743.119999999999</v>
      </c>
      <c r="AA324" s="15">
        <f>IFERROR(Z324/Z444, "NA")</f>
        <v>4.3366736343572784E-2</v>
      </c>
      <c r="AB324" s="2"/>
      <c r="AC324" s="14">
        <f t="shared" si="79"/>
        <v>-9468.7400000000016</v>
      </c>
      <c r="AD324" s="15">
        <f>IFERROR(AC324/AC444, "NA")</f>
        <v>-0.11474060386309225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23124.449999999993</v>
      </c>
      <c r="C325" s="15">
        <f>IFERROR(B325/B444, "NA")</f>
        <v>0.22052378051501842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21786.86</v>
      </c>
      <c r="F325" s="15">
        <f>IFERROR(E325/E444, "NA")</f>
        <v>0.18102945073199533</v>
      </c>
      <c r="G325" s="2"/>
      <c r="H325" s="14">
        <f t="shared" si="76"/>
        <v>-1337.5899999999929</v>
      </c>
      <c r="I325" s="15">
        <f>IFERROR(H325/H444, "NA")</f>
        <v>8.6361150621144606E-2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17787.349999999999</v>
      </c>
      <c r="L325" s="15">
        <f>IFERROR(K325/K444, "NA")</f>
        <v>0.17440053996725408</v>
      </c>
      <c r="M325" s="2"/>
      <c r="N325" s="14">
        <f t="shared" si="77"/>
        <v>-5337.0999999999949</v>
      </c>
      <c r="O325" s="15">
        <f>IFERROR(N325/N444, "NA")</f>
        <v>-1.859545452961731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186736.59000000003</v>
      </c>
      <c r="R325" s="15">
        <f>IFERROR(Q325/Q444, "NA")</f>
        <v>0.23594738896273454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149673.31</v>
      </c>
      <c r="U325" s="15">
        <f>IFERROR(T325/T444, "NA")</f>
        <v>0.18346969123090534</v>
      </c>
      <c r="V325" s="2"/>
      <c r="W325" s="14">
        <f t="shared" si="78"/>
        <v>-37063.280000000028</v>
      </c>
      <c r="X325" s="15">
        <f>IFERROR(W325/W444, "NA")</f>
        <v>1.5214848640842347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128122.05</v>
      </c>
      <c r="AA325" s="15">
        <f>IFERROR(Z325/Z444, "NA")</f>
        <v>0.18073101110583603</v>
      </c>
      <c r="AB325" s="2"/>
      <c r="AC325" s="14">
        <f t="shared" si="79"/>
        <v>-58614.540000000023</v>
      </c>
      <c r="AD325" s="15">
        <f>IFERROR(AC325/AC444, "NA")</f>
        <v>-0.71028116885217851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0.12899379257283036</v>
      </c>
      <c r="D329" s="9"/>
      <c r="E329" s="7">
        <v>12484</v>
      </c>
      <c r="F329" s="8">
        <f>IFERROR(E329/E444, "NA")</f>
        <v>0.10373094897283178</v>
      </c>
      <c r="G329" s="9"/>
      <c r="H329" s="10">
        <f t="shared" si="80"/>
        <v>-1042.4799999999996</v>
      </c>
      <c r="I329" s="8">
        <f>IFERROR(H329/H444, "NA")</f>
        <v>6.7307450189917142E-2</v>
      </c>
      <c r="J329" s="9"/>
      <c r="K329" s="7">
        <v>13132.5</v>
      </c>
      <c r="L329" s="8">
        <f>IFERROR(K329/K444, "NA")</f>
        <v>0.12876089418153713</v>
      </c>
      <c r="M329" s="9"/>
      <c r="N329" s="10">
        <f t="shared" si="81"/>
        <v>-393.97999999999956</v>
      </c>
      <c r="O329" s="8">
        <f>IFERROR(N329/N444, "NA")</f>
        <v>-0.13727000010452542</v>
      </c>
      <c r="P329" s="9"/>
      <c r="Q329" s="7">
        <v>92321.48</v>
      </c>
      <c r="R329" s="8">
        <f>IFERROR(Q329/Q444, "NA")</f>
        <v>0.11665101173356178</v>
      </c>
      <c r="S329" s="9"/>
      <c r="T329" s="7">
        <v>91276</v>
      </c>
      <c r="U329" s="8">
        <f>IFERROR(T329/T444, "NA")</f>
        <v>0.11188621095365711</v>
      </c>
      <c r="V329" s="9"/>
      <c r="W329" s="10">
        <f t="shared" si="82"/>
        <v>-1045.4799999999959</v>
      </c>
      <c r="X329" s="8">
        <f>IFERROR(W329/W444, "NA")</f>
        <v>4.2918003903129415E-2</v>
      </c>
      <c r="Y329" s="9"/>
      <c r="Z329" s="7">
        <v>89632.5</v>
      </c>
      <c r="AA329" s="8">
        <f>IFERROR(Z329/Z444, "NA")</f>
        <v>0.12643703681718993</v>
      </c>
      <c r="AB329" s="9"/>
      <c r="AC329" s="10">
        <f t="shared" si="83"/>
        <v>-2688.9799999999959</v>
      </c>
      <c r="AD329" s="8">
        <f>IFERROR(AC329/AC444, "NA")</f>
        <v>-3.2584608826071608E-2</v>
      </c>
    </row>
    <row r="330" spans="1:30" ht="16.5" customHeight="1" x14ac:dyDescent="0.45">
      <c r="A330" s="6" t="s">
        <v>301</v>
      </c>
      <c r="B330" s="7">
        <v>2217.7800000000002</v>
      </c>
      <c r="C330" s="8">
        <f>IFERROR(B330/B444, "NA")</f>
        <v>2.1149615664398408E-2</v>
      </c>
      <c r="D330" s="9"/>
      <c r="E330" s="7">
        <v>1875</v>
      </c>
      <c r="F330" s="8">
        <f>IFERROR(E330/E444, "NA")</f>
        <v>1.5579584213718327E-2</v>
      </c>
      <c r="G330" s="9"/>
      <c r="H330" s="10">
        <f t="shared" si="80"/>
        <v>-342.7800000000002</v>
      </c>
      <c r="I330" s="8">
        <f>IFERROR(H330/H444, "NA")</f>
        <v>2.2131501588615439E-2</v>
      </c>
      <c r="J330" s="9"/>
      <c r="K330" s="7">
        <v>2239.62</v>
      </c>
      <c r="L330" s="8">
        <f>IFERROR(K330/K444, "NA")</f>
        <v>2.195891672011073E-2</v>
      </c>
      <c r="M330" s="9"/>
      <c r="N330" s="10">
        <f t="shared" si="81"/>
        <v>21.839999999999691</v>
      </c>
      <c r="O330" s="8">
        <f>IFERROR(N330/N444, "NA")</f>
        <v>7.6094644456134739E-3</v>
      </c>
      <c r="P330" s="9"/>
      <c r="Q330" s="7">
        <v>14973.78</v>
      </c>
      <c r="R330" s="8">
        <f>IFERROR(Q330/Q444, "NA")</f>
        <v>1.8919828695074786E-2</v>
      </c>
      <c r="S330" s="9"/>
      <c r="T330" s="7">
        <v>13125</v>
      </c>
      <c r="U330" s="8">
        <f>IFERROR(T330/T444, "NA")</f>
        <v>1.6088637963613102E-2</v>
      </c>
      <c r="V330" s="9"/>
      <c r="W330" s="10">
        <f t="shared" si="82"/>
        <v>-1848.7800000000007</v>
      </c>
      <c r="X330" s="8">
        <f>IFERROR(W330/W444, "NA")</f>
        <v>7.5894275601664243E-2</v>
      </c>
      <c r="Y330" s="9"/>
      <c r="Z330" s="7">
        <v>14218.86</v>
      </c>
      <c r="AA330" s="8">
        <f>IFERROR(Z330/Z444, "NA")</f>
        <v>2.0057351131771057E-2</v>
      </c>
      <c r="AB330" s="9"/>
      <c r="AC330" s="10">
        <f t="shared" si="83"/>
        <v>-754.92000000000007</v>
      </c>
      <c r="AD330" s="8">
        <f>IFERROR(AC330/AC444, "NA")</f>
        <v>-9.1479939958564287E-3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1.7165502527715611E-3</v>
      </c>
      <c r="D332" s="9"/>
      <c r="E332" s="7">
        <v>180</v>
      </c>
      <c r="F332" s="8">
        <f>IFERROR(E332/E444, "NA")</f>
        <v>1.4956400845169593E-3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1.764855202945112E-3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1260</v>
      </c>
      <c r="R332" s="8">
        <f>IFERROR(Q332/Q444, "NA")</f>
        <v>1.5920485111838311E-3</v>
      </c>
      <c r="S332" s="9"/>
      <c r="T332" s="7">
        <v>1260</v>
      </c>
      <c r="U332" s="8">
        <f>IFERROR(T332/T444, "NA")</f>
        <v>1.5445092445068578E-3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1260</v>
      </c>
      <c r="AA332" s="8">
        <f>IFERROR(Z332/Z444, "NA")</f>
        <v>1.7773761346571756E-3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1024.7</v>
      </c>
      <c r="C333" s="8">
        <f>IFERROR(B333/B444, "NA")</f>
        <v>9.771939133416771E-3</v>
      </c>
      <c r="D333" s="9"/>
      <c r="E333" s="7">
        <v>1254</v>
      </c>
      <c r="F333" s="8">
        <f>IFERROR(E333/E444, "NA")</f>
        <v>1.0419625922134816E-2</v>
      </c>
      <c r="G333" s="9"/>
      <c r="H333" s="10">
        <f t="shared" si="80"/>
        <v>229.29999999999995</v>
      </c>
      <c r="I333" s="8">
        <f>IFERROR(H333/H444, "NA")</f>
        <v>-1.4804694889636257E-2</v>
      </c>
      <c r="J333" s="9"/>
      <c r="K333" s="7">
        <v>1254</v>
      </c>
      <c r="L333" s="8">
        <f>IFERROR(K333/K444, "NA")</f>
        <v>1.2295157913850947E-2</v>
      </c>
      <c r="M333" s="9"/>
      <c r="N333" s="10">
        <f t="shared" si="81"/>
        <v>229.29999999999995</v>
      </c>
      <c r="O333" s="8">
        <f>IFERROR(N333/N444, "NA")</f>
        <v>7.9892408304908138E-2</v>
      </c>
      <c r="P333" s="9"/>
      <c r="Q333" s="7">
        <v>7172.84</v>
      </c>
      <c r="R333" s="8">
        <f>IFERROR(Q333/Q444, "NA")</f>
        <v>9.0631025737776434E-3</v>
      </c>
      <c r="S333" s="9"/>
      <c r="T333" s="7">
        <v>8778</v>
      </c>
      <c r="U333" s="8">
        <f>IFERROR(T333/T444, "NA")</f>
        <v>1.0760081070064443E-2</v>
      </c>
      <c r="V333" s="9"/>
      <c r="W333" s="10">
        <f t="shared" si="82"/>
        <v>1605.1599999999999</v>
      </c>
      <c r="X333" s="8">
        <f>IFERROR(W333/W444, "NA")</f>
        <v>-6.5893429950977037E-2</v>
      </c>
      <c r="Y333" s="9"/>
      <c r="Z333" s="7">
        <v>5271.41</v>
      </c>
      <c r="AA333" s="8">
        <f>IFERROR(Z333/Z444, "NA")</f>
        <v>7.4359351825342718E-3</v>
      </c>
      <c r="AB333" s="9"/>
      <c r="AC333" s="10">
        <f t="shared" si="83"/>
        <v>-1901.4300000000003</v>
      </c>
      <c r="AD333" s="8">
        <f>IFERROR(AC333/AC444, "NA")</f>
        <v>-2.3041209960712777E-2</v>
      </c>
    </row>
    <row r="334" spans="1:30" ht="16.5" customHeight="1" x14ac:dyDescent="0.45">
      <c r="A334" s="6" t="s">
        <v>305</v>
      </c>
      <c r="B334" s="7">
        <v>-1041.54</v>
      </c>
      <c r="C334" s="8">
        <f>IFERROR(B334/B444, "NA")</f>
        <v>-9.9325319459538427E-3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1041.54</v>
      </c>
      <c r="I334" s="8">
        <f>IFERROR(H334/H444, "NA")</f>
        <v>-6.7246759334285866E-2</v>
      </c>
      <c r="J334" s="9"/>
      <c r="K334" s="7">
        <v>-1011.2</v>
      </c>
      <c r="L334" s="8">
        <f>IFERROR(K334/K444, "NA")</f>
        <v>-9.9145643401005405E-3</v>
      </c>
      <c r="M334" s="9"/>
      <c r="N334" s="10">
        <f t="shared" si="81"/>
        <v>30.339999999999918</v>
      </c>
      <c r="O334" s="8">
        <f>IFERROR(N334/N444, "NA")</f>
        <v>1.0571023410252537E-2</v>
      </c>
      <c r="P334" s="9"/>
      <c r="Q334" s="7">
        <v>-1041.54</v>
      </c>
      <c r="R334" s="8">
        <f>IFERROR(Q334/Q444, "NA")</f>
        <v>-1.3160176240781011E-3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1041.54</v>
      </c>
      <c r="X334" s="8">
        <f>IFERROR(W334/W444, "NA")</f>
        <v>-4.2756262946460559E-2</v>
      </c>
      <c r="Y334" s="9"/>
      <c r="Z334" s="7">
        <v>-1011.2</v>
      </c>
      <c r="AA334" s="8">
        <f>IFERROR(Z334/Z444, "NA")</f>
        <v>-1.426414878861378E-3</v>
      </c>
      <c r="AB334" s="9"/>
      <c r="AC334" s="10">
        <f t="shared" si="83"/>
        <v>30.339999999999918</v>
      </c>
      <c r="AD334" s="8">
        <f>IFERROR(AC334/AC444, "NA")</f>
        <v>3.6765503342643359E-4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1312.53</v>
      </c>
      <c r="F337" s="8">
        <f>IFERROR(E337/E444, "NA")</f>
        <v>1.0905958222950249E-2</v>
      </c>
      <c r="G337" s="9"/>
      <c r="H337" s="10">
        <f t="shared" ref="H337:H344" si="84">IFERROR(-(B337-E337), "NA")</f>
        <v>1312.53</v>
      </c>
      <c r="I337" s="8">
        <f>IFERROR(H337/H444, "NA")</f>
        <v>-8.4743158235910512E-2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10132.870000000001</v>
      </c>
      <c r="U337" s="8">
        <f>IFERROR(T337/T444, "NA")</f>
        <v>1.2420882054274766E-2</v>
      </c>
      <c r="V337" s="9"/>
      <c r="W337" s="10">
        <f t="shared" ref="W337:W344" si="86">IFERROR(-(Q337-T337), "NA")</f>
        <v>10132.870000000001</v>
      </c>
      <c r="X337" s="8">
        <f>IFERROR(W337/W444, "NA")</f>
        <v>-0.41596448923930124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575</v>
      </c>
      <c r="C338" s="8">
        <f>IFERROR(B338/B444, "NA")</f>
        <v>5.4834244185758205E-3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-575</v>
      </c>
      <c r="I338" s="8">
        <f>IFERROR(H338/H444, "NA")</f>
        <v>3.7124725519148929E-2</v>
      </c>
      <c r="J338" s="9"/>
      <c r="K338" s="7">
        <v>400</v>
      </c>
      <c r="L338" s="8">
        <f>IFERROR(K338/K444, "NA")</f>
        <v>3.9219004509891374E-3</v>
      </c>
      <c r="M338" s="9"/>
      <c r="N338" s="10">
        <f t="shared" si="85"/>
        <v>-175</v>
      </c>
      <c r="O338" s="8">
        <f>IFERROR(N338/N444, "NA")</f>
        <v>-6.0973272801390872E-2</v>
      </c>
      <c r="P338" s="9"/>
      <c r="Q338" s="7">
        <v>2669.05</v>
      </c>
      <c r="R338" s="8">
        <f>IFERROR(Q338/Q444, "NA")</f>
        <v>3.3724262529961943E-3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-2669.05</v>
      </c>
      <c r="X338" s="8">
        <f>IFERROR(W338/W444, "NA")</f>
        <v>0.10956718284199413</v>
      </c>
      <c r="Y338" s="9"/>
      <c r="Z338" s="7">
        <v>2674.69</v>
      </c>
      <c r="AA338" s="8">
        <f>IFERROR(Z338/Z444, "NA")</f>
        <v>3.772960455243017E-3</v>
      </c>
      <c r="AB338" s="9"/>
      <c r="AC338" s="10">
        <f t="shared" si="87"/>
        <v>5.6399999999998727</v>
      </c>
      <c r="AD338" s="8">
        <f>IFERROR(AC338/AC444, "NA")</f>
        <v>6.8344574440509044E-5</v>
      </c>
    </row>
    <row r="339" spans="1:30" ht="16.5" customHeight="1" x14ac:dyDescent="0.45">
      <c r="A339" s="12" t="s">
        <v>309</v>
      </c>
      <c r="B339" s="7">
        <v>342.68</v>
      </c>
      <c r="C339" s="8">
        <f>IFERROR(B339/B444, "NA")</f>
        <v>3.2679302256653255E-3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-342.68</v>
      </c>
      <c r="I339" s="8">
        <f>IFERROR(H339/H444, "NA")</f>
        <v>2.2125045114612097E-2</v>
      </c>
      <c r="J339" s="9"/>
      <c r="K339" s="7">
        <v>342.6</v>
      </c>
      <c r="L339" s="8">
        <f>IFERROR(K339/K444, "NA")</f>
        <v>3.3591077362721969E-3</v>
      </c>
      <c r="M339" s="9"/>
      <c r="N339" s="10">
        <f t="shared" si="85"/>
        <v>-7.9999999999984084E-2</v>
      </c>
      <c r="O339" s="8">
        <f>IFERROR(N339/N444, "NA")</f>
        <v>-2.787349613777314E-5</v>
      </c>
      <c r="P339" s="9"/>
      <c r="Q339" s="7">
        <v>2434.65</v>
      </c>
      <c r="R339" s="8">
        <f>IFERROR(Q339/Q444, "NA")</f>
        <v>3.0762546886934244E-3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-2434.65</v>
      </c>
      <c r="X339" s="8">
        <f>IFERROR(W339/W444, "NA")</f>
        <v>9.9944827450314147E-2</v>
      </c>
      <c r="Y339" s="9"/>
      <c r="Z339" s="7">
        <v>2329.23</v>
      </c>
      <c r="AA339" s="8">
        <f>IFERROR(Z339/Z444, "NA")</f>
        <v>3.2856490588313758E-3</v>
      </c>
      <c r="AB339" s="9"/>
      <c r="AC339" s="10">
        <f t="shared" si="87"/>
        <v>-105.42000000000007</v>
      </c>
      <c r="AD339" s="8">
        <f>IFERROR(AC339/AC444, "NA")</f>
        <v>-1.2774618860848636E-3</v>
      </c>
    </row>
    <row r="340" spans="1:30" ht="16.5" customHeight="1" x14ac:dyDescent="0.45">
      <c r="A340" s="12" t="s">
        <v>310</v>
      </c>
      <c r="B340" s="7">
        <v>1190</v>
      </c>
      <c r="C340" s="8">
        <f>IFERROR(B340/B444, "NA")</f>
        <v>1.1348304448878655E-2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-1190</v>
      </c>
      <c r="I340" s="8">
        <f>IFERROR(H340/H444, "NA")</f>
        <v>7.6832040639629964E-2</v>
      </c>
      <c r="J340" s="9"/>
      <c r="K340" s="7">
        <v>375</v>
      </c>
      <c r="L340" s="8">
        <f>IFERROR(K340/K444, "NA")</f>
        <v>3.6767816728023165E-3</v>
      </c>
      <c r="M340" s="9"/>
      <c r="N340" s="10">
        <f t="shared" si="85"/>
        <v>-815</v>
      </c>
      <c r="O340" s="8">
        <f>IFERROR(N340/N444, "NA")</f>
        <v>-0.28396124190362038</v>
      </c>
      <c r="P340" s="9"/>
      <c r="Q340" s="7">
        <v>3729.18</v>
      </c>
      <c r="R340" s="8">
        <f>IFERROR(Q340/Q444, "NA")</f>
        <v>4.711932910267079E-3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-3729.18</v>
      </c>
      <c r="X340" s="8">
        <f>IFERROR(W340/W444, "NA")</f>
        <v>0.1530865839571037</v>
      </c>
      <c r="Y340" s="9"/>
      <c r="Z340" s="7">
        <v>2696.05</v>
      </c>
      <c r="AA340" s="8">
        <f>IFERROR(Z340/Z444, "NA")</f>
        <v>3.8030912125733957E-3</v>
      </c>
      <c r="AB340" s="9"/>
      <c r="AC340" s="10">
        <f t="shared" si="87"/>
        <v>-1033.1299999999997</v>
      </c>
      <c r="AD340" s="8">
        <f>IFERROR(AC340/AC444, "NA")</f>
        <v>-1.2519296133284516E-2</v>
      </c>
    </row>
    <row r="341" spans="1:30" ht="16.5" customHeight="1" x14ac:dyDescent="0.45">
      <c r="A341" s="12" t="s">
        <v>311</v>
      </c>
      <c r="B341" s="7">
        <v>471.16</v>
      </c>
      <c r="C341" s="8">
        <f>IFERROR(B341/B444, "NA")</f>
        <v>4.4931656505324937E-3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-471.16</v>
      </c>
      <c r="I341" s="8">
        <f>IFERROR(H341/H444, "NA")</f>
        <v>3.0420322914090799E-2</v>
      </c>
      <c r="J341" s="9"/>
      <c r="K341" s="7">
        <v>439.96</v>
      </c>
      <c r="L341" s="8">
        <f>IFERROR(K341/K444, "NA")</f>
        <v>4.3136983060429526E-3</v>
      </c>
      <c r="M341" s="9"/>
      <c r="N341" s="10">
        <f t="shared" si="85"/>
        <v>-31.200000000000045</v>
      </c>
      <c r="O341" s="8">
        <f>IFERROR(N341/N444, "NA")</f>
        <v>-1.0870663493733704E-2</v>
      </c>
      <c r="P341" s="9"/>
      <c r="Q341" s="7">
        <v>3300.72</v>
      </c>
      <c r="R341" s="8">
        <f>IFERROR(Q341/Q444, "NA")</f>
        <v>4.1705606046307103E-3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-3300.72</v>
      </c>
      <c r="X341" s="8">
        <f>IFERROR(W341/W444, "NA")</f>
        <v>0.13549787068441085</v>
      </c>
      <c r="Y341" s="9"/>
      <c r="Z341" s="7">
        <v>3084.37</v>
      </c>
      <c r="AA341" s="8">
        <f>IFERROR(Z341/Z444, "NA")</f>
        <v>4.3508616098829785E-3</v>
      </c>
      <c r="AB341" s="9"/>
      <c r="AC341" s="10">
        <f t="shared" si="87"/>
        <v>-216.34999999999991</v>
      </c>
      <c r="AD341" s="8">
        <f>IFERROR(AC341/AC444, "NA")</f>
        <v>-2.6216930284050457E-3</v>
      </c>
    </row>
    <row r="342" spans="1:30" ht="16.5" customHeight="1" x14ac:dyDescent="0.45">
      <c r="A342" s="13" t="s">
        <v>312</v>
      </c>
      <c r="B342" s="14">
        <f>IFERROR(B337+B338+B339+B340+B341, "NA")</f>
        <v>2578.84</v>
      </c>
      <c r="C342" s="15">
        <f>IFERROR(B342/B444, "NA")</f>
        <v>2.4592824743652295E-2</v>
      </c>
      <c r="D342" s="2"/>
      <c r="E342" s="14">
        <f>IFERROR(E337+E338+E339+E340+E341, "NA")</f>
        <v>1312.53</v>
      </c>
      <c r="F342" s="15">
        <f>IFERROR(E342/E444, "NA")</f>
        <v>1.0905958222950249E-2</v>
      </c>
      <c r="G342" s="2"/>
      <c r="H342" s="14">
        <f t="shared" si="84"/>
        <v>-1266.3100000000002</v>
      </c>
      <c r="I342" s="15">
        <f>IFERROR(H342/H444, "NA")</f>
        <v>8.1758975951571278E-2</v>
      </c>
      <c r="J342" s="2"/>
      <c r="K342" s="14">
        <f>IFERROR(K337+K338+K339+K340+K341, "NA")</f>
        <v>1557.56</v>
      </c>
      <c r="L342" s="15">
        <f>IFERROR(K342/K444, "NA")</f>
        <v>1.5271488166106604E-2</v>
      </c>
      <c r="M342" s="2"/>
      <c r="N342" s="14">
        <f t="shared" si="85"/>
        <v>-1021.2800000000002</v>
      </c>
      <c r="O342" s="15">
        <f>IFERROR(N342/N444, "NA")</f>
        <v>-0.35583305169488277</v>
      </c>
      <c r="P342" s="2"/>
      <c r="Q342" s="14">
        <f>IFERROR(Q337+Q338+Q339+Q340+Q341, "NA")</f>
        <v>12133.6</v>
      </c>
      <c r="R342" s="15">
        <f>IFERROR(Q342/Q444, "NA")</f>
        <v>1.5331174456587408E-2</v>
      </c>
      <c r="S342" s="2"/>
      <c r="T342" s="14">
        <f>IFERROR(T337+T338+T339+T340+T341, "NA")</f>
        <v>10132.870000000001</v>
      </c>
      <c r="U342" s="15">
        <f>IFERROR(T342/T444, "NA")</f>
        <v>1.2420882054274766E-2</v>
      </c>
      <c r="V342" s="2"/>
      <c r="W342" s="14">
        <f t="shared" si="86"/>
        <v>-2000.7299999999996</v>
      </c>
      <c r="X342" s="15">
        <f>IFERROR(W342/W444, "NA")</f>
        <v>8.2131975694521589E-2</v>
      </c>
      <c r="Y342" s="2"/>
      <c r="Z342" s="14">
        <f>IFERROR(Z337+Z338+Z339+Z340+Z341, "NA")</f>
        <v>10784.34</v>
      </c>
      <c r="AA342" s="15">
        <f>IFERROR(Z342/Z444, "NA")</f>
        <v>1.5212562336530767E-2</v>
      </c>
      <c r="AB342" s="2"/>
      <c r="AC342" s="14">
        <f t="shared" si="87"/>
        <v>-1349.2600000000002</v>
      </c>
      <c r="AD342" s="15">
        <f>IFERROR(AC342/AC444, "NA")</f>
        <v>-1.6350106473333924E-2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18486.259999999998</v>
      </c>
      <c r="C343" s="15">
        <f>IFERROR(B343/B444, "NA")</f>
        <v>0.17629219042111555</v>
      </c>
      <c r="D343" s="2"/>
      <c r="E343" s="14">
        <f>IFERROR(E328+E329+E330+E331+E332+E333+E334+E335+E337+E338+E339+E340+E341, "NA")</f>
        <v>17105.53</v>
      </c>
      <c r="F343" s="15">
        <f>IFERROR(E343/E444, "NA")</f>
        <v>0.14213175741615214</v>
      </c>
      <c r="G343" s="2"/>
      <c r="H343" s="14">
        <f t="shared" si="84"/>
        <v>-1380.7299999999996</v>
      </c>
      <c r="I343" s="15">
        <f>IFERROR(H343/H444, "NA")</f>
        <v>8.9146473506181712E-2</v>
      </c>
      <c r="J343" s="2"/>
      <c r="K343" s="14">
        <f>IFERROR(K328+K329+K330+K331+K332+K333+K334+K335+K337+K338+K339+K340+K341, "NA")</f>
        <v>17352.479999999996</v>
      </c>
      <c r="L343" s="15">
        <f>IFERROR(K343/K444, "NA")</f>
        <v>0.17013674784444993</v>
      </c>
      <c r="M343" s="2"/>
      <c r="N343" s="14">
        <f t="shared" si="85"/>
        <v>-1133.7800000000025</v>
      </c>
      <c r="O343" s="15">
        <f>IFERROR(N343/N444, "NA")</f>
        <v>-0.39503015563863486</v>
      </c>
      <c r="P343" s="2"/>
      <c r="Q343" s="14">
        <f>IFERROR(Q328+Q329+Q330+Q331+Q332+Q333+Q334+Q335+Q337+Q338+Q339+Q340+Q341, "NA")</f>
        <v>126820.15999999999</v>
      </c>
      <c r="R343" s="15">
        <f>IFERROR(Q343/Q444, "NA")</f>
        <v>0.16024114834610734</v>
      </c>
      <c r="S343" s="2"/>
      <c r="T343" s="14">
        <f>IFERROR(T328+T329+T330+T331+T332+T333+T334+T335+T337+T338+T339+T340+T341, "NA")</f>
        <v>124571.87</v>
      </c>
      <c r="U343" s="15">
        <f>IFERROR(T343/T444, "NA")</f>
        <v>0.15270032128611627</v>
      </c>
      <c r="V343" s="2"/>
      <c r="W343" s="14">
        <f t="shared" si="86"/>
        <v>-2248.2899999999936</v>
      </c>
      <c r="X343" s="15">
        <f>IFERROR(W343/W444, "NA")</f>
        <v>9.2294562301877534E-2</v>
      </c>
      <c r="Y343" s="2"/>
      <c r="Z343" s="14">
        <f>IFERROR(Z328+Z329+Z330+Z331+Z332+Z333+Z334+Z335+Z337+Z338+Z339+Z340+Z341, "NA")</f>
        <v>120155.91</v>
      </c>
      <c r="AA343" s="15">
        <f>IFERROR(Z343/Z444, "NA")</f>
        <v>0.16949384672382181</v>
      </c>
      <c r="AB343" s="2"/>
      <c r="AC343" s="14">
        <f t="shared" si="87"/>
        <v>-6664.2499999999854</v>
      </c>
      <c r="AD343" s="15">
        <f>IFERROR(AC343/AC444, "NA")</f>
        <v>-8.0756264222548169E-2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18486.259999999998</v>
      </c>
      <c r="C344" s="15">
        <f>IFERROR(B344/B444, "NA")</f>
        <v>0.17629219042111555</v>
      </c>
      <c r="D344" s="2"/>
      <c r="E344" s="14">
        <f>IFERROR(E328+E329+E330+E331+E332+E333+E334+E335+E337+E338+E339+E340+E341, "NA")</f>
        <v>17105.53</v>
      </c>
      <c r="F344" s="15">
        <f>IFERROR(E344/E444, "NA")</f>
        <v>0.14213175741615214</v>
      </c>
      <c r="G344" s="2"/>
      <c r="H344" s="14">
        <f t="shared" si="84"/>
        <v>-1380.7299999999996</v>
      </c>
      <c r="I344" s="15">
        <f>IFERROR(H344/H444, "NA")</f>
        <v>8.9146473506181712E-2</v>
      </c>
      <c r="J344" s="2"/>
      <c r="K344" s="14">
        <f>IFERROR(K328+K329+K330+K331+K332+K333+K334+K335+K337+K338+K339+K340+K341, "NA")</f>
        <v>17352.479999999996</v>
      </c>
      <c r="L344" s="15">
        <f>IFERROR(K344/K444, "NA")</f>
        <v>0.17013674784444993</v>
      </c>
      <c r="M344" s="2"/>
      <c r="N344" s="14">
        <f t="shared" si="85"/>
        <v>-1133.7800000000025</v>
      </c>
      <c r="O344" s="15">
        <f>IFERROR(N344/N444, "NA")</f>
        <v>-0.39503015563863486</v>
      </c>
      <c r="P344" s="2"/>
      <c r="Q344" s="14">
        <f>IFERROR(Q328+Q329+Q330+Q331+Q332+Q333+Q334+Q335+Q337+Q338+Q339+Q340+Q341, "NA")</f>
        <v>126820.15999999999</v>
      </c>
      <c r="R344" s="15">
        <f>IFERROR(Q344/Q444, "NA")</f>
        <v>0.16024114834610734</v>
      </c>
      <c r="S344" s="2"/>
      <c r="T344" s="14">
        <f>IFERROR(T328+T329+T330+T331+T332+T333+T334+T335+T337+T338+T339+T340+T341, "NA")</f>
        <v>124571.87</v>
      </c>
      <c r="U344" s="15">
        <f>IFERROR(T344/T444, "NA")</f>
        <v>0.15270032128611627</v>
      </c>
      <c r="V344" s="2"/>
      <c r="W344" s="14">
        <f t="shared" si="86"/>
        <v>-2248.2899999999936</v>
      </c>
      <c r="X344" s="15">
        <f>IFERROR(W344/W444, "NA")</f>
        <v>9.2294562301877534E-2</v>
      </c>
      <c r="Y344" s="2"/>
      <c r="Z344" s="14">
        <f>IFERROR(Z328+Z329+Z330+Z331+Z332+Z333+Z334+Z335+Z337+Z338+Z339+Z340+Z341, "NA")</f>
        <v>120155.91</v>
      </c>
      <c r="AA344" s="15">
        <f>IFERROR(Z344/Z444, "NA")</f>
        <v>0.16949384672382181</v>
      </c>
      <c r="AB344" s="2"/>
      <c r="AC344" s="14">
        <f t="shared" si="87"/>
        <v>-6664.2499999999854</v>
      </c>
      <c r="AD344" s="15">
        <f>IFERROR(AC344/AC444, "NA")</f>
        <v>-8.0756264222548169E-2</v>
      </c>
    </row>
    <row r="345" spans="1:30" ht="16.5" customHeight="1" x14ac:dyDescent="0.45">
      <c r="A345" s="22" t="s">
        <v>315</v>
      </c>
      <c r="B345" s="23">
        <f>IFERROR(B198-B325-B344, "NA")</f>
        <v>5542.8999999999942</v>
      </c>
      <c r="C345" s="24">
        <f>IFERROR(B345/B444, "NA")</f>
        <v>5.2859257756041535E-2</v>
      </c>
      <c r="D345" s="25"/>
      <c r="E345" s="23">
        <f>IFERROR(E198-E325-E344, "NA")</f>
        <v>19412.80999999999</v>
      </c>
      <c r="F345" s="24">
        <f>IFERROR(E345/E444, "NA")</f>
        <v>0.16130320438395368</v>
      </c>
      <c r="G345" s="25"/>
      <c r="H345" s="23">
        <f>IFERROR(B345-E345, "NA")</f>
        <v>-13869.909999999996</v>
      </c>
      <c r="I345" s="24">
        <f>IFERROR(H345/H444, "NA")</f>
        <v>0.89550713343530219</v>
      </c>
      <c r="J345" s="25"/>
      <c r="K345" s="23">
        <f>IFERROR(K198-K325-K344, "NA")</f>
        <v>8856.0300000000134</v>
      </c>
      <c r="L345" s="24">
        <f>IFERROR(K345/K444, "NA")</f>
        <v>8.6831170127433466E-2</v>
      </c>
      <c r="M345" s="25"/>
      <c r="N345" s="23">
        <f>IFERROR(B345-K345, "NA")</f>
        <v>-3313.1300000000192</v>
      </c>
      <c r="O345" s="24">
        <f>IFERROR(N345/N444, "NA")</f>
        <v>-1.1543564532369903</v>
      </c>
      <c r="P345" s="25"/>
      <c r="Q345" s="23">
        <f>IFERROR(Q198-Q325-Q344, "NA")</f>
        <v>28162.89</v>
      </c>
      <c r="R345" s="24">
        <f>IFERROR(Q345/Q444, "NA")</f>
        <v>3.5584672297725398E-2</v>
      </c>
      <c r="S345" s="25"/>
      <c r="T345" s="23">
        <f>IFERROR(T198-T325-T344, "NA")</f>
        <v>104564.15999999997</v>
      </c>
      <c r="U345" s="24">
        <f>IFERROR(T345/T444, "NA")</f>
        <v>0.12817485060642395</v>
      </c>
      <c r="V345" s="25"/>
      <c r="W345" s="23">
        <f>IFERROR(Q345-T345, "NA")</f>
        <v>-76401.269999999975</v>
      </c>
      <c r="X345" s="24">
        <f>IFERROR(W345/W444, "NA")</f>
        <v>3.1363488580021195</v>
      </c>
      <c r="Y345" s="25"/>
      <c r="Z345" s="23">
        <f>IFERROR(Z198-Z325-Z344, "NA")</f>
        <v>45789.859999999724</v>
      </c>
      <c r="AA345" s="24">
        <f>IFERROR(Z345/Z444, "NA")</f>
        <v>6.4591908232772013E-2</v>
      </c>
      <c r="AB345" s="25"/>
      <c r="AC345" s="23">
        <f>IFERROR(Q345-Z345, "NA")</f>
        <v>-17626.969999999725</v>
      </c>
      <c r="AD345" s="24">
        <f>IFERROR(AC345/AC444, "NA")</f>
        <v>-0.21360066725631702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5542.8999999999942</v>
      </c>
      <c r="C404" s="24">
        <f>IFERROR(B404/B444, "NA")</f>
        <v>5.2859257756041535E-2</v>
      </c>
      <c r="D404" s="25"/>
      <c r="E404" s="23">
        <f>IFERROR(E345-E403, "NA")</f>
        <v>19412.80999999999</v>
      </c>
      <c r="F404" s="24">
        <f>IFERROR(E404/E444, "NA")</f>
        <v>0.16130320438395368</v>
      </c>
      <c r="G404" s="25"/>
      <c r="H404" s="23">
        <f>IFERROR(B404-E404, "NA")</f>
        <v>-13869.909999999996</v>
      </c>
      <c r="I404" s="24">
        <f>IFERROR(H404/H444, "NA")</f>
        <v>0.89550713343530219</v>
      </c>
      <c r="J404" s="25"/>
      <c r="K404" s="23">
        <f>IFERROR(K345-K403, "NA")</f>
        <v>8856.0300000000134</v>
      </c>
      <c r="L404" s="24">
        <f>IFERROR(K404/K444, "NA")</f>
        <v>8.6831170127433466E-2</v>
      </c>
      <c r="M404" s="25"/>
      <c r="N404" s="23">
        <f>IFERROR(B404-K404, "NA")</f>
        <v>-3313.1300000000192</v>
      </c>
      <c r="O404" s="24">
        <f>IFERROR(N404/N444, "NA")</f>
        <v>-1.1543564532369903</v>
      </c>
      <c r="P404" s="25"/>
      <c r="Q404" s="23">
        <f>IFERROR(Q345-Q403, "NA")</f>
        <v>28162.89</v>
      </c>
      <c r="R404" s="24">
        <f>IFERROR(Q404/Q444, "NA")</f>
        <v>3.5584672297725398E-2</v>
      </c>
      <c r="S404" s="25"/>
      <c r="T404" s="23">
        <f>IFERROR(T345-T403, "NA")</f>
        <v>104564.15999999997</v>
      </c>
      <c r="U404" s="24">
        <f>IFERROR(T404/T444, "NA")</f>
        <v>0.12817485060642395</v>
      </c>
      <c r="V404" s="25"/>
      <c r="W404" s="23">
        <f>IFERROR(Q404-T404, "NA")</f>
        <v>-76401.269999999975</v>
      </c>
      <c r="X404" s="24">
        <f>IFERROR(W404/W444, "NA")</f>
        <v>3.1363488580021195</v>
      </c>
      <c r="Y404" s="25"/>
      <c r="Z404" s="23">
        <f>IFERROR(Z345-Z403, "NA")</f>
        <v>45789.859999999724</v>
      </c>
      <c r="AA404" s="24">
        <f>IFERROR(Z404/Z444, "NA")</f>
        <v>6.4591908232772013E-2</v>
      </c>
      <c r="AB404" s="25"/>
      <c r="AC404" s="23">
        <f>IFERROR(Q404-Z404, "NA")</f>
        <v>-17626.969999999725</v>
      </c>
      <c r="AD404" s="24">
        <f>IFERROR(AC404/AC444, "NA")</f>
        <v>-0.21360066725631702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1492</v>
      </c>
      <c r="L408" s="8">
        <f>IFERROR(K408/K444, "NA")</f>
        <v>1.4628688682189485E-2</v>
      </c>
      <c r="M408" s="9"/>
      <c r="N408" s="10">
        <f t="shared" si="101"/>
        <v>1492</v>
      </c>
      <c r="O408" s="8">
        <f>IFERROR(N408/N444, "NA")</f>
        <v>0.51984070296957252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1565</v>
      </c>
      <c r="AA408" s="8">
        <f>IFERROR(Z408/Z444, "NA")</f>
        <v>2.2076140085226033E-3</v>
      </c>
      <c r="AB408" s="9"/>
      <c r="AC408" s="10">
        <f t="shared" si="103"/>
        <v>1565</v>
      </c>
      <c r="AD408" s="8">
        <f>IFERROR(AC408/AC444, "NA")</f>
        <v>1.8964407624006925E-2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8211.51</v>
      </c>
      <c r="C410" s="8">
        <f>IFERROR(B410/B444, "NA")</f>
        <v>7.8308164256312235E-2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-8211.51</v>
      </c>
      <c r="I410" s="8">
        <f>IFERROR(H410/H444, "NA")</f>
        <v>0.53017400843086371</v>
      </c>
      <c r="J410" s="9"/>
      <c r="K410" s="7">
        <v>8357.0499999999993</v>
      </c>
      <c r="L410" s="8">
        <f>IFERROR(K410/K444, "NA")</f>
        <v>8.1938795409846929E-2</v>
      </c>
      <c r="M410" s="9"/>
      <c r="N410" s="10">
        <f t="shared" si="101"/>
        <v>145.53999999999905</v>
      </c>
      <c r="O410" s="8">
        <f>IFERROR(N410/N444, "NA")</f>
        <v>5.0708857848653546E-2</v>
      </c>
      <c r="P410" s="9"/>
      <c r="Q410" s="7">
        <v>56856.9</v>
      </c>
      <c r="R410" s="8">
        <f>IFERROR(Q410/Q444, "NA")</f>
        <v>7.1840430948831718E-2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-56856.9</v>
      </c>
      <c r="X410" s="8">
        <f>IFERROR(W410/W444, "NA")</f>
        <v>2.33403284244543</v>
      </c>
      <c r="Y410" s="9"/>
      <c r="Z410" s="7">
        <v>58499.77</v>
      </c>
      <c r="AA410" s="8">
        <f>IFERROR(Z410/Z444, "NA")</f>
        <v>8.2520710381693493E-2</v>
      </c>
      <c r="AB410" s="9"/>
      <c r="AC410" s="10">
        <f t="shared" si="103"/>
        <v>1642.8699999999953</v>
      </c>
      <c r="AD410" s="8">
        <f>IFERROR(AC410/AC444, "NA")</f>
        <v>1.9908023228915127E-2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-35.340000000000003</v>
      </c>
      <c r="C416" s="8">
        <f>IFERROR(B416/B444, "NA")</f>
        <v>-3.3701603296081652E-4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35.340000000000003</v>
      </c>
      <c r="I416" s="8">
        <f>IFERROR(H416/H444, "NA")</f>
        <v>-2.28171791277691E-3</v>
      </c>
      <c r="J416" s="9"/>
      <c r="K416" s="7">
        <v>-42.86</v>
      </c>
      <c r="L416" s="8">
        <f>IFERROR(K416/K444, "NA")</f>
        <v>-4.2023163332348612E-4</v>
      </c>
      <c r="M416" s="9"/>
      <c r="N416" s="10">
        <f t="shared" si="101"/>
        <v>-7.519999999999996</v>
      </c>
      <c r="O416" s="8">
        <f>IFERROR(N416/N444, "NA")</f>
        <v>-2.6201086369511952E-3</v>
      </c>
      <c r="P416" s="9"/>
      <c r="Q416" s="7">
        <v>-198.19</v>
      </c>
      <c r="R416" s="8">
        <f>IFERROR(Q416/Q444, "NA")</f>
        <v>-2.5041912256470116E-4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198.19</v>
      </c>
      <c r="X416" s="8">
        <f>IFERROR(W416/W444, "NA")</f>
        <v>-8.1358985284857212E-3</v>
      </c>
      <c r="Y416" s="9"/>
      <c r="Z416" s="7">
        <v>-253.2</v>
      </c>
      <c r="AA416" s="8">
        <f>IFERROR(Z416/Z444, "NA")</f>
        <v>-3.5716796610729912E-4</v>
      </c>
      <c r="AB416" s="9"/>
      <c r="AC416" s="10">
        <f t="shared" si="103"/>
        <v>-55.009999999999991</v>
      </c>
      <c r="AD416" s="8">
        <f>IFERROR(AC416/AC444, "NA")</f>
        <v>-6.6660195744193027E-4</v>
      </c>
    </row>
    <row r="417" spans="1:30" ht="16.5" customHeight="1" x14ac:dyDescent="0.45">
      <c r="A417" s="6" t="s">
        <v>382</v>
      </c>
      <c r="B417" s="7">
        <v>-260.68</v>
      </c>
      <c r="C417" s="8">
        <f>IFERROR(B417/B444, "NA")</f>
        <v>-2.4859462216249477E-3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260.68</v>
      </c>
      <c r="I417" s="8">
        <f>IFERROR(H417/H444, "NA")</f>
        <v>-1.6830736431881294E-2</v>
      </c>
      <c r="J417" s="9"/>
      <c r="K417" s="7">
        <v>39.380000000000003</v>
      </c>
      <c r="L417" s="8">
        <f>IFERROR(K417/K444, "NA")</f>
        <v>3.8611109939988065E-4</v>
      </c>
      <c r="M417" s="9"/>
      <c r="N417" s="10">
        <f t="shared" si="101"/>
        <v>300.06</v>
      </c>
      <c r="O417" s="8">
        <f>IFERROR(N417/N444, "NA")</f>
        <v>0.1045465156387734</v>
      </c>
      <c r="P417" s="9"/>
      <c r="Q417" s="7">
        <v>-537.33000000000004</v>
      </c>
      <c r="R417" s="8">
        <f>IFERROR(Q417/Q444, "NA")</f>
        <v>-6.7893287818603814E-4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537.33000000000004</v>
      </c>
      <c r="X417" s="8">
        <f>IFERROR(W417/W444, "NA")</f>
        <v>-2.2057936103290945E-2</v>
      </c>
      <c r="Y417" s="9"/>
      <c r="Z417" s="7">
        <v>39.380000000000003</v>
      </c>
      <c r="AA417" s="8">
        <f>IFERROR(Z417/Z444, "NA")</f>
        <v>5.5550057287936176E-5</v>
      </c>
      <c r="AB417" s="9"/>
      <c r="AC417" s="10">
        <f t="shared" si="103"/>
        <v>576.71</v>
      </c>
      <c r="AD417" s="8">
        <f>IFERROR(AC417/AC444, "NA")</f>
        <v>6.9884750931891596E-3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7915.49</v>
      </c>
      <c r="C428" s="15">
        <f>IFERROR(B428/B444, "NA")</f>
        <v>7.5485202001726467E-2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-7915.49</v>
      </c>
      <c r="I428" s="15">
        <f>IFERROR(H428/H444, "NA")</f>
        <v>0.51106155408620546</v>
      </c>
      <c r="J428" s="2"/>
      <c r="K428" s="14">
        <f>IFERROR(K407+K408+K409+K410+K411+K412+K413+K414+K415+K416+K417+K418+K419+K420+K421+K422+K423+K424+K425+K426+K427, "NA")</f>
        <v>9845.5699999999979</v>
      </c>
      <c r="L428" s="15">
        <f>IFERROR(K428/K444, "NA")</f>
        <v>9.6533363558112789E-2</v>
      </c>
      <c r="M428" s="2"/>
      <c r="N428" s="14">
        <f t="shared" si="101"/>
        <v>1930.0799999999981</v>
      </c>
      <c r="O428" s="15">
        <f>IFERROR(N428/N444, "NA")</f>
        <v>0.67247596782004793</v>
      </c>
      <c r="P428" s="2"/>
      <c r="Q428" s="14">
        <f>IFERROR(Q407+Q408+Q409+Q410+Q411+Q412+Q413+Q414+Q415+Q416+Q417+Q418+Q419+Q420+Q421+Q422+Q423+Q424+Q425+Q426+Q427, "NA")</f>
        <v>56121.38</v>
      </c>
      <c r="R428" s="15">
        <f>IFERROR(Q428/Q444, "NA")</f>
        <v>7.0911078948080977E-2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-56121.38</v>
      </c>
      <c r="X428" s="15">
        <f>IFERROR(W428/W444, "NA")</f>
        <v>2.3038390078136533</v>
      </c>
      <c r="Y428" s="2"/>
      <c r="Z428" s="14">
        <f>IFERROR(Z407+Z408+Z409+Z410+Z411+Z412+Z413+Z414+Z415+Z416+Z417+Z418+Z419+Z420+Z421+Z422+Z423+Z424+Z425+Z426+Z427, "NA")</f>
        <v>59850.95</v>
      </c>
      <c r="AA428" s="15">
        <f>IFERROR(Z428/Z444, "NA")</f>
        <v>8.4426706481396732E-2</v>
      </c>
      <c r="AB428" s="2"/>
      <c r="AC428" s="14">
        <f t="shared" si="103"/>
        <v>3729.5699999999997</v>
      </c>
      <c r="AD428" s="15">
        <f>IFERROR(AC428/AC444, "NA")</f>
        <v>4.5194303988669332E-2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7915.49</v>
      </c>
      <c r="C429" s="15">
        <f>IFERROR(B429/B444, "NA")</f>
        <v>7.5485202001726467E-2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-7915.49</v>
      </c>
      <c r="I429" s="15">
        <f>IFERROR(H429/H444, "NA")</f>
        <v>0.51106155408620546</v>
      </c>
      <c r="J429" s="2"/>
      <c r="K429" s="14">
        <f>IFERROR(K407+K408+K409+K410+K411+K412+K413+K414+K415+K416+K417+K418+K419+K420+K421+K422+K423+K424+K425+K426+K427, "NA")</f>
        <v>9845.5699999999979</v>
      </c>
      <c r="L429" s="15">
        <f>IFERROR(K429/K444, "NA")</f>
        <v>9.6533363558112789E-2</v>
      </c>
      <c r="M429" s="2"/>
      <c r="N429" s="14">
        <f t="shared" si="101"/>
        <v>1930.0799999999981</v>
      </c>
      <c r="O429" s="15">
        <f>IFERROR(N429/N444, "NA")</f>
        <v>0.67247596782004793</v>
      </c>
      <c r="P429" s="2"/>
      <c r="Q429" s="14">
        <f>IFERROR(Q407+Q408+Q409+Q410+Q411+Q412+Q413+Q414+Q415+Q416+Q417+Q418+Q419+Q420+Q421+Q422+Q423+Q424+Q425+Q426+Q427, "NA")</f>
        <v>56121.38</v>
      </c>
      <c r="R429" s="15">
        <f>IFERROR(Q429/Q444, "NA")</f>
        <v>7.0911078948080977E-2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-56121.38</v>
      </c>
      <c r="X429" s="15">
        <f>IFERROR(W429/W444, "NA")</f>
        <v>2.3038390078136533</v>
      </c>
      <c r="Y429" s="2"/>
      <c r="Z429" s="14">
        <f>IFERROR(Z407+Z408+Z409+Z410+Z411+Z412+Z413+Z414+Z415+Z416+Z417+Z418+Z419+Z420+Z421+Z422+Z423+Z424+Z425+Z426+Z427, "NA")</f>
        <v>59850.95</v>
      </c>
      <c r="AA429" s="15">
        <f>IFERROR(Z429/Z444, "NA")</f>
        <v>8.4426706481396732E-2</v>
      </c>
      <c r="AB429" s="2"/>
      <c r="AC429" s="14">
        <f t="shared" si="103"/>
        <v>3729.5699999999997</v>
      </c>
      <c r="AD429" s="15">
        <f>IFERROR(AC429/AC444, "NA")</f>
        <v>4.5194303988669332E-2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-2372.5900000000056</v>
      </c>
      <c r="C443" s="24">
        <f>IFERROR(B443/B444, "NA")</f>
        <v>-2.2625944245684933E-2</v>
      </c>
      <c r="D443" s="25"/>
      <c r="E443" s="23">
        <f>IFERROR(E404-E429-E442, "NA")</f>
        <v>19412.80999999999</v>
      </c>
      <c r="F443" s="24">
        <f>IFERROR(E443/E444, "NA")</f>
        <v>0.16130320438395368</v>
      </c>
      <c r="G443" s="25"/>
      <c r="H443" s="23">
        <f>IFERROR(B443-E443, "NA")</f>
        <v>-21785.399999999994</v>
      </c>
      <c r="I443" s="24">
        <f>IFERROR(H443/H444, "NA")</f>
        <v>1.4065686875215075</v>
      </c>
      <c r="J443" s="25"/>
      <c r="K443" s="23">
        <f>IFERROR(K404-K429-K442, "NA")</f>
        <v>-989.5399999999845</v>
      </c>
      <c r="L443" s="24">
        <f>IFERROR(K443/K444, "NA")</f>
        <v>-9.7021934306793269E-3</v>
      </c>
      <c r="M443" s="25"/>
      <c r="N443" s="23">
        <f>IFERROR(B443-K443, "NA")</f>
        <v>-1383.0500000000211</v>
      </c>
      <c r="O443" s="24">
        <f>IFERROR(N443/N444, "NA")</f>
        <v>-0.48188048541694251</v>
      </c>
      <c r="P443" s="25"/>
      <c r="Q443" s="23">
        <f>IFERROR(Q404-Q429-Q442, "NA")</f>
        <v>-27958.489999999998</v>
      </c>
      <c r="R443" s="24">
        <f>IFERROR(Q443/Q444, "NA")</f>
        <v>-3.532640665035558E-2</v>
      </c>
      <c r="S443" s="25"/>
      <c r="T443" s="23">
        <f>IFERROR(T404-T429-T442, "NA")</f>
        <v>104564.15999999997</v>
      </c>
      <c r="U443" s="24">
        <f>IFERROR(T443/T444, "NA")</f>
        <v>0.12817485060642395</v>
      </c>
      <c r="V443" s="25"/>
      <c r="W443" s="23">
        <f>IFERROR(Q443-T443, "NA")</f>
        <v>-132522.64999999997</v>
      </c>
      <c r="X443" s="24">
        <f>IFERROR(W443/W444, "NA")</f>
        <v>5.4401878658157727</v>
      </c>
      <c r="Y443" s="25"/>
      <c r="Z443" s="23">
        <f>IFERROR(Z404-Z429-Z442, "NA")</f>
        <v>-14061.090000000273</v>
      </c>
      <c r="AA443" s="24">
        <f>IFERROR(Z443/Z444, "NA")</f>
        <v>-1.9834798248624722E-2</v>
      </c>
      <c r="AB443" s="25"/>
      <c r="AC443" s="23">
        <f>IFERROR(Q443-Z443, "NA")</f>
        <v>-13897.399999999725</v>
      </c>
      <c r="AD443" s="24">
        <f>IFERROR(AC443/AC444, "NA")</f>
        <v>-0.16840636326764769</v>
      </c>
    </row>
    <row r="444" spans="1:30" ht="15.75" hidden="1" x14ac:dyDescent="0.45">
      <c r="A444" s="26" t="s">
        <v>117</v>
      </c>
      <c r="B444" s="7">
        <v>104861.48</v>
      </c>
      <c r="C444" s="27"/>
      <c r="D444" s="9"/>
      <c r="E444" s="7">
        <v>120349.81</v>
      </c>
      <c r="F444" s="27"/>
      <c r="G444" s="9"/>
      <c r="H444" s="10">
        <f>IFERROR(B444-E444, "NA")</f>
        <v>-15488.330000000002</v>
      </c>
      <c r="I444" s="27"/>
      <c r="J444" s="9"/>
      <c r="K444" s="7">
        <v>101991.37</v>
      </c>
      <c r="L444" s="27"/>
      <c r="M444" s="9"/>
      <c r="N444" s="10">
        <f>IFERROR(B444-K444, "NA")</f>
        <v>2870.1100000000006</v>
      </c>
      <c r="O444" s="27"/>
      <c r="P444" s="9"/>
      <c r="Q444" s="7">
        <v>791433.17</v>
      </c>
      <c r="R444" s="27"/>
      <c r="S444" s="9"/>
      <c r="T444" s="7">
        <v>815793.11</v>
      </c>
      <c r="U444" s="27"/>
      <c r="V444" s="9"/>
      <c r="W444" s="10">
        <f>IFERROR(Q444-T444, "NA")</f>
        <v>-24359.939999999944</v>
      </c>
      <c r="X444" s="27"/>
      <c r="Y444" s="9"/>
      <c r="Z444" s="7">
        <v>708910.16</v>
      </c>
      <c r="AA444" s="27"/>
      <c r="AB444" s="9"/>
      <c r="AC444" s="10">
        <f>IFERROR(Q444-Z444, "NA")</f>
        <v>82523.010000000009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59602.85</v>
      </c>
      <c r="F10" s="8">
        <f>IFERROR(E10/E444, "NA")</f>
        <v>0.53399997115104547</v>
      </c>
      <c r="G10" s="9"/>
      <c r="H10" s="10">
        <f t="shared" ref="H10:H19" si="0">IFERROR(B10-E10, "NA")</f>
        <v>-59602.85</v>
      </c>
      <c r="I10" s="8">
        <f>IFERROR(H10/H444, "NA")</f>
        <v>9.0611170485278727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459742.05</v>
      </c>
      <c r="U10" s="8">
        <f>IFERROR(T10/T444, "NA")</f>
        <v>0.53400001149905718</v>
      </c>
      <c r="V10" s="9"/>
      <c r="W10" s="10">
        <f t="shared" ref="W10:W19" si="2">IFERROR(Q10-T10, "NA")</f>
        <v>-459742.05</v>
      </c>
      <c r="X10" s="8">
        <f>IFERROR(W10/W444, "NA")</f>
        <v>8.3093366025422402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54046.69</v>
      </c>
      <c r="C11" s="8">
        <f>IFERROR(B11/B444, "NA")</f>
        <v>0.514544360914854</v>
      </c>
      <c r="D11" s="9"/>
      <c r="E11" s="7">
        <v>0</v>
      </c>
      <c r="F11" s="8">
        <f>IFERROR(E11/E444, "NA")</f>
        <v>0</v>
      </c>
      <c r="G11" s="9"/>
      <c r="H11" s="10">
        <f t="shared" si="0"/>
        <v>54046.69</v>
      </c>
      <c r="I11" s="8">
        <f>IFERROR(H11/H444, "NA")</f>
        <v>-8.2164424046081841</v>
      </c>
      <c r="J11" s="9"/>
      <c r="K11" s="7">
        <v>53108.39</v>
      </c>
      <c r="L11" s="8">
        <f>IFERROR(K11/K444, "NA")</f>
        <v>0.55194441852020371</v>
      </c>
      <c r="M11" s="9"/>
      <c r="N11" s="10">
        <f t="shared" si="1"/>
        <v>938.30000000000291</v>
      </c>
      <c r="O11" s="8">
        <f>IFERROR(N11/N444, "NA")</f>
        <v>0.10641434796119517</v>
      </c>
      <c r="P11" s="9"/>
      <c r="Q11" s="7">
        <v>359774.73</v>
      </c>
      <c r="R11" s="8">
        <f>IFERROR(Q11/Q444, "NA")</f>
        <v>0.44658573637043886</v>
      </c>
      <c r="S11" s="9"/>
      <c r="T11" s="7">
        <v>0</v>
      </c>
      <c r="U11" s="8">
        <f>IFERROR(T11/T444, "NA")</f>
        <v>0</v>
      </c>
      <c r="V11" s="9"/>
      <c r="W11" s="10">
        <f t="shared" si="2"/>
        <v>359774.73</v>
      </c>
      <c r="X11" s="8">
        <f>IFERROR(W11/W444, "NA")</f>
        <v>-6.5025362214719138</v>
      </c>
      <c r="Y11" s="9"/>
      <c r="Z11" s="7">
        <v>404891.46</v>
      </c>
      <c r="AA11" s="8">
        <f>IFERROR(Z11/Z444, "NA")</f>
        <v>0.54851404965260953</v>
      </c>
      <c r="AB11" s="9"/>
      <c r="AC11" s="10">
        <f t="shared" si="3"/>
        <v>-45116.73000000004</v>
      </c>
      <c r="AD11" s="8">
        <f>IFERROR(AC11/AC444, "NA")</f>
        <v>-0.66887977348950756</v>
      </c>
    </row>
    <row r="12" spans="1:30" ht="16.5" customHeight="1" x14ac:dyDescent="0.45">
      <c r="A12" s="12" t="s">
        <v>14</v>
      </c>
      <c r="B12" s="7">
        <v>5957.1</v>
      </c>
      <c r="C12" s="8">
        <f>IFERROR(B12/B444, "NA")</f>
        <v>5.6713782331644674E-2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5957.1</v>
      </c>
      <c r="I12" s="8">
        <f>IFERROR(H12/H444, "NA")</f>
        <v>-0.90562750556031124</v>
      </c>
      <c r="J12" s="9"/>
      <c r="K12" s="7">
        <v>5589.4</v>
      </c>
      <c r="L12" s="8">
        <f>IFERROR(K12/K444, "NA")</f>
        <v>5.8089468215414296E-2</v>
      </c>
      <c r="M12" s="9"/>
      <c r="N12" s="10">
        <f t="shared" si="1"/>
        <v>367.70000000000073</v>
      </c>
      <c r="O12" s="8">
        <f>IFERROR(N12/N444, "NA")</f>
        <v>4.1701540813525971E-2</v>
      </c>
      <c r="P12" s="9"/>
      <c r="Q12" s="7">
        <v>42716.65</v>
      </c>
      <c r="R12" s="8">
        <f>IFERROR(Q12/Q444, "NA")</f>
        <v>5.3023864670896446E-2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42716.65</v>
      </c>
      <c r="X12" s="8">
        <f>IFERROR(W12/W444, "NA")</f>
        <v>-0.7720569031764356</v>
      </c>
      <c r="Y12" s="9"/>
      <c r="Z12" s="7">
        <v>42279.8</v>
      </c>
      <c r="AA12" s="8">
        <f>IFERROR(Z12/Z444, "NA")</f>
        <v>5.7277237500890733E-2</v>
      </c>
      <c r="AB12" s="9"/>
      <c r="AC12" s="10">
        <f t="shared" si="3"/>
        <v>436.84999999999854</v>
      </c>
      <c r="AD12" s="8">
        <f>IFERROR(AC12/AC444, "NA")</f>
        <v>6.4765360665298699E-3</v>
      </c>
    </row>
    <row r="13" spans="1:30" ht="16.5" customHeight="1" x14ac:dyDescent="0.45">
      <c r="A13" s="12" t="s">
        <v>15</v>
      </c>
      <c r="B13" s="7">
        <v>154.5</v>
      </c>
      <c r="C13" s="8">
        <f>IFERROR(B13/B444, "NA")</f>
        <v>1.4708968072114118E-3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154.5</v>
      </c>
      <c r="I13" s="8">
        <f>IFERROR(H13/H444, "NA")</f>
        <v>-2.3487846369721524E-2</v>
      </c>
      <c r="J13" s="9"/>
      <c r="K13" s="7">
        <v>160.5</v>
      </c>
      <c r="L13" s="8">
        <f>IFERROR(K13/K444, "NA")</f>
        <v>1.6680430186735598E-3</v>
      </c>
      <c r="M13" s="9"/>
      <c r="N13" s="10">
        <f t="shared" si="1"/>
        <v>-6</v>
      </c>
      <c r="O13" s="8">
        <f>IFERROR(N13/N444, "NA")</f>
        <v>-6.8047115822995744E-4</v>
      </c>
      <c r="P13" s="9"/>
      <c r="Q13" s="7">
        <v>1222.5</v>
      </c>
      <c r="R13" s="8">
        <f>IFERROR(Q13/Q444, "NA")</f>
        <v>1.5174802930513255E-3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1222.5</v>
      </c>
      <c r="X13" s="8">
        <f>IFERROR(W13/W444, "NA")</f>
        <v>-2.2095355420736235E-2</v>
      </c>
      <c r="Y13" s="9"/>
      <c r="Z13" s="7">
        <v>1974.5</v>
      </c>
      <c r="AA13" s="8">
        <f>IFERROR(Z13/Z444, "NA")</f>
        <v>2.6748921576144813E-3</v>
      </c>
      <c r="AB13" s="9"/>
      <c r="AC13" s="10">
        <f t="shared" si="3"/>
        <v>-752</v>
      </c>
      <c r="AD13" s="8">
        <f>IFERROR(AC13/AC444, "NA")</f>
        <v>-1.1148804216620071E-2</v>
      </c>
    </row>
    <row r="14" spans="1:30" ht="16.5" customHeight="1" x14ac:dyDescent="0.45">
      <c r="A14" s="12" t="s">
        <v>16</v>
      </c>
      <c r="B14" s="7">
        <v>135</v>
      </c>
      <c r="C14" s="8">
        <f>IFERROR(B14/B444, "NA")</f>
        <v>1.2852496373691948E-3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135</v>
      </c>
      <c r="I14" s="8">
        <f>IFERROR(H14/H444, "NA")</f>
        <v>-2.0523360905581912E-2</v>
      </c>
      <c r="J14" s="9"/>
      <c r="K14" s="7">
        <v>990</v>
      </c>
      <c r="L14" s="8">
        <f>IFERROR(K14/K444, "NA")</f>
        <v>1.0288863479668687E-2</v>
      </c>
      <c r="M14" s="9"/>
      <c r="N14" s="10">
        <f t="shared" si="1"/>
        <v>-855</v>
      </c>
      <c r="O14" s="8">
        <f>IFERROR(N14/N444, "NA")</f>
        <v>-9.6967140047768935E-2</v>
      </c>
      <c r="P14" s="9"/>
      <c r="Q14" s="7">
        <v>2445</v>
      </c>
      <c r="R14" s="8">
        <f>IFERROR(Q14/Q444, "NA")</f>
        <v>3.034960586102651E-3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2445</v>
      </c>
      <c r="X14" s="8">
        <f>IFERROR(W14/W444, "NA")</f>
        <v>-4.4190710841472469E-2</v>
      </c>
      <c r="Y14" s="9"/>
      <c r="Z14" s="7">
        <v>5300</v>
      </c>
      <c r="AA14" s="8">
        <f>IFERROR(Z14/Z444, "NA")</f>
        <v>7.1800093367215753E-3</v>
      </c>
      <c r="AB14" s="9"/>
      <c r="AC14" s="10">
        <f t="shared" si="3"/>
        <v>-2855</v>
      </c>
      <c r="AD14" s="8">
        <f>IFERROR(AC14/AC444, "NA")</f>
        <v>-4.2326909625598812E-2</v>
      </c>
    </row>
    <row r="15" spans="1:30" ht="16.5" customHeight="1" x14ac:dyDescent="0.45">
      <c r="A15" s="12" t="s">
        <v>17</v>
      </c>
      <c r="B15" s="7">
        <v>15</v>
      </c>
      <c r="C15" s="8">
        <f>IFERROR(B15/B444, "NA")</f>
        <v>1.4280551526324388E-4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15</v>
      </c>
      <c r="I15" s="8">
        <f>IFERROR(H15/H444, "NA")</f>
        <v>-2.2803734339535459E-3</v>
      </c>
      <c r="J15" s="9"/>
      <c r="K15" s="7">
        <v>66</v>
      </c>
      <c r="L15" s="8">
        <f>IFERROR(K15/K444, "NA")</f>
        <v>6.8592423197791244E-4</v>
      </c>
      <c r="M15" s="9"/>
      <c r="N15" s="10">
        <f t="shared" si="1"/>
        <v>-51</v>
      </c>
      <c r="O15" s="8">
        <f>IFERROR(N15/N444, "NA")</f>
        <v>-5.7840048449546381E-3</v>
      </c>
      <c r="P15" s="9"/>
      <c r="Q15" s="7">
        <v>312</v>
      </c>
      <c r="R15" s="8">
        <f>IFERROR(Q15/Q444, "NA")</f>
        <v>3.8728331405481681E-4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312</v>
      </c>
      <c r="X15" s="8">
        <f>IFERROR(W15/W444, "NA")</f>
        <v>-5.6390600337584505E-3</v>
      </c>
      <c r="Y15" s="9"/>
      <c r="Z15" s="7">
        <v>819</v>
      </c>
      <c r="AA15" s="8">
        <f>IFERROR(Z15/Z444, "NA")</f>
        <v>1.1095146503349001E-3</v>
      </c>
      <c r="AB15" s="9"/>
      <c r="AC15" s="10">
        <f t="shared" si="3"/>
        <v>-507</v>
      </c>
      <c r="AD15" s="8">
        <f>IFERROR(AC15/AC444, "NA")</f>
        <v>-7.5165475237052876E-3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60308.29</v>
      </c>
      <c r="C18" s="15">
        <f>IFERROR(B18/B444, "NA")</f>
        <v>0.5741570952063425</v>
      </c>
      <c r="D18" s="2"/>
      <c r="E18" s="14">
        <f>IFERROR(E10+E11+E12+E13+E14+E15+E16+E17, "NA")</f>
        <v>59602.85</v>
      </c>
      <c r="F18" s="15">
        <f>IFERROR(E18/E444, "NA")</f>
        <v>0.53399997115104547</v>
      </c>
      <c r="G18" s="2"/>
      <c r="H18" s="14">
        <f t="shared" si="0"/>
        <v>705.44000000000233</v>
      </c>
      <c r="I18" s="15">
        <f>IFERROR(H18/H444, "NA")</f>
        <v>-0.10724444234987965</v>
      </c>
      <c r="J18" s="2"/>
      <c r="K18" s="14">
        <f>IFERROR(K10+K11+K12+K13+K14+K15+K16+K17, "NA")</f>
        <v>59914.29</v>
      </c>
      <c r="L18" s="15">
        <f>IFERROR(K18/K444, "NA")</f>
        <v>0.62267671746593822</v>
      </c>
      <c r="M18" s="2"/>
      <c r="N18" s="14">
        <f t="shared" si="1"/>
        <v>394</v>
      </c>
      <c r="O18" s="15">
        <f>IFERROR(N18/N444, "NA")</f>
        <v>4.4684272723767203E-2</v>
      </c>
      <c r="P18" s="2"/>
      <c r="Q18" s="14">
        <f>IFERROR(Q10+Q11+Q12+Q13+Q14+Q15+Q16+Q17, "NA")</f>
        <v>406470.88</v>
      </c>
      <c r="R18" s="15">
        <f>IFERROR(Q18/Q444, "NA")</f>
        <v>0.5045493252345441</v>
      </c>
      <c r="S18" s="2"/>
      <c r="T18" s="14">
        <f>IFERROR(T10+T11+T12+T13+T14+T15+T16+T17, "NA")</f>
        <v>459742.05</v>
      </c>
      <c r="U18" s="15">
        <f>IFERROR(T18/T444, "NA")</f>
        <v>0.53400001149905718</v>
      </c>
      <c r="V18" s="2"/>
      <c r="W18" s="14">
        <f t="shared" si="2"/>
        <v>-53271.169999999984</v>
      </c>
      <c r="X18" s="15">
        <f>IFERROR(W18/W444, "NA")</f>
        <v>0.96281835159792328</v>
      </c>
      <c r="Y18" s="2"/>
      <c r="Z18" s="14">
        <f>IFERROR(Z10+Z11+Z12+Z13+Z14+Z15+Z16+Z17, "NA")</f>
        <v>455264.76</v>
      </c>
      <c r="AA18" s="15">
        <f>IFERROR(Z18/Z444, "NA")</f>
        <v>0.6167557032981712</v>
      </c>
      <c r="AB18" s="2"/>
      <c r="AC18" s="14">
        <f t="shared" si="3"/>
        <v>-48793.880000000005</v>
      </c>
      <c r="AD18" s="15">
        <f>IFERROR(AC18/AC444, "NA")</f>
        <v>-0.72339549878890141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11831.28</v>
      </c>
      <c r="F21" s="8">
        <f>IFERROR(E21/E444, "NA")</f>
        <v>0.10600001809779133</v>
      </c>
      <c r="G21" s="9"/>
      <c r="H21" s="10">
        <f t="shared" ref="H21:H29" si="4">IFERROR(B21-E21, "NA")</f>
        <v>-11831.28</v>
      </c>
      <c r="I21" s="8">
        <f>IFERROR(H21/H444, "NA")</f>
        <v>1.7986491067777273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91259.65</v>
      </c>
      <c r="U21" s="8">
        <f>IFERROR(T21/T444, "NA")</f>
        <v>0.10599999314702653</v>
      </c>
      <c r="V21" s="9"/>
      <c r="W21" s="10">
        <f t="shared" ref="W21:W29" si="6">IFERROR(Q21-T21, "NA")</f>
        <v>-91259.65</v>
      </c>
      <c r="X21" s="8">
        <f>IFERROR(W21/W444, "NA")</f>
        <v>1.6494187340057189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11383.1</v>
      </c>
      <c r="C22" s="8">
        <f>IFERROR(B22/B444, "NA")</f>
        <v>0.10837129738620209</v>
      </c>
      <c r="D22" s="9"/>
      <c r="E22" s="7">
        <v>0</v>
      </c>
      <c r="F22" s="8">
        <f>IFERROR(E22/E444, "NA")</f>
        <v>0</v>
      </c>
      <c r="G22" s="9"/>
      <c r="H22" s="10">
        <f t="shared" si="4"/>
        <v>11383.1</v>
      </c>
      <c r="I22" s="8">
        <f>IFERROR(H22/H444, "NA")</f>
        <v>-1.7305145890691072</v>
      </c>
      <c r="J22" s="9"/>
      <c r="K22" s="7">
        <v>9178.7000000000007</v>
      </c>
      <c r="L22" s="8">
        <f>IFERROR(K22/K444, "NA")</f>
        <v>9.5392314364479786E-2</v>
      </c>
      <c r="M22" s="9"/>
      <c r="N22" s="10">
        <f t="shared" si="5"/>
        <v>2204.3999999999996</v>
      </c>
      <c r="O22" s="8">
        <f>IFERROR(N22/N444, "NA")</f>
        <v>0.25000510353368632</v>
      </c>
      <c r="P22" s="9"/>
      <c r="Q22" s="7">
        <v>69007.55</v>
      </c>
      <c r="R22" s="8">
        <f>IFERROR(Q22/Q444, "NA")</f>
        <v>8.5658566214113704E-2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69007.55</v>
      </c>
      <c r="X22" s="8">
        <f>IFERROR(W22/W444, "NA")</f>
        <v>-1.2472362731813718</v>
      </c>
      <c r="Y22" s="9"/>
      <c r="Z22" s="7">
        <v>69819.039999999994</v>
      </c>
      <c r="AA22" s="8">
        <f>IFERROR(Z22/Z444, "NA")</f>
        <v>9.4585162090742844E-2</v>
      </c>
      <c r="AB22" s="9"/>
      <c r="AC22" s="10">
        <f t="shared" si="7"/>
        <v>-811.48999999999069</v>
      </c>
      <c r="AD22" s="8">
        <f>IFERROR(AC22/AC444, "NA")</f>
        <v>-1.2030775443809731E-2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754.62</v>
      </c>
      <c r="C24" s="8">
        <f>IFERROR(B24/B444, "NA")</f>
        <v>7.1842598618632727E-3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754.62</v>
      </c>
      <c r="I24" s="8">
        <f>IFERROR(H24/H444, "NA")</f>
        <v>-0.11472102671533499</v>
      </c>
      <c r="J24" s="9"/>
      <c r="K24" s="7">
        <v>366.49</v>
      </c>
      <c r="L24" s="8">
        <f>IFERROR(K24/K444, "NA")</f>
        <v>3.8088541178421991E-3</v>
      </c>
      <c r="M24" s="9"/>
      <c r="N24" s="10">
        <f t="shared" si="5"/>
        <v>388.13</v>
      </c>
      <c r="O24" s="8">
        <f>IFERROR(N24/N444, "NA")</f>
        <v>4.4018545107298898E-2</v>
      </c>
      <c r="P24" s="9"/>
      <c r="Q24" s="7">
        <v>7727.05</v>
      </c>
      <c r="R24" s="8">
        <f>IFERROR(Q24/Q444, "NA")</f>
        <v>9.5915305508566424E-3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7727.05</v>
      </c>
      <c r="X24" s="8">
        <f>IFERROR(W24/W444, "NA")</f>
        <v>-0.13965800908286294</v>
      </c>
      <c r="Y24" s="9"/>
      <c r="Z24" s="7">
        <v>2866.2</v>
      </c>
      <c r="AA24" s="8">
        <f>IFERROR(Z24/Z444, "NA")</f>
        <v>3.8828948605493167E-3</v>
      </c>
      <c r="AB24" s="9"/>
      <c r="AC24" s="10">
        <f t="shared" si="7"/>
        <v>4860.8500000000004</v>
      </c>
      <c r="AD24" s="8">
        <f>IFERROR(AC24/AC444, "NA")</f>
        <v>7.2064714064305424E-2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898.5</v>
      </c>
      <c r="C28" s="8">
        <f>IFERROR(B28/B444, "NA")</f>
        <v>8.554050364268307E-3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898.5</v>
      </c>
      <c r="I28" s="8">
        <f>IFERROR(H28/H444, "NA")</f>
        <v>-0.13659436869381739</v>
      </c>
      <c r="J28" s="9"/>
      <c r="K28" s="7">
        <v>854.36</v>
      </c>
      <c r="L28" s="8">
        <f>IFERROR(K28/K444, "NA")</f>
        <v>8.8791852550401413E-3</v>
      </c>
      <c r="M28" s="9"/>
      <c r="N28" s="10">
        <f t="shared" si="5"/>
        <v>44.139999999999986</v>
      </c>
      <c r="O28" s="8">
        <f>IFERROR(N28/N444, "NA")</f>
        <v>5.0059994873783856E-3</v>
      </c>
      <c r="P28" s="9"/>
      <c r="Q28" s="7">
        <v>6109.8</v>
      </c>
      <c r="R28" s="8">
        <f>IFERROR(Q28/Q444, "NA")</f>
        <v>7.5840499750388455E-3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6109.8</v>
      </c>
      <c r="X28" s="8">
        <f>IFERROR(W28/W444, "NA")</f>
        <v>-0.11042797754569673</v>
      </c>
      <c r="Y28" s="9"/>
      <c r="Z28" s="7">
        <v>5691.9</v>
      </c>
      <c r="AA28" s="8">
        <f>IFERROR(Z28/Z444, "NA")</f>
        <v>7.710923612016138E-3</v>
      </c>
      <c r="AB28" s="9"/>
      <c r="AC28" s="10">
        <f t="shared" si="7"/>
        <v>417.90000000000055</v>
      </c>
      <c r="AD28" s="8">
        <f>IFERROR(AC28/AC444, "NA")</f>
        <v>6.1955921304860826E-3</v>
      </c>
    </row>
    <row r="29" spans="1:30" ht="16.5" customHeight="1" x14ac:dyDescent="0.45">
      <c r="A29" s="13" t="s">
        <v>30</v>
      </c>
      <c r="B29" s="14">
        <f>IFERROR(B21+B22+B23+B24+B25+B26+B27+B28, "NA")</f>
        <v>13036.220000000001</v>
      </c>
      <c r="C29" s="15">
        <f>IFERROR(B29/B444, "NA")</f>
        <v>0.12410960761233368</v>
      </c>
      <c r="D29" s="2"/>
      <c r="E29" s="14">
        <f>IFERROR(E21+E22+E23+E24+E25+E26+E27+E28, "NA")</f>
        <v>11831.28</v>
      </c>
      <c r="F29" s="15">
        <f>IFERROR(E29/E444, "NA")</f>
        <v>0.10600001809779133</v>
      </c>
      <c r="G29" s="2"/>
      <c r="H29" s="14">
        <f t="shared" si="4"/>
        <v>1204.9400000000005</v>
      </c>
      <c r="I29" s="15">
        <f>IFERROR(H29/H444, "NA")</f>
        <v>-0.18318087770053246</v>
      </c>
      <c r="J29" s="2"/>
      <c r="K29" s="14">
        <f>IFERROR(K21+K22+K23+K24+K25+K26+K27+K28, "NA")</f>
        <v>10399.550000000001</v>
      </c>
      <c r="L29" s="15">
        <f>IFERROR(K29/K444, "NA")</f>
        <v>0.10808035373736212</v>
      </c>
      <c r="M29" s="2"/>
      <c r="N29" s="14">
        <f t="shared" si="5"/>
        <v>2636.67</v>
      </c>
      <c r="O29" s="15">
        <f>IFERROR(N29/N444, "NA")</f>
        <v>0.29902964812836363</v>
      </c>
      <c r="P29" s="2"/>
      <c r="Q29" s="14">
        <f>IFERROR(Q21+Q22+Q23+Q24+Q25+Q26+Q27+Q28, "NA")</f>
        <v>82844.400000000009</v>
      </c>
      <c r="R29" s="15">
        <f>IFERROR(Q29/Q444, "NA")</f>
        <v>0.10283414674000919</v>
      </c>
      <c r="S29" s="2"/>
      <c r="T29" s="14">
        <f>IFERROR(T21+T22+T23+T24+T25+T26+T27+T28, "NA")</f>
        <v>91259.65</v>
      </c>
      <c r="U29" s="15">
        <f>IFERROR(T29/T444, "NA")</f>
        <v>0.10599999314702653</v>
      </c>
      <c r="V29" s="2"/>
      <c r="W29" s="14">
        <f t="shared" si="6"/>
        <v>-8415.2499999999854</v>
      </c>
      <c r="X29" s="15">
        <f>IFERROR(W29/W444, "NA")</f>
        <v>0.15209647419578756</v>
      </c>
      <c r="Y29" s="2"/>
      <c r="Z29" s="14">
        <f>IFERROR(Z21+Z22+Z23+Z24+Z25+Z26+Z27+Z28, "NA")</f>
        <v>78377.139999999985</v>
      </c>
      <c r="AA29" s="15">
        <f>IFERROR(Z29/Z444, "NA")</f>
        <v>0.1061789805633083</v>
      </c>
      <c r="AB29" s="2"/>
      <c r="AC29" s="14">
        <f t="shared" si="7"/>
        <v>4467.2600000000239</v>
      </c>
      <c r="AD29" s="15">
        <f>IFERROR(AC29/AC444, "NA")</f>
        <v>6.622953075098198E-2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21318.62</v>
      </c>
      <c r="F31" s="8">
        <f>IFERROR(E31/E444, "NA")</f>
        <v>0.19099996837366168</v>
      </c>
      <c r="G31" s="9"/>
      <c r="H31" s="10">
        <f t="shared" ref="H31:H40" si="8">IFERROR(B31-E31, "NA")</f>
        <v>-21318.62</v>
      </c>
      <c r="I31" s="8">
        <f>IFERROR(H31/H444, "NA")</f>
        <v>3.2409609797700494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164439.56</v>
      </c>
      <c r="U31" s="8">
        <f>IFERROR(T31/T444, "NA")</f>
        <v>0.19099998995284398</v>
      </c>
      <c r="V31" s="9"/>
      <c r="W31" s="10">
        <f t="shared" ref="W31:W40" si="10">IFERROR(Q31-T31, "NA")</f>
        <v>-164439.56</v>
      </c>
      <c r="X31" s="8">
        <f>IFERROR(W31/W444, "NA")</f>
        <v>2.9720658678359766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7901.93</v>
      </c>
      <c r="C33" s="8">
        <f>IFERROR(B33/B444, "NA")</f>
        <v>7.5229279014938977E-2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7901.93</v>
      </c>
      <c r="I33" s="8">
        <f>IFERROR(H33/H444, "NA")</f>
        <v>-1.2012900832640363</v>
      </c>
      <c r="J33" s="9"/>
      <c r="K33" s="7">
        <v>3947.87</v>
      </c>
      <c r="L33" s="8">
        <f>IFERROR(K33/K444, "NA")</f>
        <v>4.1029389359070322E-2</v>
      </c>
      <c r="M33" s="9"/>
      <c r="N33" s="10">
        <f t="shared" si="9"/>
        <v>3954.0600000000004</v>
      </c>
      <c r="O33" s="8">
        <f>IFERROR(N33/N444, "NA")</f>
        <v>0.44843729798512427</v>
      </c>
      <c r="P33" s="9"/>
      <c r="Q33" s="7">
        <v>58750.42</v>
      </c>
      <c r="R33" s="8">
        <f>IFERROR(Q33/Q444, "NA")</f>
        <v>7.2926465896514067E-2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58750.42</v>
      </c>
      <c r="X33" s="8">
        <f>IFERROR(W33/W444, "NA")</f>
        <v>-1.0618498249632151</v>
      </c>
      <c r="Y33" s="9"/>
      <c r="Z33" s="7">
        <v>38661.33</v>
      </c>
      <c r="AA33" s="8">
        <f>IFERROR(Z33/Z444, "NA")</f>
        <v>5.2375228371712067E-2</v>
      </c>
      <c r="AB33" s="9"/>
      <c r="AC33" s="10">
        <f t="shared" si="11"/>
        <v>20089.089999999997</v>
      </c>
      <c r="AD33" s="8">
        <f>IFERROR(AC33/AC444, "NA")</f>
        <v>0.29783155757986712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927.98</v>
      </c>
      <c r="C35" s="8">
        <f>IFERROR(B35/B444, "NA")</f>
        <v>8.8347108035990024E-3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927.98</v>
      </c>
      <c r="I35" s="8">
        <f>IFERROR(H35/H444, "NA")</f>
        <v>-0.1410760626160141</v>
      </c>
      <c r="J35" s="9"/>
      <c r="K35" s="7">
        <v>400.51</v>
      </c>
      <c r="L35" s="8">
        <f>IFERROR(K35/K444, "NA")</f>
        <v>4.1624168810526323E-3</v>
      </c>
      <c r="M35" s="9"/>
      <c r="N35" s="10">
        <f t="shared" si="9"/>
        <v>527.47</v>
      </c>
      <c r="O35" s="8">
        <f>IFERROR(N35/N444, "NA")</f>
        <v>5.982135363859261E-2</v>
      </c>
      <c r="P35" s="9"/>
      <c r="Q35" s="7">
        <v>9125.58</v>
      </c>
      <c r="R35" s="8">
        <f>IFERROR(Q35/Q444, "NA")</f>
        <v>1.1327515593180626E-2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9125.58</v>
      </c>
      <c r="X35" s="8">
        <f>IFERROR(W35/W444, "NA")</f>
        <v>-0.16493491494508153</v>
      </c>
      <c r="Y35" s="9"/>
      <c r="Z35" s="7">
        <v>400.51</v>
      </c>
      <c r="AA35" s="8">
        <f>IFERROR(Z35/Z444, "NA")</f>
        <v>5.4257840366987893E-4</v>
      </c>
      <c r="AB35" s="9"/>
      <c r="AC35" s="10">
        <f t="shared" si="11"/>
        <v>8725.07</v>
      </c>
      <c r="AD35" s="8">
        <f>IFERROR(AC35/AC444, "NA")</f>
        <v>0.12935385266795915</v>
      </c>
    </row>
    <row r="36" spans="1:30" ht="16.5" customHeight="1" x14ac:dyDescent="0.45">
      <c r="A36" s="12" t="s">
        <v>36</v>
      </c>
      <c r="B36" s="7">
        <v>9155.2000000000007</v>
      </c>
      <c r="C36" s="8">
        <f>IFERROR(B36/B444, "NA")</f>
        <v>8.7160870222536699E-2</v>
      </c>
      <c r="D36" s="9"/>
      <c r="E36" s="7">
        <v>0</v>
      </c>
      <c r="F36" s="8">
        <f>IFERROR(E36/E444, "NA")</f>
        <v>0</v>
      </c>
      <c r="G36" s="9"/>
      <c r="H36" s="10">
        <f t="shared" si="8"/>
        <v>9155.2000000000007</v>
      </c>
      <c r="I36" s="8">
        <f>IFERROR(H36/H444, "NA")</f>
        <v>-1.3918183241687669</v>
      </c>
      <c r="J36" s="9"/>
      <c r="K36" s="7">
        <v>5551.12</v>
      </c>
      <c r="L36" s="8">
        <f>IFERROR(K36/K444, "NA")</f>
        <v>5.7691632160867111E-2</v>
      </c>
      <c r="M36" s="9"/>
      <c r="N36" s="10">
        <f t="shared" si="9"/>
        <v>3604.0800000000008</v>
      </c>
      <c r="O36" s="8">
        <f>IFERROR(N36/N444, "NA")</f>
        <v>0.4087454153255709</v>
      </c>
      <c r="P36" s="9"/>
      <c r="Q36" s="7">
        <v>72215.94</v>
      </c>
      <c r="R36" s="8">
        <f>IFERROR(Q36/Q444, "NA")</f>
        <v>8.9641117214050672E-2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72215.94</v>
      </c>
      <c r="X36" s="8">
        <f>IFERROR(W36/W444, "NA")</f>
        <v>-1.3052244264560842</v>
      </c>
      <c r="Y36" s="9"/>
      <c r="Z36" s="7">
        <v>45159.77</v>
      </c>
      <c r="AA36" s="8">
        <f>IFERROR(Z36/Z444, "NA")</f>
        <v>6.1178786838528093E-2</v>
      </c>
      <c r="AB36" s="9"/>
      <c r="AC36" s="10">
        <f t="shared" si="11"/>
        <v>27056.170000000006</v>
      </c>
      <c r="AD36" s="8">
        <f>IFERROR(AC36/AC444, "NA")</f>
        <v>0.40112226353934777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963.6</v>
      </c>
      <c r="C39" s="8">
        <f>IFERROR(B39/B444, "NA")</f>
        <v>9.1738263005107859E-3</v>
      </c>
      <c r="D39" s="9"/>
      <c r="E39" s="7">
        <v>0</v>
      </c>
      <c r="F39" s="8">
        <f>IFERROR(E39/E444, "NA")</f>
        <v>0</v>
      </c>
      <c r="G39" s="9"/>
      <c r="H39" s="10">
        <f t="shared" si="8"/>
        <v>963.6</v>
      </c>
      <c r="I39" s="8">
        <f>IFERROR(H39/H444, "NA")</f>
        <v>-0.14649118939717579</v>
      </c>
      <c r="J39" s="9"/>
      <c r="K39" s="7">
        <v>674.3</v>
      </c>
      <c r="L39" s="8">
        <f>IFERROR(K39/K444, "NA")</f>
        <v>7.0078592367076717E-3</v>
      </c>
      <c r="M39" s="9"/>
      <c r="N39" s="10">
        <f t="shared" si="9"/>
        <v>289.30000000000007</v>
      </c>
      <c r="O39" s="8">
        <f>IFERROR(N39/N444, "NA")</f>
        <v>3.2810051012654454E-2</v>
      </c>
      <c r="P39" s="9"/>
      <c r="Q39" s="7">
        <v>6548.81</v>
      </c>
      <c r="R39" s="8">
        <f>IFERROR(Q39/Q444, "NA")</f>
        <v>8.128989871523478E-3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6548.81</v>
      </c>
      <c r="X39" s="8">
        <f>IFERROR(W39/W444, "NA")</f>
        <v>-0.11836260493486435</v>
      </c>
      <c r="Y39" s="9"/>
      <c r="Z39" s="7">
        <v>6569.15</v>
      </c>
      <c r="AA39" s="8">
        <f>IFERROR(Z39/Z444, "NA")</f>
        <v>8.8993506291178363E-3</v>
      </c>
      <c r="AB39" s="9"/>
      <c r="AC39" s="10">
        <f t="shared" si="11"/>
        <v>-20.339999999999236</v>
      </c>
      <c r="AD39" s="8">
        <f>IFERROR(AC39/AC444, "NA")</f>
        <v>-3.0155143319952622E-4</v>
      </c>
    </row>
    <row r="40" spans="1:30" ht="16.5" customHeight="1" x14ac:dyDescent="0.45">
      <c r="A40" s="13" t="s">
        <v>40</v>
      </c>
      <c r="B40" s="14">
        <f>IFERROR(B31+B32+B33+B34+B35+B36+B37+B38+B39, "NA")</f>
        <v>18948.71</v>
      </c>
      <c r="C40" s="15">
        <f>IFERROR(B40/B444, "NA")</f>
        <v>0.18039868634158543</v>
      </c>
      <c r="D40" s="2"/>
      <c r="E40" s="14">
        <f>IFERROR(E31+E32+E33+E34+E35+E36+E37+E38+E39, "NA")</f>
        <v>21318.62</v>
      </c>
      <c r="F40" s="15">
        <f>IFERROR(E40/E444, "NA")</f>
        <v>0.19099996837366168</v>
      </c>
      <c r="G40" s="2"/>
      <c r="H40" s="14">
        <f t="shared" si="8"/>
        <v>-2369.91</v>
      </c>
      <c r="I40" s="15">
        <f>IFERROR(H40/H444, "NA")</f>
        <v>0.36028532032405652</v>
      </c>
      <c r="J40" s="2"/>
      <c r="K40" s="14">
        <f>IFERROR(K31+K32+K33+K34+K35+K36+K37+K38+K39, "NA")</f>
        <v>10573.8</v>
      </c>
      <c r="L40" s="15">
        <f>IFERROR(K40/K444, "NA")</f>
        <v>0.10989129763769773</v>
      </c>
      <c r="M40" s="2"/>
      <c r="N40" s="14">
        <f t="shared" si="9"/>
        <v>8374.91</v>
      </c>
      <c r="O40" s="15">
        <f>IFERROR(N40/N444, "NA")</f>
        <v>0.94981411796194215</v>
      </c>
      <c r="P40" s="2"/>
      <c r="Q40" s="14">
        <f>IFERROR(Q31+Q32+Q33+Q34+Q35+Q36+Q37+Q38+Q39, "NA")</f>
        <v>146640.75</v>
      </c>
      <c r="R40" s="15">
        <f>IFERROR(Q40/Q444, "NA")</f>
        <v>0.18202408857526883</v>
      </c>
      <c r="S40" s="2"/>
      <c r="T40" s="14">
        <f>IFERROR(T31+T32+T33+T34+T35+T36+T37+T38+T39, "NA")</f>
        <v>164439.56</v>
      </c>
      <c r="U40" s="15">
        <f>IFERROR(T40/T444, "NA")</f>
        <v>0.19099998995284398</v>
      </c>
      <c r="V40" s="2"/>
      <c r="W40" s="14">
        <f t="shared" si="10"/>
        <v>-17798.809999999998</v>
      </c>
      <c r="X40" s="15">
        <f>IFERROR(W40/W444, "NA")</f>
        <v>0.32169409653673148</v>
      </c>
      <c r="Y40" s="2"/>
      <c r="Z40" s="14">
        <f>IFERROR(Z31+Z32+Z33+Z34+Z35+Z36+Z37+Z38+Z39, "NA")</f>
        <v>90790.76</v>
      </c>
      <c r="AA40" s="15">
        <f>IFERROR(Z40/Z444, "NA")</f>
        <v>0.12299594424302787</v>
      </c>
      <c r="AB40" s="2"/>
      <c r="AC40" s="14">
        <f t="shared" si="11"/>
        <v>55849.990000000005</v>
      </c>
      <c r="AD40" s="15">
        <f>IFERROR(AC40/AC444, "NA")</f>
        <v>0.82800612235397453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1342.39</v>
      </c>
      <c r="C43" s="8">
        <f>IFERROR(B43/B444, "NA")</f>
        <v>1.2780046375615063E-2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1342.39</v>
      </c>
      <c r="I43" s="8">
        <f>IFERROR(H43/H444, "NA")</f>
        <v>-0.20407669960032671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1342.39</v>
      </c>
      <c r="O43" s="8">
        <f>IFERROR(N43/N444, "NA")</f>
        <v>0.15224294634938543</v>
      </c>
      <c r="P43" s="9"/>
      <c r="Q43" s="7">
        <v>42914.89</v>
      </c>
      <c r="R43" s="8">
        <f>IFERROR(Q43/Q444, "NA")</f>
        <v>5.326993853044204E-2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42914.89</v>
      </c>
      <c r="X43" s="8">
        <f>IFERROR(W43/W444, "NA")</f>
        <v>-0.77563987516711597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42914.89</v>
      </c>
      <c r="AD43" s="8">
        <f>IFERROR(AC43/AC444, "NA")</f>
        <v>0.63623631195184382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21988.32</v>
      </c>
      <c r="F46" s="8">
        <f>IFERROR(E46/E444, "NA")</f>
        <v>0.19700001334936093</v>
      </c>
      <c r="G46" s="9"/>
      <c r="H46" s="10">
        <f t="shared" ref="H46:H62" si="12">IFERROR(B46-E46, "NA")</f>
        <v>-21988.32</v>
      </c>
      <c r="I46" s="8">
        <f>IFERROR(H46/H444, "NA")</f>
        <v>3.3427720523512954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169605.22</v>
      </c>
      <c r="U46" s="8">
        <f>IFERROR(T46/T444, "NA")</f>
        <v>0.19700001213789367</v>
      </c>
      <c r="V46" s="9"/>
      <c r="W46" s="10">
        <f t="shared" ref="W46:W62" si="14">IFERROR(Q46-T46, "NA")</f>
        <v>-169605.22</v>
      </c>
      <c r="X46" s="8">
        <f>IFERROR(W46/W444, "NA")</f>
        <v>3.0654295436500303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6046.61</v>
      </c>
      <c r="C48" s="8">
        <f>IFERROR(B48/B444, "NA")</f>
        <v>5.7565950443058865E-2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6046.61</v>
      </c>
      <c r="I48" s="8">
        <f>IFERROR(H48/H444, "NA")</f>
        <v>-0.9192352539651899</v>
      </c>
      <c r="J48" s="9"/>
      <c r="K48" s="7">
        <v>17756.48</v>
      </c>
      <c r="L48" s="8">
        <f>IFERROR(K48/K444, "NA")</f>
        <v>0.18453939252471457</v>
      </c>
      <c r="M48" s="9"/>
      <c r="N48" s="10">
        <f t="shared" si="13"/>
        <v>-11709.869999999999</v>
      </c>
      <c r="O48" s="8">
        <f>IFERROR(N48/N444, "NA")</f>
        <v>-1.3280381336037053</v>
      </c>
      <c r="P48" s="9"/>
      <c r="Q48" s="7">
        <v>96377.19</v>
      </c>
      <c r="R48" s="8">
        <f>IFERROR(Q48/Q444, "NA")</f>
        <v>0.11963229981567548</v>
      </c>
      <c r="S48" s="9"/>
      <c r="T48" s="7">
        <v>0</v>
      </c>
      <c r="U48" s="8">
        <f>IFERROR(T48/T444, "NA")</f>
        <v>0</v>
      </c>
      <c r="V48" s="9"/>
      <c r="W48" s="10">
        <f t="shared" si="14"/>
        <v>96377.19</v>
      </c>
      <c r="X48" s="8">
        <f>IFERROR(W48/W444, "NA")</f>
        <v>-1.7419126932530276</v>
      </c>
      <c r="Y48" s="9"/>
      <c r="Z48" s="7">
        <v>143545.60999999999</v>
      </c>
      <c r="AA48" s="8">
        <f>IFERROR(Z48/Z444, "NA")</f>
        <v>0.19446392831045167</v>
      </c>
      <c r="AB48" s="9"/>
      <c r="AC48" s="10">
        <f t="shared" si="15"/>
        <v>-47168.419999999984</v>
      </c>
      <c r="AD48" s="8">
        <f>IFERROR(AC48/AC444, "NA")</f>
        <v>-0.69929718056822654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1.5950610851296142E-5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-2.3224974818524387E-4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1.9050815715899988E-4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2000</v>
      </c>
      <c r="C53" s="8">
        <f>IFERROR(B53/B444, "NA")</f>
        <v>1.9040735368432517E-2</v>
      </c>
      <c r="D53" s="9"/>
      <c r="E53" s="7">
        <v>0</v>
      </c>
      <c r="F53" s="8">
        <f>IFERROR(E53/E444, "NA")</f>
        <v>0</v>
      </c>
      <c r="G53" s="9"/>
      <c r="H53" s="10">
        <f t="shared" si="12"/>
        <v>2000</v>
      </c>
      <c r="I53" s="8">
        <f>IFERROR(H53/H444, "NA")</f>
        <v>-0.3040497911938061</v>
      </c>
      <c r="J53" s="9"/>
      <c r="K53" s="7">
        <v>0</v>
      </c>
      <c r="L53" s="8">
        <f>IFERROR(K53/K444, "NA")</f>
        <v>0</v>
      </c>
      <c r="M53" s="9"/>
      <c r="N53" s="10">
        <f t="shared" si="13"/>
        <v>2000</v>
      </c>
      <c r="O53" s="8">
        <f>IFERROR(N53/N444, "NA")</f>
        <v>0.2268237194099858</v>
      </c>
      <c r="P53" s="9"/>
      <c r="Q53" s="7">
        <v>2000</v>
      </c>
      <c r="R53" s="8">
        <f>IFERROR(Q53/Q444, "NA")</f>
        <v>2.4825853465052358E-3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2000</v>
      </c>
      <c r="X53" s="8">
        <f>IFERROR(W53/W444, "NA")</f>
        <v>-3.6147820729220834E-2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2000</v>
      </c>
      <c r="AD53" s="8">
        <f>IFERROR(AC53/AC444, "NA")</f>
        <v>2.9651075044202318E-2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2.8922119286786E-5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-4.2112211149542271E-4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3.4543502426495702E-4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4.4376213068781094E-5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-6.4614229553482247E-4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5.300129664151164E-4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6.9760648236797136E-5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-1.0157537624911055E-3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8.3319520874208515E-4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6.674021886294121E-4</v>
      </c>
      <c r="AB59" s="9"/>
      <c r="AC59" s="10">
        <f t="shared" si="15"/>
        <v>-492.65</v>
      </c>
      <c r="AD59" s="8">
        <f>IFERROR(AC59/AC444, "NA")</f>
        <v>-7.3038010602631352E-3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8046.61</v>
      </c>
      <c r="C61" s="15">
        <f>IFERROR(B61/B444, "NA")</f>
        <v>7.6606685811491382E-2</v>
      </c>
      <c r="D61" s="2"/>
      <c r="E61" s="14">
        <f>IFERROR(E46+E47+E48+E49+E50+E51+E52+E53+E54+E55+E56+E57+E58+E59+E60, "NA")</f>
        <v>21988.32</v>
      </c>
      <c r="F61" s="15">
        <f>IFERROR(E61/E444, "NA")</f>
        <v>0.19700001334936093</v>
      </c>
      <c r="G61" s="2"/>
      <c r="H61" s="14">
        <f t="shared" si="12"/>
        <v>-13941.71</v>
      </c>
      <c r="I61" s="15">
        <f>IFERROR(H61/H444, "NA")</f>
        <v>2.1194870071922991</v>
      </c>
      <c r="J61" s="2"/>
      <c r="K61" s="14">
        <f>IFERROR(K46+K47+K48+K49+K50+K51+K52+K53+K54+K55+K56+K57+K58+K59+K60, "NA")</f>
        <v>17756.48</v>
      </c>
      <c r="L61" s="15">
        <f>IFERROR(K61/K444, "NA")</f>
        <v>0.18453939252471457</v>
      </c>
      <c r="M61" s="2"/>
      <c r="N61" s="14">
        <f t="shared" si="13"/>
        <v>-9709.869999999999</v>
      </c>
      <c r="O61" s="15">
        <f>IFERROR(N61/N444, "NA")</f>
        <v>-1.1012144141937195</v>
      </c>
      <c r="P61" s="2"/>
      <c r="Q61" s="14">
        <f>IFERROR(Q46+Q47+Q48+Q49+Q50+Q51+Q52+Q53+Q54+Q55+Q56+Q57+Q58+Q59+Q60, "NA")</f>
        <v>98505.290000000008</v>
      </c>
      <c r="R61" s="15">
        <f>IFERROR(Q61/Q444, "NA")</f>
        <v>0.12227389475362439</v>
      </c>
      <c r="S61" s="2"/>
      <c r="T61" s="14">
        <f>IFERROR(T46+T47+T48+T49+T50+T51+T52+T53+T54+T55+T56+T57+T58+T59+T60, "NA")</f>
        <v>169605.22</v>
      </c>
      <c r="U61" s="15">
        <f>IFERROR(T61/T444, "NA")</f>
        <v>0.19700001213789367</v>
      </c>
      <c r="V61" s="2"/>
      <c r="W61" s="14">
        <f t="shared" si="14"/>
        <v>-71099.929999999993</v>
      </c>
      <c r="X61" s="15">
        <f>IFERROR(W61/W444, "NA")</f>
        <v>1.285053761750075</v>
      </c>
      <c r="Y61" s="2"/>
      <c r="Z61" s="14">
        <f>IFERROR(Z46+Z47+Z48+Z49+Z50+Z51+Z52+Z53+Z54+Z55+Z56+Z57+Z58+Z59+Z60, "NA")</f>
        <v>144038.25999999998</v>
      </c>
      <c r="AA61" s="15">
        <f>IFERROR(Z61/Z444, "NA")</f>
        <v>0.19513133049908107</v>
      </c>
      <c r="AB61" s="2"/>
      <c r="AC61" s="14">
        <f t="shared" si="15"/>
        <v>-45532.969999999972</v>
      </c>
      <c r="AD61" s="15">
        <f>IFERROR(AC61/AC444, "NA")</f>
        <v>-0.67505075522770597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9389</v>
      </c>
      <c r="C62" s="15">
        <f>IFERROR(B62/B444, "NA")</f>
        <v>8.9386732187106452E-2</v>
      </c>
      <c r="D62" s="2"/>
      <c r="E62" s="14">
        <f>IFERROR(E42+E43+E44+E46+E47+E48+E49+E50+E51+E52+E53+E54+E55+E56+E57+E58+E59+E60, "NA")</f>
        <v>21988.32</v>
      </c>
      <c r="F62" s="15">
        <f>IFERROR(E62/E444, "NA")</f>
        <v>0.19700001334936093</v>
      </c>
      <c r="G62" s="2"/>
      <c r="H62" s="14">
        <f t="shared" si="12"/>
        <v>-12599.32</v>
      </c>
      <c r="I62" s="15">
        <f>IFERROR(H62/H444, "NA")</f>
        <v>1.9154103075919726</v>
      </c>
      <c r="J62" s="2"/>
      <c r="K62" s="14">
        <f>IFERROR(K42+K43+K44+K46+K47+K48+K49+K50+K51+K52+K53+K54+K55+K56+K57+K58+K59+K60, "NA")</f>
        <v>17756.48</v>
      </c>
      <c r="L62" s="15">
        <f>IFERROR(K62/K444, "NA")</f>
        <v>0.18453939252471457</v>
      </c>
      <c r="M62" s="2"/>
      <c r="N62" s="14">
        <f t="shared" si="13"/>
        <v>-8367.48</v>
      </c>
      <c r="O62" s="15">
        <f>IFERROR(N62/N444, "NA")</f>
        <v>-0.94897146784433395</v>
      </c>
      <c r="P62" s="2"/>
      <c r="Q62" s="14">
        <f>IFERROR(Q42+Q43+Q44+Q46+Q47+Q48+Q49+Q50+Q51+Q52+Q53+Q54+Q55+Q56+Q57+Q58+Q59+Q60, "NA")</f>
        <v>141420.18000000002</v>
      </c>
      <c r="R62" s="15">
        <f>IFERROR(Q62/Q444, "NA")</f>
        <v>0.17554383328406645</v>
      </c>
      <c r="S62" s="2"/>
      <c r="T62" s="14">
        <f>IFERROR(T42+T43+T44+T46+T47+T48+T49+T50+T51+T52+T53+T54+T55+T56+T57+T58+T59+T60, "NA")</f>
        <v>169605.22</v>
      </c>
      <c r="U62" s="15">
        <f>IFERROR(T62/T444, "NA")</f>
        <v>0.19700001213789367</v>
      </c>
      <c r="V62" s="2"/>
      <c r="W62" s="14">
        <f t="shared" si="14"/>
        <v>-28185.039999999979</v>
      </c>
      <c r="X62" s="15">
        <f>IFERROR(W62/W444, "NA")</f>
        <v>0.50941388658295883</v>
      </c>
      <c r="Y62" s="2"/>
      <c r="Z62" s="14">
        <f>IFERROR(Z42+Z43+Z44+Z46+Z47+Z48+Z49+Z50+Z51+Z52+Z53+Z54+Z55+Z56+Z57+Z58+Z59+Z60, "NA")</f>
        <v>144038.25999999998</v>
      </c>
      <c r="AA62" s="15">
        <f>IFERROR(Z62/Z444, "NA")</f>
        <v>0.19513133049908107</v>
      </c>
      <c r="AB62" s="2"/>
      <c r="AC62" s="14">
        <f t="shared" si="15"/>
        <v>-2618.0799999999581</v>
      </c>
      <c r="AD62" s="15">
        <f>IFERROR(AC62/AC444, "NA")</f>
        <v>-3.8814443275861983E-2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3418.52</v>
      </c>
      <c r="C65" s="8">
        <f>IFERROR(B65/B444, "NA")</f>
        <v>3.2545567335846959E-2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3418.52</v>
      </c>
      <c r="I65" s="8">
        <f>IFERROR(H65/H444, "NA")</f>
        <v>-0.51970014609592508</v>
      </c>
      <c r="J65" s="9"/>
      <c r="K65" s="7">
        <v>632.45000000000005</v>
      </c>
      <c r="L65" s="8">
        <f>IFERROR(K65/K444, "NA")</f>
        <v>6.5729209168853145E-3</v>
      </c>
      <c r="M65" s="9"/>
      <c r="N65" s="10">
        <f t="shared" si="17"/>
        <v>2786.0699999999997</v>
      </c>
      <c r="O65" s="8">
        <f>IFERROR(N65/N444, "NA")</f>
        <v>0.31597337996828956</v>
      </c>
      <c r="P65" s="9"/>
      <c r="Q65" s="7">
        <v>12173.63</v>
      </c>
      <c r="R65" s="8">
        <f>IFERROR(Q65/Q444, "NA")</f>
        <v>1.5111037725888267E-2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12173.63</v>
      </c>
      <c r="X65" s="8">
        <f>IFERROR(W65/W444, "NA")</f>
        <v>-0.2200250974319323</v>
      </c>
      <c r="Y65" s="9"/>
      <c r="Z65" s="7">
        <v>976.2</v>
      </c>
      <c r="AA65" s="8">
        <f>IFERROR(Z65/Z444, "NA")</f>
        <v>1.3224764366995476E-3</v>
      </c>
      <c r="AB65" s="9"/>
      <c r="AC65" s="10">
        <f t="shared" si="19"/>
        <v>11197.429999999998</v>
      </c>
      <c r="AD65" s="8">
        <f>IFERROR(AC65/AC444, "NA")</f>
        <v>0.16600791861610115</v>
      </c>
    </row>
    <row r="66" spans="1:30" ht="16.5" customHeight="1" x14ac:dyDescent="0.45">
      <c r="A66" s="12" t="s">
        <v>63</v>
      </c>
      <c r="B66" s="7">
        <v>2288.5100000000002</v>
      </c>
      <c r="C66" s="8">
        <f>IFERROR(B66/B444, "NA")</f>
        <v>2.1787456649005752E-2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2288.5100000000002</v>
      </c>
      <c r="I66" s="8">
        <f>IFERROR(H66/H444, "NA")</f>
        <v>-0.34791049382246864</v>
      </c>
      <c r="J66" s="9"/>
      <c r="K66" s="7">
        <v>0</v>
      </c>
      <c r="L66" s="8">
        <f>IFERROR(K66/K444, "NA")</f>
        <v>0</v>
      </c>
      <c r="M66" s="9"/>
      <c r="N66" s="10">
        <f t="shared" si="17"/>
        <v>2288.5100000000002</v>
      </c>
      <c r="O66" s="8">
        <f>IFERROR(N66/N444, "NA")</f>
        <v>0.25954417505347332</v>
      </c>
      <c r="P66" s="9"/>
      <c r="Q66" s="7">
        <v>37622.699999999997</v>
      </c>
      <c r="R66" s="8">
        <f>IFERROR(Q66/Q444, "NA")</f>
        <v>4.6700781857981266E-2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37622.699999999997</v>
      </c>
      <c r="X66" s="8">
        <f>IFERROR(W66/W444, "NA")</f>
        <v>-0.67998930747462827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37622.699999999997</v>
      </c>
      <c r="AD66" s="8">
        <f>IFERROR(AC66/AC444, "NA")</f>
        <v>0.55777675053275522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2191.1999999999998</v>
      </c>
      <c r="C68" s="8">
        <f>IFERROR(B68/B444, "NA")</f>
        <v>2.0861029669654661E-2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2191.1999999999998</v>
      </c>
      <c r="I68" s="8">
        <f>IFERROR(H68/H444, "NA")</f>
        <v>-0.33311695123193397</v>
      </c>
      <c r="J68" s="9"/>
      <c r="K68" s="7">
        <v>0</v>
      </c>
      <c r="L68" s="8">
        <f>IFERROR(K68/K444, "NA")</f>
        <v>0</v>
      </c>
      <c r="M68" s="9"/>
      <c r="N68" s="10">
        <f t="shared" si="17"/>
        <v>2191.1999999999998</v>
      </c>
      <c r="O68" s="8">
        <f>IFERROR(N68/N444, "NA")</f>
        <v>0.24850806698558042</v>
      </c>
      <c r="P68" s="9"/>
      <c r="Q68" s="7">
        <v>5071.07</v>
      </c>
      <c r="R68" s="8">
        <f>IFERROR(Q68/Q444, "NA")</f>
        <v>6.294682036551153E-3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5071.07</v>
      </c>
      <c r="X68" s="8">
        <f>IFERROR(W68/W444, "NA")</f>
        <v>-9.1654064632664942E-2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5071.07</v>
      </c>
      <c r="AD68" s="8">
        <f>IFERROR(AC68/AC444, "NA")</f>
        <v>7.5181338562201522E-2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7898.2300000000005</v>
      </c>
      <c r="C73" s="15">
        <f>IFERROR(B73/B444, "NA")</f>
        <v>7.5194053654507376E-2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7898.2300000000005</v>
      </c>
      <c r="I73" s="15">
        <f>IFERROR(H73/H444, "NA")</f>
        <v>-1.2007275911503277</v>
      </c>
      <c r="J73" s="2"/>
      <c r="K73" s="14">
        <f>IFERROR(K64+K65+K66+K67+K68+K69+K70+K71+K72, "NA")</f>
        <v>632.45000000000005</v>
      </c>
      <c r="L73" s="15">
        <f>IFERROR(K73/K444, "NA")</f>
        <v>6.5729209168853145E-3</v>
      </c>
      <c r="M73" s="2"/>
      <c r="N73" s="14">
        <f t="shared" si="17"/>
        <v>7265.7800000000007</v>
      </c>
      <c r="O73" s="15">
        <f>IFERROR(N73/N444, "NA")</f>
        <v>0.82402562200734342</v>
      </c>
      <c r="P73" s="2"/>
      <c r="Q73" s="14">
        <f>IFERROR(Q64+Q65+Q66+Q67+Q68+Q69+Q70+Q71+Q72, "NA")</f>
        <v>54867.399999999994</v>
      </c>
      <c r="R73" s="15">
        <f>IFERROR(Q73/Q444, "NA")</f>
        <v>6.8106501620420687E-2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54867.399999999994</v>
      </c>
      <c r="X73" s="15">
        <f>IFERROR(W73/W444, "NA")</f>
        <v>-0.99166846953922549</v>
      </c>
      <c r="Y73" s="2"/>
      <c r="Z73" s="14">
        <f>IFERROR(Z64+Z65+Z66+Z67+Z68+Z69+Z70+Z71+Z72, "NA")</f>
        <v>976.2</v>
      </c>
      <c r="AA73" s="15">
        <f>IFERROR(Z73/Z444, "NA")</f>
        <v>1.3224764366995476E-3</v>
      </c>
      <c r="AB73" s="2"/>
      <c r="AC73" s="14">
        <f t="shared" si="19"/>
        <v>53891.199999999997</v>
      </c>
      <c r="AD73" s="15">
        <f>IFERROR(AC73/AC444, "NA")</f>
        <v>0.79896600771105797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1674.24</v>
      </c>
      <c r="F75" s="8">
        <f>IFERROR(E75/E444, "NA")</f>
        <v>1.5000022846221723E-2</v>
      </c>
      <c r="G75" s="9"/>
      <c r="H75" s="10">
        <f t="shared" ref="H75:H92" si="20">IFERROR(B75-E75, "NA")</f>
        <v>-1674.24</v>
      </c>
      <c r="I75" s="8">
        <f>IFERROR(H75/H444, "NA")</f>
        <v>0.254526161204159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12914.1</v>
      </c>
      <c r="U75" s="8">
        <f>IFERROR(T75/T444, "NA")</f>
        <v>1.4999997386577917E-2</v>
      </c>
      <c r="V75" s="9"/>
      <c r="W75" s="10">
        <f t="shared" ref="W75:W92" si="22">IFERROR(Q75-T75, "NA")</f>
        <v>-12914.1</v>
      </c>
      <c r="X75" s="8">
        <f>IFERROR(W75/W444, "NA")</f>
        <v>0.2334082858396154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203.01</v>
      </c>
      <c r="C77" s="8">
        <f>IFERROR(B77/B444, "NA")</f>
        <v>1.9327298435727425E-3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203.01</v>
      </c>
      <c r="I77" s="8">
        <f>IFERROR(H77/H444, "NA")</f>
        <v>-3.0862574055127288E-2</v>
      </c>
      <c r="J77" s="9"/>
      <c r="K77" s="7">
        <v>65.78</v>
      </c>
      <c r="L77" s="8">
        <f>IFERROR(K77/K444, "NA")</f>
        <v>6.8363781787131946E-4</v>
      </c>
      <c r="M77" s="9"/>
      <c r="N77" s="10">
        <f t="shared" si="21"/>
        <v>137.22999999999999</v>
      </c>
      <c r="O77" s="8">
        <f>IFERROR(N77/N444, "NA")</f>
        <v>1.5563509507316175E-2</v>
      </c>
      <c r="P77" s="9"/>
      <c r="Q77" s="7">
        <v>3717.64</v>
      </c>
      <c r="R77" s="8">
        <f>IFERROR(Q77/Q444, "NA")</f>
        <v>4.6146792937908623E-3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3717.64</v>
      </c>
      <c r="X77" s="8">
        <f>IFERROR(W77/W444, "NA")</f>
        <v>-6.7192292127890269E-2</v>
      </c>
      <c r="Y77" s="9"/>
      <c r="Z77" s="7">
        <v>535.21</v>
      </c>
      <c r="AA77" s="8">
        <f>IFERROR(Z77/Z444, "NA")</f>
        <v>7.2505901832202913E-4</v>
      </c>
      <c r="AB77" s="9"/>
      <c r="AC77" s="10">
        <f t="shared" si="23"/>
        <v>3182.43</v>
      </c>
      <c r="AD77" s="8">
        <f>IFERROR(AC77/AC444, "NA")</f>
        <v>4.7181235376460386E-2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6.0759135613577861E-5</v>
      </c>
      <c r="AB79" s="9"/>
      <c r="AC79" s="10">
        <f t="shared" si="23"/>
        <v>-44.85</v>
      </c>
      <c r="AD79" s="8">
        <f>IFERROR(AC79/AC444, "NA")</f>
        <v>-6.6492535786623699E-4</v>
      </c>
    </row>
    <row r="80" spans="1:30" ht="16.5" customHeight="1" x14ac:dyDescent="0.45">
      <c r="A80" s="12" t="s">
        <v>76</v>
      </c>
      <c r="B80" s="7">
        <v>813.05</v>
      </c>
      <c r="C80" s="8">
        <f>IFERROR(B80/B444, "NA")</f>
        <v>7.7405349456520283E-3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813.05</v>
      </c>
      <c r="I80" s="8">
        <f>IFERROR(H80/H444, "NA")</f>
        <v>-0.12360384136506203</v>
      </c>
      <c r="J80" s="9"/>
      <c r="K80" s="7">
        <v>1130</v>
      </c>
      <c r="L80" s="8">
        <f>IFERROR(K80/K444, "NA")</f>
        <v>1.174385427477335E-2</v>
      </c>
      <c r="M80" s="9"/>
      <c r="N80" s="10">
        <f t="shared" si="21"/>
        <v>-316.95000000000005</v>
      </c>
      <c r="O80" s="8">
        <f>IFERROR(N80/N444, "NA")</f>
        <v>-3.5945888933497504E-2</v>
      </c>
      <c r="P80" s="9"/>
      <c r="Q80" s="7">
        <v>7951.42</v>
      </c>
      <c r="R80" s="8">
        <f>IFERROR(Q80/Q444, "NA")</f>
        <v>9.8700393879543324E-3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7951.42</v>
      </c>
      <c r="X80" s="8">
        <f>IFERROR(W80/W444, "NA")</f>
        <v>-0.14371325235137056</v>
      </c>
      <c r="Y80" s="9"/>
      <c r="Z80" s="7">
        <v>9090</v>
      </c>
      <c r="AA80" s="8">
        <f>IFERROR(Z80/Z444, "NA")</f>
        <v>1.231439337184889E-2</v>
      </c>
      <c r="AB80" s="9"/>
      <c r="AC80" s="10">
        <f t="shared" si="23"/>
        <v>-1138.58</v>
      </c>
      <c r="AD80" s="8">
        <f>IFERROR(AC80/AC444, "NA")</f>
        <v>-1.6880060511913937E-2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1016.06</v>
      </c>
      <c r="C88" s="15">
        <f>IFERROR(B88/B444, "NA")</f>
        <v>9.6732647892247697E-3</v>
      </c>
      <c r="D88" s="2"/>
      <c r="E88" s="14">
        <f>IFERROR(E75+E76+E77+E78+E79+E80+E81+E82+E83+E84+E85+E86+E87, "NA")</f>
        <v>1674.24</v>
      </c>
      <c r="F88" s="15">
        <f>IFERROR(E88/E444, "NA")</f>
        <v>1.5000022846221723E-2</v>
      </c>
      <c r="G88" s="2"/>
      <c r="H88" s="14">
        <f t="shared" si="20"/>
        <v>-658.18000000000006</v>
      </c>
      <c r="I88" s="15">
        <f>IFERROR(H88/H444, "NA")</f>
        <v>0.10005974578396966</v>
      </c>
      <c r="J88" s="2"/>
      <c r="K88" s="14">
        <f>IFERROR(K75+K76+K77+K78+K79+K80+K81+K82+K83+K84+K85+K86+K87, "NA")</f>
        <v>1195.78</v>
      </c>
      <c r="L88" s="15">
        <f>IFERROR(K88/K444, "NA")</f>
        <v>1.2427492092644668E-2</v>
      </c>
      <c r="M88" s="2"/>
      <c r="N88" s="14">
        <f t="shared" si="21"/>
        <v>-179.72000000000003</v>
      </c>
      <c r="O88" s="15">
        <f>IFERROR(N88/N444, "NA")</f>
        <v>-2.0382379426181329E-2</v>
      </c>
      <c r="P88" s="2"/>
      <c r="Q88" s="14">
        <f>IFERROR(Q75+Q76+Q77+Q78+Q79+Q80+Q81+Q82+Q83+Q84+Q85+Q86+Q87, "NA")</f>
        <v>11669.06</v>
      </c>
      <c r="R88" s="15">
        <f>IFERROR(Q88/Q444, "NA")</f>
        <v>1.4484718681745194E-2</v>
      </c>
      <c r="S88" s="2"/>
      <c r="T88" s="14">
        <f>IFERROR(T75+T76+T77+T78+T79+T80+T81+T82+T83+T84+T85+T86+T87, "NA")</f>
        <v>12914.1</v>
      </c>
      <c r="U88" s="15">
        <f>IFERROR(T88/T444, "NA")</f>
        <v>1.4999997386577917E-2</v>
      </c>
      <c r="V88" s="2"/>
      <c r="W88" s="14">
        <f t="shared" si="22"/>
        <v>-1245.0400000000009</v>
      </c>
      <c r="X88" s="15">
        <f>IFERROR(W88/W444, "NA")</f>
        <v>2.2502741360354569E-2</v>
      </c>
      <c r="Y88" s="2"/>
      <c r="Z88" s="14">
        <f>IFERROR(Z75+Z76+Z77+Z78+Z79+Z80+Z81+Z82+Z83+Z84+Z85+Z86+Z87, "NA")</f>
        <v>9670.06</v>
      </c>
      <c r="AA88" s="15">
        <f>IFERROR(Z88/Z444, "NA")</f>
        <v>1.3100211525784496E-2</v>
      </c>
      <c r="AB88" s="2"/>
      <c r="AC88" s="14">
        <f t="shared" si="23"/>
        <v>1999</v>
      </c>
      <c r="AD88" s="15">
        <f>IFERROR(AC88/AC444, "NA")</f>
        <v>2.9636249506680215E-2</v>
      </c>
    </row>
    <row r="89" spans="1:30" ht="16.5" customHeight="1" x14ac:dyDescent="0.45">
      <c r="A89" s="6" t="s">
        <v>85</v>
      </c>
      <c r="B89" s="7">
        <v>-29.35</v>
      </c>
      <c r="C89" s="8">
        <f>IFERROR(B89/B444, "NA")</f>
        <v>-2.7942279153174719E-4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-29.35</v>
      </c>
      <c r="I89" s="8">
        <f>IFERROR(H89/H444, "NA")</f>
        <v>4.4619306857691049E-3</v>
      </c>
      <c r="J89" s="9"/>
      <c r="K89" s="7">
        <v>274.77999999999997</v>
      </c>
      <c r="L89" s="8">
        <f>IFERROR(K89/K444, "NA")</f>
        <v>2.8557312191347085E-3</v>
      </c>
      <c r="M89" s="9"/>
      <c r="N89" s="10">
        <f t="shared" si="21"/>
        <v>-304.13</v>
      </c>
      <c r="O89" s="8">
        <f>IFERROR(N89/N444, "NA")</f>
        <v>-3.4491948892079495E-2</v>
      </c>
      <c r="P89" s="9"/>
      <c r="Q89" s="7">
        <v>60.59</v>
      </c>
      <c r="R89" s="8">
        <f>IFERROR(Q89/Q444, "NA")</f>
        <v>7.5209923072376122E-5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60.59</v>
      </c>
      <c r="X89" s="8">
        <f>IFERROR(W89/W444, "NA")</f>
        <v>-1.0950982289917453E-3</v>
      </c>
      <c r="Y89" s="9"/>
      <c r="Z89" s="7">
        <v>109.06</v>
      </c>
      <c r="AA89" s="8">
        <f>IFERROR(Z89/Z444, "NA")</f>
        <v>1.4774562608733114E-4</v>
      </c>
      <c r="AB89" s="9"/>
      <c r="AC89" s="10">
        <f t="shared" si="23"/>
        <v>-48.47</v>
      </c>
      <c r="AD89" s="8">
        <f>IFERROR(AC89/AC444, "NA")</f>
        <v>-7.1859380369624314E-4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-4799.4799999999996</v>
      </c>
      <c r="F94" s="8">
        <f>IFERROR(E94/E444, "NA")</f>
        <v>-4.2999993818081179E-2</v>
      </c>
      <c r="G94" s="9"/>
      <c r="H94" s="10">
        <f t="shared" ref="H94:H124" si="24">IFERROR(B94-E94, "NA")</f>
        <v>4799.4799999999996</v>
      </c>
      <c r="I94" s="8">
        <f>IFERROR(H94/H444, "NA")</f>
        <v>-0.72964044591942423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-37020.43</v>
      </c>
      <c r="U94" s="8">
        <f>IFERROR(T94/T444, "NA")</f>
        <v>-4.3000004123399285E-2</v>
      </c>
      <c r="V94" s="9"/>
      <c r="W94" s="10">
        <f t="shared" ref="W94:W124" si="26">IFERROR(Q94-T94, "NA")</f>
        <v>37020.43</v>
      </c>
      <c r="X94" s="8">
        <f>IFERROR(W94/W444, "NA")</f>
        <v>-0.66910393347933439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-740</v>
      </c>
      <c r="C96" s="8">
        <f>IFERROR(B96/B444, "NA")</f>
        <v>-7.0450720863200313E-3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-740</v>
      </c>
      <c r="I96" s="8">
        <f>IFERROR(H96/H444, "NA")</f>
        <v>0.11249842274170826</v>
      </c>
      <c r="J96" s="9"/>
      <c r="K96" s="7">
        <v>-930.85</v>
      </c>
      <c r="L96" s="8">
        <f>IFERROR(K96/K444, "NA")</f>
        <v>-9.6741298687369678E-3</v>
      </c>
      <c r="M96" s="9"/>
      <c r="N96" s="10">
        <f t="shared" si="25"/>
        <v>190.85000000000002</v>
      </c>
      <c r="O96" s="8">
        <f>IFERROR(N96/N444, "NA")</f>
        <v>2.1644653424697898E-2</v>
      </c>
      <c r="P96" s="9"/>
      <c r="Q96" s="7">
        <v>-7220.05</v>
      </c>
      <c r="R96" s="8">
        <f>IFERROR(Q96/Q444, "NA")</f>
        <v>-8.9621951655175641E-3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-7220.05</v>
      </c>
      <c r="X96" s="8">
        <f>IFERROR(W96/W444, "NA")</f>
        <v>0.13049453652800544</v>
      </c>
      <c r="Y96" s="9"/>
      <c r="Z96" s="7">
        <v>-8810.7800000000007</v>
      </c>
      <c r="AA96" s="8">
        <f>IFERROR(Z96/Z444, "NA")</f>
        <v>-1.1936128804490515E-2</v>
      </c>
      <c r="AB96" s="9"/>
      <c r="AC96" s="10">
        <f t="shared" si="27"/>
        <v>1590.7300000000005</v>
      </c>
      <c r="AD96" s="8">
        <f>IFERROR(AC96/AC444, "NA")</f>
        <v>2.3583427302531983E-2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-3918.22</v>
      </c>
      <c r="C98" s="8">
        <f>IFERROR(B98/B444, "NA")</f>
        <v>-3.7302895067649826E-2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-3918.22</v>
      </c>
      <c r="I98" s="8">
        <f>IFERROR(H98/H444, "NA")</f>
        <v>0.59566698642569749</v>
      </c>
      <c r="J98" s="9"/>
      <c r="K98" s="7">
        <v>-2354.92</v>
      </c>
      <c r="L98" s="8">
        <f>IFERROR(K98/K444, "NA")</f>
        <v>-2.447419230862766E-2</v>
      </c>
      <c r="M98" s="9"/>
      <c r="N98" s="10">
        <f t="shared" si="25"/>
        <v>-1563.2999999999997</v>
      </c>
      <c r="O98" s="8">
        <f>IFERROR(N98/N444, "NA")</f>
        <v>-0.17729676027681537</v>
      </c>
      <c r="P98" s="9"/>
      <c r="Q98" s="7">
        <v>-20425.96</v>
      </c>
      <c r="R98" s="8">
        <f>IFERROR(Q98/Q444, "NA")</f>
        <v>-2.5354594492151043E-2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-20425.96</v>
      </c>
      <c r="X98" s="8">
        <f>IFERROR(W98/W444, "NA")</f>
        <v>0.36917697015111778</v>
      </c>
      <c r="Y98" s="9"/>
      <c r="Z98" s="7">
        <v>-17983.46</v>
      </c>
      <c r="AA98" s="8">
        <f>IFERROR(Z98/Z444, "NA")</f>
        <v>-2.436253032199226E-2</v>
      </c>
      <c r="AB98" s="9"/>
      <c r="AC98" s="10">
        <f t="shared" si="27"/>
        <v>-2442.5</v>
      </c>
      <c r="AD98" s="8">
        <f>IFERROR(AC98/AC444, "NA")</f>
        <v>-3.621137539773208E-2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-47.79</v>
      </c>
      <c r="C100" s="8">
        <f>IFERROR(B100/B444, "NA")</f>
        <v>-4.5497837162869497E-4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-47.79</v>
      </c>
      <c r="I100" s="8">
        <f>IFERROR(H100/H444, "NA")</f>
        <v>7.2652697605759967E-3</v>
      </c>
      <c r="J100" s="9"/>
      <c r="K100" s="7">
        <v>-145.05000000000001</v>
      </c>
      <c r="L100" s="8">
        <f>IFERROR(K100/K444, "NA")</f>
        <v>-1.5074743916423667E-3</v>
      </c>
      <c r="M100" s="9"/>
      <c r="N100" s="10">
        <f t="shared" si="25"/>
        <v>97.260000000000019</v>
      </c>
      <c r="O100" s="8">
        <f>IFERROR(N100/N444, "NA")</f>
        <v>1.1030437474907612E-2</v>
      </c>
      <c r="P100" s="9"/>
      <c r="Q100" s="7">
        <v>-3210.29</v>
      </c>
      <c r="R100" s="8">
        <f>IFERROR(Q100/Q444, "NA")</f>
        <v>-3.9849094560161467E-3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-3210.29</v>
      </c>
      <c r="X100" s="8">
        <f>IFERROR(W100/W444, "NA")</f>
        <v>5.8022493704405174E-2</v>
      </c>
      <c r="Y100" s="9"/>
      <c r="Z100" s="7">
        <v>-765.43</v>
      </c>
      <c r="AA100" s="8">
        <f>IFERROR(Z100/Z444, "NA")</f>
        <v>-1.036942367284301E-3</v>
      </c>
      <c r="AB100" s="9"/>
      <c r="AC100" s="10">
        <f t="shared" si="27"/>
        <v>-2444.86</v>
      </c>
      <c r="AD100" s="8">
        <f>IFERROR(AC100/AC444, "NA")</f>
        <v>-3.624636366628424E-2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-180.75</v>
      </c>
      <c r="C102" s="8">
        <f>IFERROR(B102/B444, "NA")</f>
        <v>-1.7208064589220886E-3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-180.75</v>
      </c>
      <c r="I102" s="8">
        <f>IFERROR(H102/H444, "NA")</f>
        <v>2.7478499879140226E-2</v>
      </c>
      <c r="J102" s="9"/>
      <c r="K102" s="7">
        <v>-194.4</v>
      </c>
      <c r="L102" s="8">
        <f>IFERROR(K102/K444, "NA")</f>
        <v>-2.0203586469167605E-3</v>
      </c>
      <c r="M102" s="9"/>
      <c r="N102" s="10">
        <f t="shared" si="25"/>
        <v>13.650000000000006</v>
      </c>
      <c r="O102" s="8">
        <f>IFERROR(N102/N444, "NA")</f>
        <v>1.5480718849731538E-3</v>
      </c>
      <c r="P102" s="9"/>
      <c r="Q102" s="7">
        <v>-2071.2800000000002</v>
      </c>
      <c r="R102" s="8">
        <f>IFERROR(Q102/Q444, "NA")</f>
        <v>-2.5710646882546829E-3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-2071.2800000000002</v>
      </c>
      <c r="X102" s="8">
        <f>IFERROR(W102/W444, "NA")</f>
        <v>3.7436129060010266E-2</v>
      </c>
      <c r="Y102" s="9"/>
      <c r="Z102" s="7">
        <v>-2353.48</v>
      </c>
      <c r="AA102" s="8">
        <f>IFERROR(Z102/Z444, "NA")</f>
        <v>-3.1883034667523572E-3</v>
      </c>
      <c r="AB102" s="9"/>
      <c r="AC102" s="10">
        <f t="shared" si="27"/>
        <v>282.19999999999982</v>
      </c>
      <c r="AD102" s="8">
        <f>IFERROR(AC102/AC444, "NA")</f>
        <v>4.1837666887369444E-3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-642.44000000000005</v>
      </c>
      <c r="C104" s="8">
        <f>IFERROR(B104/B444, "NA")</f>
        <v>-6.1162650150478936E-3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-642.44000000000005</v>
      </c>
      <c r="I104" s="8">
        <f>IFERROR(H104/H444, "NA")</f>
        <v>9.7666873927274411E-2</v>
      </c>
      <c r="J104" s="9"/>
      <c r="K104" s="7">
        <v>-814.32</v>
      </c>
      <c r="L104" s="8">
        <f>IFERROR(K104/K444, "NA")</f>
        <v>-8.4630578876402074E-3</v>
      </c>
      <c r="M104" s="9"/>
      <c r="N104" s="10">
        <f t="shared" si="25"/>
        <v>171.88</v>
      </c>
      <c r="O104" s="8">
        <f>IFERROR(N104/N444, "NA")</f>
        <v>1.9493230446094179E-2</v>
      </c>
      <c r="P104" s="9"/>
      <c r="Q104" s="7">
        <v>-5288.8</v>
      </c>
      <c r="R104" s="8">
        <f>IFERROR(Q104/Q444, "NA")</f>
        <v>-6.5649486902984461E-3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-5288.8</v>
      </c>
      <c r="X104" s="8">
        <f>IFERROR(W104/W444, "NA")</f>
        <v>9.5589297136351573E-2</v>
      </c>
      <c r="Y104" s="9"/>
      <c r="Z104" s="7">
        <v>-8675.19</v>
      </c>
      <c r="AA104" s="8">
        <f>IFERROR(Z104/Z444, "NA")</f>
        <v>-1.1752442490157292E-2</v>
      </c>
      <c r="AB104" s="9"/>
      <c r="AC104" s="10">
        <f t="shared" si="27"/>
        <v>3386.3900000000003</v>
      </c>
      <c r="AD104" s="8">
        <f>IFERROR(AC104/AC444, "NA")</f>
        <v>5.0205052009468148E-2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-87.05</v>
      </c>
      <c r="L106" s="8">
        <f>IFERROR(K106/K444, "NA")</f>
        <v>-9.0469249081329205E-4</v>
      </c>
      <c r="M106" s="9"/>
      <c r="N106" s="10">
        <f t="shared" si="25"/>
        <v>87.05</v>
      </c>
      <c r="O106" s="8">
        <f>IFERROR(N106/N444, "NA")</f>
        <v>9.872502387319633E-3</v>
      </c>
      <c r="P106" s="9"/>
      <c r="Q106" s="7">
        <v>-145.1</v>
      </c>
      <c r="R106" s="8">
        <f>IFERROR(Q106/Q444, "NA")</f>
        <v>-1.8011156688895486E-4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-145.1</v>
      </c>
      <c r="X106" s="8">
        <f>IFERROR(W106/W444, "NA")</f>
        <v>2.6225243939049714E-3</v>
      </c>
      <c r="Y106" s="9"/>
      <c r="Z106" s="7">
        <v>-2472.3000000000002</v>
      </c>
      <c r="AA106" s="8">
        <f>IFERROR(Z106/Z444, "NA")</f>
        <v>-3.3492711477691984E-3</v>
      </c>
      <c r="AB106" s="9"/>
      <c r="AC106" s="10">
        <f t="shared" si="27"/>
        <v>2327.2000000000003</v>
      </c>
      <c r="AD106" s="8">
        <f>IFERROR(AC106/AC444, "NA")</f>
        <v>3.4501990921433821E-2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-6.7735937138882786E-6</v>
      </c>
      <c r="AB108" s="9"/>
      <c r="AC108" s="10">
        <f t="shared" si="27"/>
        <v>5</v>
      </c>
      <c r="AD108" s="8">
        <f>IFERROR(AC108/AC444, "NA")</f>
        <v>7.4127687610505796E-5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-5529.1999999999989</v>
      </c>
      <c r="C118" s="15">
        <f>IFERROR(B118/B444, "NA")</f>
        <v>-5.2640016999568523E-2</v>
      </c>
      <c r="D118" s="2"/>
      <c r="E118" s="14">
        <f>IFERROR(E94+E95+E96+E97+E98+E99+E100+E101+E102+E103+E104+E105+E106+E107+E108+E109+E110+E111+E112+E113+E114+E115+E116+E117, "NA")</f>
        <v>-4799.4799999999996</v>
      </c>
      <c r="F118" s="15">
        <f>IFERROR(E118/E444, "NA")</f>
        <v>-4.2999993818081179E-2</v>
      </c>
      <c r="G118" s="2"/>
      <c r="H118" s="14">
        <f t="shared" si="24"/>
        <v>-729.71999999999935</v>
      </c>
      <c r="I118" s="15">
        <f>IFERROR(H118/H444, "NA")</f>
        <v>0.110935606814972</v>
      </c>
      <c r="J118" s="2"/>
      <c r="K118" s="14">
        <f>IFERROR(K94+K95+K96+K97+K98+K99+K100+K101+K102+K103+K104+K105+K106+K107+K108+K109+K110+K111+K112+K113+K114+K115+K116+K117, "NA")</f>
        <v>-4526.59</v>
      </c>
      <c r="L118" s="15">
        <f>IFERROR(K118/K444, "NA")</f>
        <v>-4.7043905594377253E-2</v>
      </c>
      <c r="M118" s="2"/>
      <c r="N118" s="14">
        <f t="shared" si="25"/>
        <v>-1002.6099999999988</v>
      </c>
      <c r="O118" s="15">
        <f>IFERROR(N118/N444, "NA")</f>
        <v>-0.11370786465882279</v>
      </c>
      <c r="P118" s="2"/>
      <c r="Q118" s="14">
        <f>IFERROR(Q94+Q95+Q96+Q97+Q98+Q99+Q100+Q101+Q102+Q103+Q104+Q105+Q106+Q107+Q108+Q109+Q110+Q111+Q112+Q113+Q114+Q115+Q116+Q117, "NA")</f>
        <v>-38361.480000000003</v>
      </c>
      <c r="R118" s="15">
        <f>IFERROR(Q118/Q444, "NA")</f>
        <v>-4.7617824059126845E-2</v>
      </c>
      <c r="S118" s="2"/>
      <c r="T118" s="14">
        <f>IFERROR(T94+T95+T96+T97+T98+T99+T100+T101+T102+T103+T104+T105+T106+T107+T108+T109+T110+T111+T112+T113+T114+T115+T116+T117, "NA")</f>
        <v>-37020.43</v>
      </c>
      <c r="U118" s="15">
        <f>IFERROR(T118/T444, "NA")</f>
        <v>-4.3000004123399285E-2</v>
      </c>
      <c r="V118" s="2"/>
      <c r="W118" s="14">
        <f t="shared" si="26"/>
        <v>-1341.0500000000029</v>
      </c>
      <c r="X118" s="15">
        <f>IFERROR(W118/W444, "NA")</f>
        <v>2.4238017494460851E-2</v>
      </c>
      <c r="Y118" s="2"/>
      <c r="Z118" s="14">
        <f>IFERROR(Z94+Z95+Z96+Z97+Z98+Z99+Z100+Z101+Z102+Z103+Z104+Z105+Z106+Z107+Z108+Z109+Z110+Z111+Z112+Z113+Z114+Z115+Z116+Z117, "NA")</f>
        <v>-41065.64</v>
      </c>
      <c r="AA118" s="15">
        <f>IFERROR(Z118/Z444, "NA")</f>
        <v>-5.5632392192159812E-2</v>
      </c>
      <c r="AB118" s="2"/>
      <c r="AC118" s="14">
        <f t="shared" si="27"/>
        <v>2704.1599999999962</v>
      </c>
      <c r="AD118" s="15">
        <f>IFERROR(AC118/AC444, "NA")</f>
        <v>4.0090625545765014E-2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105037.95999999999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111615.83000000002</v>
      </c>
      <c r="F122" s="15">
        <f>IFERROR(E122/E444, "NA")</f>
        <v>1.0000000000000002</v>
      </c>
      <c r="G122" s="2"/>
      <c r="H122" s="14">
        <f t="shared" si="24"/>
        <v>-6577.8700000000244</v>
      </c>
      <c r="I122" s="15">
        <f>IFERROR(H122/H444, "NA")</f>
        <v>1.0000000000000044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96220.539999999979</v>
      </c>
      <c r="L122" s="15">
        <f>IFERROR(K122/K444, "NA")</f>
        <v>0.99999999999999989</v>
      </c>
      <c r="M122" s="2"/>
      <c r="N122" s="14">
        <f t="shared" si="25"/>
        <v>8817.4200000000128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805611.77999999991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860940.14999999991</v>
      </c>
      <c r="U122" s="15">
        <f>IFERROR(T122/T444, "NA")</f>
        <v>0.99999999999999989</v>
      </c>
      <c r="V122" s="2"/>
      <c r="W122" s="14">
        <f t="shared" si="26"/>
        <v>-55328.369999999995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738160.6</v>
      </c>
      <c r="AA122" s="15">
        <f>IFERROR(Z122/Z444, "NA")</f>
        <v>1</v>
      </c>
      <c r="AB122" s="2"/>
      <c r="AC122" s="14">
        <f t="shared" si="27"/>
        <v>67451.179999999935</v>
      </c>
      <c r="AD122" s="15">
        <f>IFERROR(AC122/AC444, "NA")</f>
        <v>0.99999999999999822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105037.95999999999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111615.83000000002</v>
      </c>
      <c r="F124" s="15">
        <f>IFERROR(E124/E444, "NA")</f>
        <v>1.0000000000000002</v>
      </c>
      <c r="G124" s="2"/>
      <c r="H124" s="14">
        <f t="shared" si="24"/>
        <v>-6577.8700000000244</v>
      </c>
      <c r="I124" s="15">
        <f>IFERROR(H124/H444, "NA")</f>
        <v>1.0000000000000044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96220.539999999979</v>
      </c>
      <c r="L124" s="15">
        <f>IFERROR(K124/K444, "NA")</f>
        <v>0.99999999999999989</v>
      </c>
      <c r="M124" s="2"/>
      <c r="N124" s="14">
        <f t="shared" si="25"/>
        <v>8817.4200000000128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805611.77999999991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860940.14999999991</v>
      </c>
      <c r="U124" s="15">
        <f>IFERROR(T124/T444, "NA")</f>
        <v>0.99999999999999989</v>
      </c>
      <c r="V124" s="2"/>
      <c r="W124" s="14">
        <f t="shared" si="26"/>
        <v>-55328.369999999995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738160.6</v>
      </c>
      <c r="AA124" s="15">
        <f>IFERROR(Z124/Z444, "NA")</f>
        <v>1</v>
      </c>
      <c r="AB124" s="2"/>
      <c r="AC124" s="14">
        <f t="shared" si="27"/>
        <v>67451.179999999935</v>
      </c>
      <c r="AD124" s="15">
        <f>IFERROR(AC124/AC444, "NA")</f>
        <v>0.99999999999999822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24890.33</v>
      </c>
      <c r="F129" s="8">
        <f>IFERROR(E129/E444, "NA")</f>
        <v>0.22299999919366278</v>
      </c>
      <c r="G129" s="9"/>
      <c r="H129" s="10">
        <f t="shared" ref="H129:H141" si="28">IFERROR(-(B129-E129), "NA")</f>
        <v>24890.33</v>
      </c>
      <c r="I129" s="8">
        <f>IFERROR(H129/H444, "NA")</f>
        <v>-3.7839498196224644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199745.83</v>
      </c>
      <c r="U129" s="8">
        <f>IFERROR(T129/T444, "NA")</f>
        <v>0.23200896136624594</v>
      </c>
      <c r="V129" s="9"/>
      <c r="W129" s="10">
        <f t="shared" ref="W129:W141" si="30">IFERROR(-(Q129-T129), "NA")</f>
        <v>199745.83</v>
      </c>
      <c r="X129" s="8">
        <f>IFERROR(W129/W444, "NA")</f>
        <v>-3.6101882271247101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5827.33</v>
      </c>
      <c r="C130" s="8">
        <f>IFERROR(B130/B444, "NA")</f>
        <v>5.5478324217263925E-2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-5827.33</v>
      </c>
      <c r="I130" s="8">
        <f>IFERROR(H130/H444, "NA")</f>
        <v>0.88589923485870103</v>
      </c>
      <c r="J130" s="9"/>
      <c r="K130" s="7">
        <v>6797.17</v>
      </c>
      <c r="L130" s="8">
        <f>IFERROR(K130/K444, "NA")</f>
        <v>7.0641569876868288E-2</v>
      </c>
      <c r="M130" s="9"/>
      <c r="N130" s="10">
        <f t="shared" si="29"/>
        <v>969.84000000000015</v>
      </c>
      <c r="O130" s="8">
        <f>IFERROR(N130/N444, "NA")</f>
        <v>0.10999135801629034</v>
      </c>
      <c r="P130" s="9"/>
      <c r="Q130" s="7">
        <v>47720.95</v>
      </c>
      <c r="R130" s="8">
        <f>IFERROR(Q130/Q444, "NA")</f>
        <v>5.9235665595654519E-2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-47720.95</v>
      </c>
      <c r="X130" s="8">
        <f>IFERROR(W130/W444, "NA")</f>
        <v>0.86250417281405545</v>
      </c>
      <c r="Y130" s="9"/>
      <c r="Z130" s="7">
        <v>50819.83</v>
      </c>
      <c r="AA130" s="8">
        <f>IFERROR(Z130/Z444, "NA")</f>
        <v>6.8846576205774196E-2</v>
      </c>
      <c r="AB130" s="9"/>
      <c r="AC130" s="10">
        <f t="shared" si="31"/>
        <v>3098.8800000000047</v>
      </c>
      <c r="AD130" s="8">
        <f>IFERROR(AC130/AC444, "NA")</f>
        <v>4.594256171648891E-2</v>
      </c>
    </row>
    <row r="131" spans="1:30" ht="16.5" customHeight="1" x14ac:dyDescent="0.45">
      <c r="A131" s="12" t="s">
        <v>123</v>
      </c>
      <c r="B131" s="7">
        <v>2899.69</v>
      </c>
      <c r="C131" s="8">
        <f>IFERROR(B131/B444, "NA")</f>
        <v>2.7606114970245042E-2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-2899.69</v>
      </c>
      <c r="I131" s="8">
        <f>IFERROR(H131/H444, "NA")</f>
        <v>0.44082506951338385</v>
      </c>
      <c r="J131" s="9"/>
      <c r="K131" s="7">
        <v>3510.22</v>
      </c>
      <c r="L131" s="8">
        <f>IFERROR(K131/K444, "NA")</f>
        <v>3.6480984205659206E-2</v>
      </c>
      <c r="M131" s="9"/>
      <c r="N131" s="10">
        <f t="shared" si="29"/>
        <v>610.52999999999975</v>
      </c>
      <c r="O131" s="8">
        <f>IFERROR(N131/N444, "NA")</f>
        <v>6.9241342705689296E-2</v>
      </c>
      <c r="P131" s="9"/>
      <c r="Q131" s="7">
        <v>26156.77</v>
      </c>
      <c r="R131" s="8">
        <f>IFERROR(Q131/Q444, "NA")</f>
        <v>3.2468206956953884E-2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-26156.77</v>
      </c>
      <c r="X131" s="8">
        <f>IFERROR(W131/W444, "NA")</f>
        <v>0.47275511640773082</v>
      </c>
      <c r="Y131" s="9"/>
      <c r="Z131" s="7">
        <v>25185.93</v>
      </c>
      <c r="AA131" s="8">
        <f>IFERROR(Z131/Z444, "NA")</f>
        <v>3.4119851425286042E-2</v>
      </c>
      <c r="AB131" s="9"/>
      <c r="AC131" s="10">
        <f t="shared" si="31"/>
        <v>-970.84000000000015</v>
      </c>
      <c r="AD131" s="8">
        <f>IFERROR(AC131/AC444, "NA")</f>
        <v>-1.4393224847956691E-2</v>
      </c>
    </row>
    <row r="132" spans="1:30" ht="16.5" customHeight="1" x14ac:dyDescent="0.45">
      <c r="A132" s="12" t="s">
        <v>124</v>
      </c>
      <c r="B132" s="7">
        <v>6201.63</v>
      </c>
      <c r="C132" s="8">
        <f>IFERROR(B132/B444, "NA")</f>
        <v>5.904179784146607E-2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-6201.63</v>
      </c>
      <c r="I132" s="8">
        <f>IFERROR(H132/H444, "NA")</f>
        <v>0.94280215328062189</v>
      </c>
      <c r="J132" s="9"/>
      <c r="K132" s="7">
        <v>3554.6</v>
      </c>
      <c r="L132" s="8">
        <f>IFERROR(K132/K444, "NA")</f>
        <v>3.6942216287707386E-2</v>
      </c>
      <c r="M132" s="9"/>
      <c r="N132" s="10">
        <f t="shared" si="29"/>
        <v>-2647.03</v>
      </c>
      <c r="O132" s="8">
        <f>IFERROR(N132/N444, "NA")</f>
        <v>-0.30020459499490737</v>
      </c>
      <c r="P132" s="9"/>
      <c r="Q132" s="7">
        <v>36590.17</v>
      </c>
      <c r="R132" s="8">
        <f>IFERROR(Q132/Q444, "NA")</f>
        <v>4.5419109934067746E-2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-36590.17</v>
      </c>
      <c r="X132" s="8">
        <f>IFERROR(W132/W444, "NA")</f>
        <v>0.66132745280585714</v>
      </c>
      <c r="Y132" s="9"/>
      <c r="Z132" s="7">
        <v>25316.79</v>
      </c>
      <c r="AA132" s="8">
        <f>IFERROR(Z132/Z444, "NA")</f>
        <v>3.4297129919965925E-2</v>
      </c>
      <c r="AB132" s="9"/>
      <c r="AC132" s="10">
        <f t="shared" si="31"/>
        <v>-11273.379999999997</v>
      </c>
      <c r="AD132" s="8">
        <f>IFERROR(AC132/AC444, "NA")</f>
        <v>-0.16713391819090473</v>
      </c>
    </row>
    <row r="133" spans="1:30" ht="16.5" customHeight="1" x14ac:dyDescent="0.45">
      <c r="A133" s="12" t="s">
        <v>125</v>
      </c>
      <c r="B133" s="7">
        <v>3084.78</v>
      </c>
      <c r="C133" s="8">
        <f>IFERROR(B133/B444, "NA")</f>
        <v>2.9368239824916629E-2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-3084.78</v>
      </c>
      <c r="I133" s="8">
        <f>IFERROR(H133/H444, "NA")</f>
        <v>0.46896335743941464</v>
      </c>
      <c r="J133" s="9"/>
      <c r="K133" s="7">
        <v>2709.82</v>
      </c>
      <c r="L133" s="8">
        <f>IFERROR(K133/K444, "NA")</f>
        <v>2.8162593974217984E-2</v>
      </c>
      <c r="M133" s="9"/>
      <c r="N133" s="10">
        <f t="shared" si="29"/>
        <v>-374.96000000000004</v>
      </c>
      <c r="O133" s="8">
        <f>IFERROR(N133/N444, "NA")</f>
        <v>-4.2524910914984143E-2</v>
      </c>
      <c r="P133" s="9"/>
      <c r="Q133" s="7">
        <v>20956.689999999999</v>
      </c>
      <c r="R133" s="8">
        <f>IFERROR(Q133/Q444, "NA")</f>
        <v>2.6013385752626406E-2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-20956.689999999999</v>
      </c>
      <c r="X133" s="8">
        <f>IFERROR(W133/W444, "NA")</f>
        <v>0.37876933659892748</v>
      </c>
      <c r="Y133" s="9"/>
      <c r="Z133" s="7">
        <v>17013.75</v>
      </c>
      <c r="AA133" s="8">
        <f>IFERROR(Z133/Z444, "NA")</f>
        <v>2.304884600993334E-2</v>
      </c>
      <c r="AB133" s="9"/>
      <c r="AC133" s="10">
        <f t="shared" si="31"/>
        <v>-3942.9399999999987</v>
      </c>
      <c r="AD133" s="8">
        <f>IFERROR(AC133/AC444, "NA")</f>
        <v>-5.8456204917393527E-2</v>
      </c>
    </row>
    <row r="134" spans="1:30" ht="16.5" customHeight="1" x14ac:dyDescent="0.45">
      <c r="A134" s="12" t="s">
        <v>126</v>
      </c>
      <c r="B134" s="7">
        <v>944.68</v>
      </c>
      <c r="C134" s="8">
        <f>IFERROR(B134/B444, "NA")</f>
        <v>8.9937009439254138E-3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-944.68</v>
      </c>
      <c r="I134" s="8">
        <f>IFERROR(H134/H444, "NA")</f>
        <v>0.14361487837248238</v>
      </c>
      <c r="J134" s="9"/>
      <c r="K134" s="7">
        <v>1190.76</v>
      </c>
      <c r="L134" s="8">
        <f>IFERROR(K134/K444, "NA")</f>
        <v>1.2375320279848773E-2</v>
      </c>
      <c r="M134" s="9"/>
      <c r="N134" s="10">
        <f t="shared" si="29"/>
        <v>246.08000000000004</v>
      </c>
      <c r="O134" s="8">
        <f>IFERROR(N134/N444, "NA")</f>
        <v>2.7908390436204657E-2</v>
      </c>
      <c r="P134" s="9"/>
      <c r="Q134" s="7">
        <v>7619.32</v>
      </c>
      <c r="R134" s="8">
        <f>IFERROR(Q134/Q444, "NA")</f>
        <v>9.4578060911671372E-3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-7619.32</v>
      </c>
      <c r="X134" s="8">
        <f>IFERROR(W134/W444, "NA")</f>
        <v>0.13771090671928343</v>
      </c>
      <c r="Y134" s="9"/>
      <c r="Z134" s="7">
        <v>9248.7900000000009</v>
      </c>
      <c r="AA134" s="8">
        <f>IFERROR(Z134/Z444, "NA")</f>
        <v>1.2529509161014555E-2</v>
      </c>
      <c r="AB134" s="9"/>
      <c r="AC134" s="10">
        <f t="shared" si="31"/>
        <v>1629.4700000000012</v>
      </c>
      <c r="AD134" s="8">
        <f>IFERROR(AC134/AC444, "NA")</f>
        <v>2.4157768626138193E-2</v>
      </c>
    </row>
    <row r="135" spans="1:30" ht="16.5" customHeight="1" x14ac:dyDescent="0.45">
      <c r="A135" s="12" t="s">
        <v>127</v>
      </c>
      <c r="B135" s="7">
        <v>771.35</v>
      </c>
      <c r="C135" s="8">
        <f>IFERROR(B135/B444, "NA")</f>
        <v>7.3435356132202107E-3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-771.35</v>
      </c>
      <c r="I135" s="8">
        <f>IFERROR(H135/H444, "NA")</f>
        <v>0.11726440321867118</v>
      </c>
      <c r="J135" s="9"/>
      <c r="K135" s="7">
        <v>811.93</v>
      </c>
      <c r="L135" s="8">
        <f>IFERROR(K135/K444, "NA")</f>
        <v>8.438219116209492E-3</v>
      </c>
      <c r="M135" s="9"/>
      <c r="N135" s="10">
        <f t="shared" si="29"/>
        <v>40.579999999999927</v>
      </c>
      <c r="O135" s="8">
        <f>IFERROR(N135/N444, "NA")</f>
        <v>4.6022532668286041E-3</v>
      </c>
      <c r="P135" s="9"/>
      <c r="Q135" s="7">
        <v>6214.36</v>
      </c>
      <c r="R135" s="8">
        <f>IFERROR(Q135/Q444, "NA")</f>
        <v>7.7138395369541384E-3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-6214.36</v>
      </c>
      <c r="X135" s="8">
        <f>IFERROR(W135/W444, "NA")</f>
        <v>0.11231778561342039</v>
      </c>
      <c r="Y135" s="9"/>
      <c r="Z135" s="7">
        <v>5968.03</v>
      </c>
      <c r="AA135" s="8">
        <f>IFERROR(Z135/Z444, "NA")</f>
        <v>8.0850020984593318E-3</v>
      </c>
      <c r="AB135" s="9"/>
      <c r="AC135" s="10">
        <f t="shared" si="31"/>
        <v>-246.32999999999993</v>
      </c>
      <c r="AD135" s="8">
        <f>IFERROR(AC135/AC444, "NA")</f>
        <v>-3.6519746578191773E-3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964.44</v>
      </c>
      <c r="L136" s="8">
        <f>IFERROR(K136/K444, "NA")</f>
        <v>1.002322373164815E-2</v>
      </c>
      <c r="M136" s="9"/>
      <c r="N136" s="10">
        <f t="shared" si="29"/>
        <v>964.44</v>
      </c>
      <c r="O136" s="8">
        <f>IFERROR(N136/N444, "NA")</f>
        <v>0.10937893397388336</v>
      </c>
      <c r="P136" s="9"/>
      <c r="Q136" s="7">
        <v>5225.92</v>
      </c>
      <c r="R136" s="8">
        <f>IFERROR(Q136/Q444, "NA")</f>
        <v>6.4868962070043215E-3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9.4452809652624869E-2</v>
      </c>
      <c r="Y136" s="9"/>
      <c r="Z136" s="7">
        <v>6755.04</v>
      </c>
      <c r="AA136" s="8">
        <f>IFERROR(Z136/Z444, "NA")</f>
        <v>9.1511792962127754E-3</v>
      </c>
      <c r="AB136" s="9"/>
      <c r="AC136" s="10">
        <f t="shared" si="31"/>
        <v>1529.12</v>
      </c>
      <c r="AD136" s="8">
        <f>IFERROR(AC136/AC444, "NA")</f>
        <v>2.2670025935795323E-2</v>
      </c>
    </row>
    <row r="137" spans="1:30" ht="16.5" customHeight="1" x14ac:dyDescent="0.45">
      <c r="A137" s="12" t="s">
        <v>129</v>
      </c>
      <c r="B137" s="7">
        <v>478.86</v>
      </c>
      <c r="C137" s="8">
        <f>IFERROR(B137/B444, "NA")</f>
        <v>4.5589232692637973E-3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-478.86</v>
      </c>
      <c r="I137" s="8">
        <f>IFERROR(H137/H444, "NA")</f>
        <v>7.2798641505533002E-2</v>
      </c>
      <c r="J137" s="9"/>
      <c r="K137" s="7">
        <v>395.5</v>
      </c>
      <c r="L137" s="8">
        <f>IFERROR(K137/K444, "NA")</f>
        <v>4.1103489961706726E-3</v>
      </c>
      <c r="M137" s="9"/>
      <c r="N137" s="10">
        <f t="shared" si="29"/>
        <v>-83.360000000000014</v>
      </c>
      <c r="O137" s="8">
        <f>IFERROR(N137/N444, "NA")</f>
        <v>-9.4540126250082096E-3</v>
      </c>
      <c r="P137" s="9"/>
      <c r="Q137" s="7">
        <v>4306.6099999999997</v>
      </c>
      <c r="R137" s="8">
        <f>IFERROR(Q137/Q444, "NA")</f>
        <v>5.3457634395564571E-3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-4306.6099999999997</v>
      </c>
      <c r="X137" s="8">
        <f>IFERROR(W137/W444, "NA")</f>
        <v>7.783728311533486E-2</v>
      </c>
      <c r="Y137" s="9"/>
      <c r="Z137" s="7">
        <v>3986.55</v>
      </c>
      <c r="AA137" s="8">
        <f>IFERROR(Z137/Z444, "NA")</f>
        <v>5.4006540040202637E-3</v>
      </c>
      <c r="AB137" s="9"/>
      <c r="AC137" s="10">
        <f t="shared" si="31"/>
        <v>-320.05999999999949</v>
      </c>
      <c r="AD137" s="8">
        <f>IFERROR(AC137/AC444, "NA")</f>
        <v>-4.7450615393236891E-3</v>
      </c>
    </row>
    <row r="138" spans="1:30" ht="16.5" customHeight="1" x14ac:dyDescent="0.45">
      <c r="A138" s="12" t="s">
        <v>130</v>
      </c>
      <c r="B138" s="7">
        <v>6498.82</v>
      </c>
      <c r="C138" s="8">
        <f>IFERROR(B138/B444, "NA")</f>
        <v>6.1871155913538298E-2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-6498.82</v>
      </c>
      <c r="I138" s="8">
        <f>IFERROR(H138/H444, "NA")</f>
        <v>0.98798243200306546</v>
      </c>
      <c r="J138" s="9"/>
      <c r="K138" s="7">
        <v>4662.75</v>
      </c>
      <c r="L138" s="8">
        <f>IFERROR(K138/K444, "NA")</f>
        <v>4.8458988070530472E-2</v>
      </c>
      <c r="M138" s="9"/>
      <c r="N138" s="10">
        <f t="shared" si="29"/>
        <v>-1836.0699999999997</v>
      </c>
      <c r="O138" s="8">
        <f>IFERROR(N138/N444, "NA")</f>
        <v>-0.20823211324854629</v>
      </c>
      <c r="P138" s="9"/>
      <c r="Q138" s="7">
        <v>49843.73</v>
      </c>
      <c r="R138" s="8">
        <f>IFERROR(Q138/Q444, "NA")</f>
        <v>6.1870656856581718E-2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-49843.73</v>
      </c>
      <c r="X138" s="8">
        <f>IFERROR(W138/W444, "NA")</f>
        <v>0.90087110825784322</v>
      </c>
      <c r="Y138" s="9"/>
      <c r="Z138" s="7">
        <v>36780.339999999997</v>
      </c>
      <c r="AA138" s="8">
        <f>IFERROR(Z138/Z444, "NA")</f>
        <v>4.9827015963734719E-2</v>
      </c>
      <c r="AB138" s="9"/>
      <c r="AC138" s="10">
        <f t="shared" si="31"/>
        <v>-13063.390000000007</v>
      </c>
      <c r="AD138" s="8">
        <f>IFERROR(AC138/AC444, "NA")</f>
        <v>-0.19367177861084114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1.6803931285414042E-4</v>
      </c>
      <c r="AB140" s="9"/>
      <c r="AC140" s="10">
        <f t="shared" si="31"/>
        <v>124.04</v>
      </c>
      <c r="AD140" s="8">
        <f>IFERROR(AC140/AC444, "NA")</f>
        <v>1.8389596742414279E-3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26707.14</v>
      </c>
      <c r="C141" s="15">
        <f>IFERROR(B141/B444, "NA")</f>
        <v>0.25426179259383941</v>
      </c>
      <c r="D141" s="2"/>
      <c r="E141" s="14">
        <f>IFERROR(E129+E130+E131+E132+E133+E134+E135+E136+E137+E138+E139+E140, "NA")</f>
        <v>24890.33</v>
      </c>
      <c r="F141" s="15">
        <f>IFERROR(E141/E444, "NA")</f>
        <v>0.22299999919366278</v>
      </c>
      <c r="G141" s="2"/>
      <c r="H141" s="14">
        <f t="shared" si="28"/>
        <v>-1816.8099999999977</v>
      </c>
      <c r="I141" s="15">
        <f>IFERROR(H141/H444, "NA")</f>
        <v>0.27620035056940911</v>
      </c>
      <c r="J141" s="2"/>
      <c r="K141" s="14">
        <f>IFERROR(K129+K130+K131+K132+K133+K134+K135+K136+K137+K138+K139+K140, "NA")</f>
        <v>24597.19</v>
      </c>
      <c r="L141" s="15">
        <f>IFERROR(K141/K444, "NA")</f>
        <v>0.25563346453886043</v>
      </c>
      <c r="M141" s="2"/>
      <c r="N141" s="14">
        <f t="shared" si="29"/>
        <v>-2109.9500000000007</v>
      </c>
      <c r="O141" s="15">
        <f>IFERROR(N141/N444, "NA")</f>
        <v>-0.23929335338454985</v>
      </c>
      <c r="P141" s="2"/>
      <c r="Q141" s="14">
        <f>IFERROR(Q129+Q130+Q131+Q132+Q133+Q134+Q135+Q136+Q137+Q138+Q139+Q140, "NA")</f>
        <v>204634.52</v>
      </c>
      <c r="R141" s="15">
        <f>IFERROR(Q141/Q444, "NA")</f>
        <v>0.25401133037056634</v>
      </c>
      <c r="S141" s="2"/>
      <c r="T141" s="14">
        <f>IFERROR(T129+T130+T131+T132+T133+T134+T135+T136+T137+T138+T139+T140, "NA")</f>
        <v>199745.83</v>
      </c>
      <c r="U141" s="15">
        <f>IFERROR(T141/T444, "NA")</f>
        <v>0.23200896136624594</v>
      </c>
      <c r="V141" s="2"/>
      <c r="W141" s="14">
        <f t="shared" si="30"/>
        <v>-4888.6900000000023</v>
      </c>
      <c r="X141" s="15">
        <f>IFERROR(W141/W444, "NA")</f>
        <v>8.8357744860367349E-2</v>
      </c>
      <c r="Y141" s="2"/>
      <c r="Z141" s="14">
        <f>IFERROR(Z129+Z130+Z131+Z132+Z133+Z134+Z135+Z136+Z137+Z138+Z139+Z140, "NA")</f>
        <v>181199.09000000003</v>
      </c>
      <c r="AA141" s="15">
        <f>IFERROR(Z141/Z444, "NA")</f>
        <v>0.24547380339725533</v>
      </c>
      <c r="AB141" s="2"/>
      <c r="AC141" s="14">
        <f t="shared" si="31"/>
        <v>-23435.429999999964</v>
      </c>
      <c r="AD141" s="15">
        <f>IFERROR(AC141/AC444, "NA")</f>
        <v>-0.34744284681157461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1706.5</v>
      </c>
      <c r="C144" s="8">
        <f>IFERROR(B144/B444, "NA")</f>
        <v>1.6246507453115046E-2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-1706.5</v>
      </c>
      <c r="I144" s="8">
        <f>IFERROR(H144/H444, "NA")</f>
        <v>0.25943048433611504</v>
      </c>
      <c r="J144" s="9"/>
      <c r="K144" s="7">
        <v>1124.93</v>
      </c>
      <c r="L144" s="8">
        <f>IFERROR(K144/K444, "NA")</f>
        <v>1.1691162822407774E-2</v>
      </c>
      <c r="M144" s="9"/>
      <c r="N144" s="10">
        <f t="shared" si="33"/>
        <v>-581.56999999999994</v>
      </c>
      <c r="O144" s="8">
        <f>IFERROR(N144/N444, "NA")</f>
        <v>-6.595693524863272E-2</v>
      </c>
      <c r="P144" s="9"/>
      <c r="Q144" s="7">
        <v>11718.96</v>
      </c>
      <c r="R144" s="8">
        <f>IFERROR(Q144/Q444, "NA")</f>
        <v>1.4546659186140499E-2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-11718.96</v>
      </c>
      <c r="X144" s="8">
        <f>IFERROR(W144/W444, "NA")</f>
        <v>0.21180743260645488</v>
      </c>
      <c r="Y144" s="9"/>
      <c r="Z144" s="7">
        <v>8649.65</v>
      </c>
      <c r="AA144" s="8">
        <f>IFERROR(Z144/Z444, "NA")</f>
        <v>1.1717842973466749E-2</v>
      </c>
      <c r="AB144" s="9"/>
      <c r="AC144" s="10">
        <f t="shared" si="35"/>
        <v>-3069.3099999999995</v>
      </c>
      <c r="AD144" s="8">
        <f>IFERROR(AC144/AC444, "NA")</f>
        <v>-4.5504170571960302E-2</v>
      </c>
    </row>
    <row r="145" spans="1:30" ht="16.5" customHeight="1" x14ac:dyDescent="0.45">
      <c r="A145" s="12" t="s">
        <v>136</v>
      </c>
      <c r="B145" s="7">
        <v>42.79</v>
      </c>
      <c r="C145" s="8">
        <f>IFERROR(B145/B444, "NA")</f>
        <v>4.0737653320761368E-4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-42.79</v>
      </c>
      <c r="I145" s="8">
        <f>IFERROR(H145/H444, "NA")</f>
        <v>6.5051452825914818E-3</v>
      </c>
      <c r="J145" s="9"/>
      <c r="K145" s="7">
        <v>44.36</v>
      </c>
      <c r="L145" s="8">
        <f>IFERROR(K145/K444, "NA")</f>
        <v>4.6102422622030598E-4</v>
      </c>
      <c r="M145" s="9"/>
      <c r="N145" s="10">
        <f t="shared" si="33"/>
        <v>1.5700000000000003</v>
      </c>
      <c r="O145" s="8">
        <f>IFERROR(N145/N444, "NA")</f>
        <v>1.7805661973683889E-4</v>
      </c>
      <c r="P145" s="9"/>
      <c r="Q145" s="7">
        <v>393.79</v>
      </c>
      <c r="R145" s="8">
        <f>IFERROR(Q145/Q444, "NA")</f>
        <v>4.8880864180014848E-4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-393.79</v>
      </c>
      <c r="X145" s="8">
        <f>IFERROR(W145/W444, "NA")</f>
        <v>7.1173251624799365E-3</v>
      </c>
      <c r="Y145" s="9"/>
      <c r="Z145" s="7">
        <v>564.4</v>
      </c>
      <c r="AA145" s="8">
        <f>IFERROR(Z145/Z444, "NA")</f>
        <v>7.6460325842370885E-4</v>
      </c>
      <c r="AB145" s="9"/>
      <c r="AC145" s="10">
        <f t="shared" si="35"/>
        <v>170.60999999999996</v>
      </c>
      <c r="AD145" s="8">
        <f>IFERROR(AC145/AC444, "NA")</f>
        <v>2.529384956645678E-3</v>
      </c>
    </row>
    <row r="146" spans="1:30" ht="16.5" customHeight="1" x14ac:dyDescent="0.45">
      <c r="A146" s="12" t="s">
        <v>137</v>
      </c>
      <c r="B146" s="7">
        <v>116.56</v>
      </c>
      <c r="C146" s="8">
        <f>IFERROR(B146/B444, "NA")</f>
        <v>1.1096940572722471E-3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-116.56</v>
      </c>
      <c r="I146" s="8">
        <f>IFERROR(H146/H444, "NA")</f>
        <v>1.7720021830775021E-2</v>
      </c>
      <c r="J146" s="9"/>
      <c r="K146" s="7">
        <v>-200.82</v>
      </c>
      <c r="L146" s="8">
        <f>IFERROR(K146/K444, "NA")</f>
        <v>-2.0870803676637027E-3</v>
      </c>
      <c r="M146" s="9"/>
      <c r="N146" s="10">
        <f t="shared" si="33"/>
        <v>-317.38</v>
      </c>
      <c r="O146" s="8">
        <f>IFERROR(N146/N444, "NA")</f>
        <v>-3.5994656033170647E-2</v>
      </c>
      <c r="P146" s="9"/>
      <c r="Q146" s="7">
        <v>833.8</v>
      </c>
      <c r="R146" s="8">
        <f>IFERROR(Q146/Q444, "NA")</f>
        <v>1.0349898309580329E-3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-833.8</v>
      </c>
      <c r="X146" s="8">
        <f>IFERROR(W146/W444, "NA")</f>
        <v>1.5070026462012165E-2</v>
      </c>
      <c r="Y146" s="9"/>
      <c r="Z146" s="7">
        <v>1649.33</v>
      </c>
      <c r="AA146" s="8">
        <f>IFERROR(Z146/Z444, "NA")</f>
        <v>2.2343782640254707E-3</v>
      </c>
      <c r="AB146" s="9"/>
      <c r="AC146" s="10">
        <f t="shared" si="35"/>
        <v>815.53</v>
      </c>
      <c r="AD146" s="8">
        <f>IFERROR(AC146/AC444, "NA")</f>
        <v>1.2090670615399158E-2</v>
      </c>
    </row>
    <row r="147" spans="1:30" ht="16.5" customHeight="1" x14ac:dyDescent="0.45">
      <c r="A147" s="12" t="s">
        <v>138</v>
      </c>
      <c r="B147" s="7">
        <v>22.5</v>
      </c>
      <c r="C147" s="8">
        <f>IFERROR(B147/B444, "NA")</f>
        <v>2.142082728948658E-4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-22.5</v>
      </c>
      <c r="I147" s="8">
        <f>IFERROR(H147/H444, "NA")</f>
        <v>3.4205601509303186E-3</v>
      </c>
      <c r="J147" s="9"/>
      <c r="K147" s="7">
        <v>15.69</v>
      </c>
      <c r="L147" s="8">
        <f>IFERROR(K147/K444, "NA")</f>
        <v>1.6306289696565827E-4</v>
      </c>
      <c r="M147" s="9"/>
      <c r="N147" s="10">
        <f t="shared" si="33"/>
        <v>-6.8100000000000005</v>
      </c>
      <c r="O147" s="8">
        <f>IFERROR(N147/N444, "NA")</f>
        <v>-7.7233476459100179E-4</v>
      </c>
      <c r="P147" s="9"/>
      <c r="Q147" s="7">
        <v>84.96</v>
      </c>
      <c r="R147" s="8">
        <f>IFERROR(Q147/Q444, "NA")</f>
        <v>1.0546022551954242E-4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-84.96</v>
      </c>
      <c r="X147" s="8">
        <f>IFERROR(W147/W444, "NA")</f>
        <v>1.535559424577301E-3</v>
      </c>
      <c r="Y147" s="9"/>
      <c r="Z147" s="7">
        <v>229.69</v>
      </c>
      <c r="AA147" s="8">
        <f>IFERROR(Z147/Z444, "NA")</f>
        <v>3.1116534802859972E-4</v>
      </c>
      <c r="AB147" s="9"/>
      <c r="AC147" s="10">
        <f t="shared" si="35"/>
        <v>144.73000000000002</v>
      </c>
      <c r="AD147" s="8">
        <f>IFERROR(AC147/AC444, "NA")</f>
        <v>2.145700045573701E-3</v>
      </c>
    </row>
    <row r="148" spans="1:30" ht="16.5" customHeight="1" x14ac:dyDescent="0.45">
      <c r="A148" s="13" t="s">
        <v>139</v>
      </c>
      <c r="B148" s="14">
        <f>IFERROR(B143+B144+B145+B146+B147, "NA")</f>
        <v>1888.35</v>
      </c>
      <c r="C148" s="15">
        <f>IFERROR(B148/B444, "NA")</f>
        <v>1.7977786316489771E-2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-1888.35</v>
      </c>
      <c r="I148" s="15">
        <f>IFERROR(H148/H444, "NA")</f>
        <v>0.28707621160041186</v>
      </c>
      <c r="J148" s="2"/>
      <c r="K148" s="14">
        <f>IFERROR(K143+K144+K145+K146+K147, "NA")</f>
        <v>984.16000000000008</v>
      </c>
      <c r="L148" s="15">
        <f>IFERROR(K148/K444, "NA")</f>
        <v>1.0228169577930036E-2</v>
      </c>
      <c r="M148" s="2"/>
      <c r="N148" s="14">
        <f t="shared" si="33"/>
        <v>-904.18999999999983</v>
      </c>
      <c r="O148" s="15">
        <f>IFERROR(N148/N444, "NA")</f>
        <v>-0.10254586942665751</v>
      </c>
      <c r="P148" s="2"/>
      <c r="Q148" s="14">
        <f>IFERROR(Q143+Q144+Q145+Q146+Q147, "NA")</f>
        <v>13031.509999999998</v>
      </c>
      <c r="R148" s="15">
        <f>IFERROR(Q148/Q444, "NA")</f>
        <v>1.6175917884418221E-2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-13031.509999999998</v>
      </c>
      <c r="X148" s="15">
        <f>IFERROR(W148/W444, "NA")</f>
        <v>0.23553034365552428</v>
      </c>
      <c r="Y148" s="2"/>
      <c r="Z148" s="14">
        <f>IFERROR(Z143+Z144+Z145+Z146+Z147, "NA")</f>
        <v>11093.07</v>
      </c>
      <c r="AA148" s="15">
        <f>IFERROR(Z148/Z444, "NA")</f>
        <v>1.5027989843944529E-2</v>
      </c>
      <c r="AB148" s="2"/>
      <c r="AC148" s="14">
        <f t="shared" si="35"/>
        <v>-1938.4399999999987</v>
      </c>
      <c r="AD148" s="15">
        <f>IFERROR(AC148/AC444, "NA")</f>
        <v>-2.8738414954341752E-2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28595.49</v>
      </c>
      <c r="C149" s="15">
        <f>IFERROR(B149/B444, "NA")</f>
        <v>0.27223957891032918</v>
      </c>
      <c r="D149" s="2"/>
      <c r="E149" s="14">
        <f>IFERROR(E127+E129+E130+E131+E132+E133+E134+E135+E136+E137+E138+E139+E140+E143+E144+E145+E146+E147, "NA")</f>
        <v>24890.33</v>
      </c>
      <c r="F149" s="15">
        <f>IFERROR(E149/E444, "NA")</f>
        <v>0.22299999919366278</v>
      </c>
      <c r="G149" s="2"/>
      <c r="H149" s="14">
        <f t="shared" si="32"/>
        <v>-3705.16</v>
      </c>
      <c r="I149" s="15">
        <f>IFERROR(H149/H444, "NA")</f>
        <v>0.56327656216982136</v>
      </c>
      <c r="J149" s="2"/>
      <c r="K149" s="14">
        <f>IFERROR(K127+K129+K130+K131+K132+K133+K134+K135+K136+K137+K138+K139+K140+K143+K144+K145+K146+K147, "NA")</f>
        <v>25581.35</v>
      </c>
      <c r="L149" s="15">
        <f>IFERROR(K149/K444, "NA")</f>
        <v>0.26586163411679042</v>
      </c>
      <c r="M149" s="2"/>
      <c r="N149" s="14">
        <f t="shared" si="33"/>
        <v>-3014.1400000000031</v>
      </c>
      <c r="O149" s="15">
        <f>IFERROR(N149/N444, "NA")</f>
        <v>-0.34183922281120765</v>
      </c>
      <c r="P149" s="2"/>
      <c r="Q149" s="14">
        <f>IFERROR(Q127+Q129+Q130+Q131+Q132+Q133+Q134+Q135+Q136+Q137+Q138+Q139+Q140+Q143+Q144+Q145+Q146+Q147, "NA")</f>
        <v>217666.02999999997</v>
      </c>
      <c r="R149" s="15">
        <f>IFERROR(Q149/Q444, "NA")</f>
        <v>0.27018724825498452</v>
      </c>
      <c r="S149" s="2"/>
      <c r="T149" s="14">
        <f>IFERROR(T127+T129+T130+T131+T132+T133+T134+T135+T136+T137+T138+T139+T140+T143+T144+T145+T146+T147, "NA")</f>
        <v>199745.83</v>
      </c>
      <c r="U149" s="15">
        <f>IFERROR(T149/T444, "NA")</f>
        <v>0.23200896136624594</v>
      </c>
      <c r="V149" s="2"/>
      <c r="W149" s="14">
        <f t="shared" si="34"/>
        <v>-17920.199999999983</v>
      </c>
      <c r="X149" s="15">
        <f>IFERROR(W149/W444, "NA")</f>
        <v>0.32388808851589129</v>
      </c>
      <c r="Y149" s="2"/>
      <c r="Z149" s="14">
        <f>IFERROR(Z127+Z129+Z130+Z131+Z132+Z133+Z134+Z135+Z136+Z137+Z138+Z139+Z140+Z143+Z144+Z145+Z146+Z147, "NA")</f>
        <v>192292.16</v>
      </c>
      <c r="AA149" s="15">
        <f>IFERROR(Z149/Z444, "NA")</f>
        <v>0.26050179324119982</v>
      </c>
      <c r="AB149" s="2"/>
      <c r="AC149" s="14">
        <f t="shared" si="35"/>
        <v>-25373.869999999966</v>
      </c>
      <c r="AD149" s="15">
        <f>IFERROR(AC149/AC444, "NA")</f>
        <v>-0.37618126176591643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1897.47</v>
      </c>
      <c r="F153" s="8">
        <f>IFERROR(E153/E444, "NA")</f>
        <v>1.7000007973779346E-2</v>
      </c>
      <c r="G153" s="9"/>
      <c r="H153" s="10">
        <f t="shared" ref="H153:H158" si="36">IFERROR(-(B153-E153), "NA")</f>
        <v>1897.47</v>
      </c>
      <c r="I153" s="8">
        <f>IFERROR(H153/H444, "NA")</f>
        <v>-0.28846267864825564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15164.88</v>
      </c>
      <c r="U153" s="8">
        <f>IFERROR(T153/T444, "NA")</f>
        <v>1.7614325455724184E-2</v>
      </c>
      <c r="V153" s="9"/>
      <c r="W153" s="10">
        <f t="shared" ref="W153:W158" si="38">IFERROR(-(Q153-T153), "NA")</f>
        <v>15164.88</v>
      </c>
      <c r="X153" s="8">
        <f>IFERROR(W153/W444, "NA")</f>
        <v>-0.27408868181007323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3905.27</v>
      </c>
      <c r="C154" s="8">
        <f>IFERROR(B154/B444, "NA")</f>
        <v>3.7179606306139229E-2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-3905.27</v>
      </c>
      <c r="I154" s="8">
        <f>IFERROR(H154/H444, "NA")</f>
        <v>0.59369826402771764</v>
      </c>
      <c r="J154" s="9"/>
      <c r="K154" s="7">
        <v>3174.67</v>
      </c>
      <c r="L154" s="8">
        <f>IFERROR(K154/K444, "NA")</f>
        <v>3.2993683053535144E-2</v>
      </c>
      <c r="M154" s="9"/>
      <c r="N154" s="10">
        <f t="shared" si="37"/>
        <v>-730.59999999999991</v>
      </c>
      <c r="O154" s="8">
        <f>IFERROR(N154/N444, "NA")</f>
        <v>-8.28587047004678E-2</v>
      </c>
      <c r="P154" s="9"/>
      <c r="Q154" s="7">
        <v>27033.21</v>
      </c>
      <c r="R154" s="8">
        <f>IFERROR(Q154/Q444, "NA")</f>
        <v>3.3556125507499403E-2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-27033.21</v>
      </c>
      <c r="X154" s="8">
        <f>IFERROR(W154/W444, "NA")</f>
        <v>0.48859581440768995</v>
      </c>
      <c r="Y154" s="9"/>
      <c r="Z154" s="7">
        <v>24912.99</v>
      </c>
      <c r="AA154" s="8">
        <f>IFERROR(Z154/Z444, "NA")</f>
        <v>3.3750094491632313E-2</v>
      </c>
      <c r="AB154" s="9"/>
      <c r="AC154" s="10">
        <f t="shared" si="39"/>
        <v>-2120.2199999999975</v>
      </c>
      <c r="AD154" s="8">
        <f>IFERROR(AC154/AC444, "NA")</f>
        <v>-3.143340116510928E-2</v>
      </c>
    </row>
    <row r="155" spans="1:30" ht="16.5" customHeight="1" x14ac:dyDescent="0.45">
      <c r="A155" s="12" t="s">
        <v>144</v>
      </c>
      <c r="B155" s="7">
        <v>358.51</v>
      </c>
      <c r="C155" s="8">
        <f>IFERROR(B155/B444, "NA")</f>
        <v>3.4131470184683706E-3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-358.51</v>
      </c>
      <c r="I155" s="8">
        <f>IFERROR(H155/H444, "NA")</f>
        <v>5.4502445320445715E-2</v>
      </c>
      <c r="J155" s="9"/>
      <c r="K155" s="7">
        <v>972.69</v>
      </c>
      <c r="L155" s="8">
        <f>IFERROR(K155/K444, "NA")</f>
        <v>1.0108964260645389E-2</v>
      </c>
      <c r="M155" s="9"/>
      <c r="N155" s="10">
        <f t="shared" si="37"/>
        <v>614.18000000000006</v>
      </c>
      <c r="O155" s="8">
        <f>IFERROR(N155/N444, "NA")</f>
        <v>6.9655295993612545E-2</v>
      </c>
      <c r="P155" s="9"/>
      <c r="Q155" s="7">
        <v>7923.4</v>
      </c>
      <c r="R155" s="8">
        <f>IFERROR(Q155/Q444, "NA")</f>
        <v>9.8352583672497926E-3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-7923.4</v>
      </c>
      <c r="X155" s="8">
        <f>IFERROR(W155/W444, "NA")</f>
        <v>0.14320682138295418</v>
      </c>
      <c r="Y155" s="9"/>
      <c r="Z155" s="7">
        <v>9204.64</v>
      </c>
      <c r="AA155" s="8">
        <f>IFERROR(Z155/Z444, "NA")</f>
        <v>1.246969832852092E-2</v>
      </c>
      <c r="AB155" s="9"/>
      <c r="AC155" s="10">
        <f t="shared" si="39"/>
        <v>1281.2399999999998</v>
      </c>
      <c r="AD155" s="8">
        <f>IFERROR(AC155/AC444, "NA")</f>
        <v>1.8995071694816887E-2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-5.3741692525989604E-5</v>
      </c>
      <c r="AB156" s="9"/>
      <c r="AC156" s="10">
        <f t="shared" si="39"/>
        <v>-39.67</v>
      </c>
      <c r="AD156" s="8">
        <f>IFERROR(AC156/AC444, "NA")</f>
        <v>-5.8812907350175303E-4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4263.78</v>
      </c>
      <c r="C158" s="15">
        <f>IFERROR(B158/B444, "NA")</f>
        <v>4.0592753324607593E-2</v>
      </c>
      <c r="D158" s="2"/>
      <c r="E158" s="14">
        <f>IFERROR(E153+E154+E155+E156+E157, "NA")</f>
        <v>1897.47</v>
      </c>
      <c r="F158" s="15">
        <f>IFERROR(E158/E444, "NA")</f>
        <v>1.7000007973779346E-2</v>
      </c>
      <c r="G158" s="2"/>
      <c r="H158" s="14">
        <f t="shared" si="36"/>
        <v>-2366.3099999999995</v>
      </c>
      <c r="I158" s="15">
        <f>IFERROR(H158/H444, "NA")</f>
        <v>0.35973803069990762</v>
      </c>
      <c r="J158" s="2"/>
      <c r="K158" s="14">
        <f>IFERROR(K153+K154+K155+K156+K157, "NA")</f>
        <v>4147.3600000000006</v>
      </c>
      <c r="L158" s="15">
        <f>IFERROR(K158/K444, "NA")</f>
        <v>4.3102647314180537E-2</v>
      </c>
      <c r="M158" s="2"/>
      <c r="N158" s="14">
        <f t="shared" si="37"/>
        <v>-116.41999999999916</v>
      </c>
      <c r="O158" s="15">
        <f>IFERROR(N158/N444, "NA")</f>
        <v>-1.3203408706855178E-2</v>
      </c>
      <c r="P158" s="2"/>
      <c r="Q158" s="14">
        <f>IFERROR(Q153+Q154+Q155+Q156+Q157, "NA")</f>
        <v>34956.61</v>
      </c>
      <c r="R158" s="15">
        <f>IFERROR(Q158/Q444, "NA")</f>
        <v>4.3391383874749202E-2</v>
      </c>
      <c r="S158" s="2"/>
      <c r="T158" s="14">
        <f>IFERROR(T153+T154+T155+T156+T157, "NA")</f>
        <v>15164.88</v>
      </c>
      <c r="U158" s="15">
        <f>IFERROR(T158/T444, "NA")</f>
        <v>1.7614325455724184E-2</v>
      </c>
      <c r="V158" s="2"/>
      <c r="W158" s="14">
        <f t="shared" si="38"/>
        <v>-19791.730000000003</v>
      </c>
      <c r="X158" s="15">
        <f>IFERROR(W158/W444, "NA")</f>
        <v>0.35771395398057099</v>
      </c>
      <c r="Y158" s="2"/>
      <c r="Z158" s="14">
        <f>IFERROR(Z153+Z154+Z155+Z156+Z157, "NA")</f>
        <v>34077.960000000006</v>
      </c>
      <c r="AA158" s="15">
        <f>IFERROR(Z158/Z444, "NA")</f>
        <v>4.6166051127627249E-2</v>
      </c>
      <c r="AB158" s="2"/>
      <c r="AC158" s="14">
        <f t="shared" si="39"/>
        <v>-878.64999999999418</v>
      </c>
      <c r="AD158" s="15">
        <f>IFERROR(AC158/AC444, "NA")</f>
        <v>-1.3026458543794098E-2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319.60000000000002</v>
      </c>
      <c r="C161" s="8">
        <f>IFERROR(B161/B444, "NA")</f>
        <v>3.0427095118755161E-3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-319.60000000000002</v>
      </c>
      <c r="I161" s="8">
        <f>IFERROR(H161/H444, "NA")</f>
        <v>4.8587156632770218E-2</v>
      </c>
      <c r="J161" s="9"/>
      <c r="K161" s="7">
        <v>451.74</v>
      </c>
      <c r="L161" s="8">
        <f>IFERROR(K161/K444, "NA")</f>
        <v>4.6948395841470026E-3</v>
      </c>
      <c r="M161" s="9"/>
      <c r="N161" s="10">
        <f t="shared" si="41"/>
        <v>132.13999999999999</v>
      </c>
      <c r="O161" s="8">
        <f>IFERROR(N161/N444, "NA")</f>
        <v>1.4986243141417761E-2</v>
      </c>
      <c r="P161" s="9"/>
      <c r="Q161" s="7">
        <v>3180.49</v>
      </c>
      <c r="R161" s="8">
        <f>IFERROR(Q161/Q444, "NA")</f>
        <v>3.9479189343532188E-3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-3180.49</v>
      </c>
      <c r="X161" s="8">
        <f>IFERROR(W161/W444, "NA")</f>
        <v>5.7483891175539779E-2</v>
      </c>
      <c r="Y161" s="9"/>
      <c r="Z161" s="7">
        <v>2584.6</v>
      </c>
      <c r="AA161" s="8">
        <f>IFERROR(Z161/Z444, "NA")</f>
        <v>3.5014060625831291E-3</v>
      </c>
      <c r="AB161" s="9"/>
      <c r="AC161" s="10">
        <f t="shared" si="43"/>
        <v>-595.88999999999987</v>
      </c>
      <c r="AD161" s="8">
        <f>IFERROR(AC161/AC444, "NA")</f>
        <v>-8.8343895540448584E-3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319.60000000000002</v>
      </c>
      <c r="C166" s="15">
        <f>IFERROR(B166/B444, "NA")</f>
        <v>3.0427095118755161E-3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-319.60000000000002</v>
      </c>
      <c r="I166" s="15">
        <f>IFERROR(H166/H444, "NA")</f>
        <v>4.8587156632770218E-2</v>
      </c>
      <c r="J166" s="2"/>
      <c r="K166" s="14">
        <f>IFERROR(K160+K161+K162+K163+K164+K165, "NA")</f>
        <v>451.74</v>
      </c>
      <c r="L166" s="15">
        <f>IFERROR(K166/K444, "NA")</f>
        <v>4.6948395841470026E-3</v>
      </c>
      <c r="M166" s="2"/>
      <c r="N166" s="14">
        <f t="shared" si="41"/>
        <v>132.13999999999999</v>
      </c>
      <c r="O166" s="15">
        <f>IFERROR(N166/N444, "NA")</f>
        <v>1.4986243141417761E-2</v>
      </c>
      <c r="P166" s="2"/>
      <c r="Q166" s="14">
        <f>IFERROR(Q160+Q161+Q162+Q163+Q164+Q165, "NA")</f>
        <v>3180.49</v>
      </c>
      <c r="R166" s="15">
        <f>IFERROR(Q166/Q444, "NA")</f>
        <v>3.9479189343532188E-3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-3180.49</v>
      </c>
      <c r="X166" s="15">
        <f>IFERROR(W166/W444, "NA")</f>
        <v>5.7483891175539779E-2</v>
      </c>
      <c r="Y166" s="2"/>
      <c r="Z166" s="14">
        <f>IFERROR(Z160+Z161+Z162+Z163+Z164+Z165, "NA")</f>
        <v>2584.6</v>
      </c>
      <c r="AA166" s="15">
        <f>IFERROR(Z166/Z444, "NA")</f>
        <v>3.5014060625831291E-3</v>
      </c>
      <c r="AB166" s="2"/>
      <c r="AC166" s="14">
        <f t="shared" si="43"/>
        <v>-595.88999999999987</v>
      </c>
      <c r="AD166" s="15">
        <f>IFERROR(AC166/AC444, "NA")</f>
        <v>-8.8343895540448584E-3</v>
      </c>
    </row>
    <row r="167" spans="1:30" ht="16.5" customHeight="1" x14ac:dyDescent="0.45">
      <c r="A167" s="6" t="s">
        <v>155</v>
      </c>
      <c r="B167" s="7">
        <v>157.97</v>
      </c>
      <c r="C167" s="8">
        <f>IFERROR(B167/B444, "NA")</f>
        <v>1.5039324830756423E-3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-157.97</v>
      </c>
      <c r="I167" s="8">
        <f>IFERROR(H167/H444, "NA")</f>
        <v>2.4015372757442775E-2</v>
      </c>
      <c r="J167" s="9"/>
      <c r="K167" s="7">
        <v>151.11000000000001</v>
      </c>
      <c r="L167" s="8">
        <f>IFERROR(K167/K444, "NA")</f>
        <v>1.5704547074876115E-3</v>
      </c>
      <c r="M167" s="9"/>
      <c r="N167" s="10">
        <f t="shared" si="41"/>
        <v>-6.8599999999999852</v>
      </c>
      <c r="O167" s="8">
        <f>IFERROR(N167/N444, "NA")</f>
        <v>-7.7800535757624966E-4</v>
      </c>
      <c r="P167" s="9"/>
      <c r="Q167" s="7">
        <v>871.26</v>
      </c>
      <c r="R167" s="8">
        <f>IFERROR(Q167/Q444, "NA")</f>
        <v>1.081488654498076E-3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-871.26</v>
      </c>
      <c r="X167" s="8">
        <f>IFERROR(W167/W444, "NA")</f>
        <v>1.5747075144270473E-2</v>
      </c>
      <c r="Y167" s="9"/>
      <c r="Z167" s="7">
        <v>961.24</v>
      </c>
      <c r="AA167" s="8">
        <f>IFERROR(Z167/Z444, "NA")</f>
        <v>1.3022098443075938E-3</v>
      </c>
      <c r="AB167" s="9"/>
      <c r="AC167" s="10">
        <f t="shared" si="43"/>
        <v>89.980000000000018</v>
      </c>
      <c r="AD167" s="8">
        <f>IFERROR(AC167/AC444, "NA")</f>
        <v>1.3340018662386626E-3</v>
      </c>
    </row>
    <row r="168" spans="1:30" ht="16.5" customHeight="1" x14ac:dyDescent="0.45">
      <c r="A168" s="6" t="s">
        <v>156</v>
      </c>
      <c r="B168" s="7">
        <v>27.31</v>
      </c>
      <c r="C168" s="8">
        <f>IFERROR(B168/B444, "NA")</f>
        <v>2.60001241455946E-4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-27.31</v>
      </c>
      <c r="I168" s="8">
        <f>IFERROR(H168/H444, "NA")</f>
        <v>4.1517998987514225E-3</v>
      </c>
      <c r="J168" s="9"/>
      <c r="K168" s="7">
        <v>41.6</v>
      </c>
      <c r="L168" s="8">
        <f>IFERROR(K168/K444, "NA")</f>
        <v>4.3234012197395695E-4</v>
      </c>
      <c r="M168" s="9"/>
      <c r="N168" s="10">
        <f t="shared" si="41"/>
        <v>14.290000000000003</v>
      </c>
      <c r="O168" s="8">
        <f>IFERROR(N168/N444, "NA")</f>
        <v>1.6206554751843488E-3</v>
      </c>
      <c r="P168" s="9"/>
      <c r="Q168" s="7">
        <v>264.22000000000003</v>
      </c>
      <c r="R168" s="8">
        <f>IFERROR(Q168/Q444, "NA")</f>
        <v>3.2797435012680675E-4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-264.22000000000003</v>
      </c>
      <c r="X168" s="8">
        <f>IFERROR(W168/W444, "NA")</f>
        <v>4.7754885965373651E-3</v>
      </c>
      <c r="Y168" s="9"/>
      <c r="Z168" s="7">
        <v>322.10000000000002</v>
      </c>
      <c r="AA168" s="8">
        <f>IFERROR(Z168/Z444, "NA")</f>
        <v>4.3635490704868293E-4</v>
      </c>
      <c r="AB168" s="9"/>
      <c r="AC168" s="10">
        <f t="shared" si="43"/>
        <v>57.879999999999995</v>
      </c>
      <c r="AD168" s="8">
        <f>IFERROR(AC168/AC444, "NA")</f>
        <v>8.5810211177921503E-4</v>
      </c>
    </row>
    <row r="169" spans="1:30" ht="16.5" customHeight="1" x14ac:dyDescent="0.45">
      <c r="A169" s="6" t="s">
        <v>157</v>
      </c>
      <c r="B169" s="7">
        <v>-1379.24</v>
      </c>
      <c r="C169" s="8">
        <f>IFERROR(B169/B444, "NA")</f>
        <v>-1.3130871924778431E-2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1379.24</v>
      </c>
      <c r="I169" s="8">
        <f>IFERROR(H169/H444, "NA")</f>
        <v>-0.20967881700307256</v>
      </c>
      <c r="J169" s="9"/>
      <c r="K169" s="7">
        <v>-3019.83</v>
      </c>
      <c r="L169" s="8">
        <f>IFERROR(K169/K444, "NA")</f>
        <v>-3.1384463234149382E-2</v>
      </c>
      <c r="M169" s="9"/>
      <c r="N169" s="10">
        <f t="shared" si="41"/>
        <v>-1640.59</v>
      </c>
      <c r="O169" s="8">
        <f>IFERROR(N169/N444, "NA")</f>
        <v>-0.1860623629134143</v>
      </c>
      <c r="P169" s="9"/>
      <c r="Q169" s="7">
        <v>-15898.38</v>
      </c>
      <c r="R169" s="8">
        <f>IFERROR(Q169/Q444, "NA")</f>
        <v>-1.9734542610585954E-2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15898.38</v>
      </c>
      <c r="X169" s="8">
        <f>IFERROR(W169/W444, "NA")</f>
        <v>-0.28734589506251496</v>
      </c>
      <c r="Y169" s="9"/>
      <c r="Z169" s="7">
        <v>-20853.59</v>
      </c>
      <c r="AA169" s="8">
        <f>IFERROR(Z169/Z444, "NA")</f>
        <v>-2.8250749227200694E-2</v>
      </c>
      <c r="AB169" s="9"/>
      <c r="AC169" s="10">
        <f t="shared" si="43"/>
        <v>-4955.2100000000009</v>
      </c>
      <c r="AD169" s="8">
        <f>IFERROR(AC169/AC444, "NA")</f>
        <v>-7.3463651784890893E-2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3389.420000000001</v>
      </c>
      <c r="C170" s="15">
        <f>IFERROR(B170/B444, "NA")</f>
        <v>3.2268524636236279E-2</v>
      </c>
      <c r="D170" s="2"/>
      <c r="E170" s="14">
        <f>IFERROR(E151+E153+E154+E155+E156+E157+E160+E161+E162+E163+E164+E165+E167+E168+E169, "NA")</f>
        <v>1897.47</v>
      </c>
      <c r="F170" s="15">
        <f>IFERROR(E170/E444, "NA")</f>
        <v>1.7000007973779346E-2</v>
      </c>
      <c r="G170" s="2"/>
      <c r="H170" s="14">
        <f t="shared" si="40"/>
        <v>-1491.950000000001</v>
      </c>
      <c r="I170" s="15">
        <f>IFERROR(H170/H444, "NA")</f>
        <v>0.22681354298579967</v>
      </c>
      <c r="J170" s="2"/>
      <c r="K170" s="14">
        <f>IFERROR(K151+K153+K154+K155+K156+K157+K160+K161+K162+K163+K164+K165+K167+K168+K169, "NA")</f>
        <v>1771.9800000000005</v>
      </c>
      <c r="L170" s="15">
        <f>IFERROR(K170/K444, "NA")</f>
        <v>1.8415818493639723E-2</v>
      </c>
      <c r="M170" s="2"/>
      <c r="N170" s="14">
        <f t="shared" si="41"/>
        <v>-1617.4400000000005</v>
      </c>
      <c r="O170" s="15">
        <f>IFERROR(N170/N444, "NA")</f>
        <v>-0.18343687836124378</v>
      </c>
      <c r="P170" s="2"/>
      <c r="Q170" s="14">
        <f>IFERROR(Q151+Q153+Q154+Q155+Q156+Q157+Q160+Q161+Q162+Q163+Q164+Q165+Q167+Q168+Q169, "NA")</f>
        <v>23374.200000000004</v>
      </c>
      <c r="R170" s="15">
        <f>IFERROR(Q170/Q444, "NA")</f>
        <v>2.901422320314135E-2</v>
      </c>
      <c r="S170" s="2"/>
      <c r="T170" s="14">
        <f>IFERROR(T151+T153+T154+T155+T156+T157+T160+T161+T162+T163+T164+T165+T167+T168+T169, "NA")</f>
        <v>15164.88</v>
      </c>
      <c r="U170" s="15">
        <f>IFERROR(T170/T444, "NA")</f>
        <v>1.7614325455724184E-2</v>
      </c>
      <c r="V170" s="2"/>
      <c r="W170" s="14">
        <f t="shared" si="42"/>
        <v>-8209.3200000000052</v>
      </c>
      <c r="X170" s="15">
        <f>IFERROR(W170/W444, "NA")</f>
        <v>0.1483745138344037</v>
      </c>
      <c r="Y170" s="2"/>
      <c r="Z170" s="14">
        <f>IFERROR(Z151+Z153+Z154+Z155+Z156+Z157+Z160+Z161+Z162+Z163+Z164+Z165+Z167+Z168+Z169, "NA")</f>
        <v>17092.310000000001</v>
      </c>
      <c r="AA170" s="15">
        <f>IFERROR(Z170/Z444, "NA")</f>
        <v>2.3155272714365956E-2</v>
      </c>
      <c r="AB170" s="2"/>
      <c r="AC170" s="14">
        <f t="shared" si="43"/>
        <v>-6281.8900000000031</v>
      </c>
      <c r="AD170" s="15">
        <f>IFERROR(AC170/AC444, "NA")</f>
        <v>-9.313239590471209E-2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31984.91</v>
      </c>
      <c r="C171" s="15">
        <f>IFERROR(B171/B444, "NA")</f>
        <v>0.30450810354656543</v>
      </c>
      <c r="D171" s="2"/>
      <c r="E171" s="14">
        <f>IFERROR(E127+E129+E130+E131+E132+E133+E134+E135+E136+E137+E138+E139+E140+E143+E144+E145+E146+E147+E151+E153+E154+E155+E156+E157+E160+E161+E162+E163+E164+E165+E167+E168+E169, "NA")</f>
        <v>26787.800000000003</v>
      </c>
      <c r="F171" s="15">
        <f>IFERROR(E171/E444, "NA")</f>
        <v>0.24000000716744213</v>
      </c>
      <c r="G171" s="2"/>
      <c r="H171" s="14">
        <f t="shared" si="40"/>
        <v>-5197.1099999999969</v>
      </c>
      <c r="I171" s="15">
        <f>IFERROR(H171/H444, "NA")</f>
        <v>0.79009010515562039</v>
      </c>
      <c r="J171" s="2"/>
      <c r="K171" s="14">
        <f>IFERROR(K127+K129+K130+K131+K132+K133+K134+K135+K136+K137+K138+K139+K140+K143+K144+K145+K146+K147+K151+K153+K154+K155+K156+K157+K160+K161+K162+K163+K164+K165+K167+K168+K169, "NA")</f>
        <v>27353.329999999994</v>
      </c>
      <c r="L171" s="15">
        <f>IFERROR(K171/K444, "NA")</f>
        <v>0.28427745261043014</v>
      </c>
      <c r="M171" s="2"/>
      <c r="N171" s="14">
        <f t="shared" si="41"/>
        <v>-4631.5800000000054</v>
      </c>
      <c r="O171" s="15">
        <f>IFERROR(N171/N444, "NA")</f>
        <v>-0.5252761011724516</v>
      </c>
      <c r="P171" s="2"/>
      <c r="Q171" s="14">
        <f>IFERROR(Q127+Q129+Q130+Q131+Q132+Q133+Q134+Q135+Q136+Q137+Q138+Q139+Q140+Q143+Q144+Q145+Q146+Q147+Q151+Q153+Q154+Q155+Q156+Q157+Q160+Q161+Q162+Q163+Q164+Q165+Q167+Q168+Q169, "NA")</f>
        <v>241040.22999999995</v>
      </c>
      <c r="R171" s="15">
        <f>IFERROR(Q171/Q444, "NA")</f>
        <v>0.29920147145812581</v>
      </c>
      <c r="S171" s="2"/>
      <c r="T171" s="14">
        <f>IFERROR(T127+T129+T130+T131+T132+T133+T134+T135+T136+T137+T138+T139+T140+T143+T144+T145+T146+T147+T151+T153+T154+T155+T156+T157+T160+T161+T162+T163+T164+T165+T167+T168+T169, "NA")</f>
        <v>214910.71</v>
      </c>
      <c r="U171" s="15">
        <f>IFERROR(T171/T444, "NA")</f>
        <v>0.24962328682197013</v>
      </c>
      <c r="V171" s="2"/>
      <c r="W171" s="14">
        <f t="shared" si="42"/>
        <v>-26129.51999999996</v>
      </c>
      <c r="X171" s="15">
        <f>IFERROR(W171/W444, "NA")</f>
        <v>0.47226260235029449</v>
      </c>
      <c r="Y171" s="2"/>
      <c r="Z171" s="14">
        <f>IFERROR(Z127+Z129+Z130+Z131+Z132+Z133+Z134+Z135+Z136+Z137+Z138+Z139+Z140+Z143+Z144+Z145+Z146+Z147+Z151+Z153+Z154+Z155+Z156+Z157+Z160+Z161+Z162+Z163+Z164+Z165+Z167+Z168+Z169, "NA")</f>
        <v>209384.46999999997</v>
      </c>
      <c r="AA171" s="15">
        <f>IFERROR(Z171/Z444, "NA")</f>
        <v>0.28365706595556572</v>
      </c>
      <c r="AB171" s="2"/>
      <c r="AC171" s="14">
        <f t="shared" si="43"/>
        <v>-31655.75999999998</v>
      </c>
      <c r="AD171" s="15">
        <f>IFERROR(AC171/AC444, "NA")</f>
        <v>-0.46931365767062866</v>
      </c>
    </row>
    <row r="172" spans="1:30" ht="16.5" customHeight="1" x14ac:dyDescent="0.45">
      <c r="A172" s="22" t="s">
        <v>160</v>
      </c>
      <c r="B172" s="23">
        <f>IFERROR(B124-B171, "NA")</f>
        <v>73053.049999999988</v>
      </c>
      <c r="C172" s="24">
        <f>IFERROR(B172/B444, "NA")</f>
        <v>0.69549189645343434</v>
      </c>
      <c r="D172" s="25"/>
      <c r="E172" s="23">
        <f>IFERROR(E124-E171, "NA")</f>
        <v>84828.030000000013</v>
      </c>
      <c r="F172" s="24">
        <f>IFERROR(E172/E444, "NA")</f>
        <v>0.75999999283255804</v>
      </c>
      <c r="G172" s="25"/>
      <c r="H172" s="23">
        <f>IFERROR(B172-E172, "NA")</f>
        <v>-11774.980000000025</v>
      </c>
      <c r="I172" s="24">
        <f>IFERROR(H172/H444, "NA")</f>
        <v>1.7900901051556253</v>
      </c>
      <c r="J172" s="25"/>
      <c r="K172" s="23">
        <f>IFERROR(K124-K171, "NA")</f>
        <v>68867.209999999992</v>
      </c>
      <c r="L172" s="24">
        <f>IFERROR(K172/K444, "NA")</f>
        <v>0.71572254738956975</v>
      </c>
      <c r="M172" s="25"/>
      <c r="N172" s="23">
        <f>IFERROR(B172-K172, "NA")</f>
        <v>4185.8399999999965</v>
      </c>
      <c r="O172" s="24">
        <f>IFERROR(N172/N444, "NA")</f>
        <v>0.47472389882754712</v>
      </c>
      <c r="P172" s="25"/>
      <c r="Q172" s="23">
        <f>IFERROR(Q124-Q171, "NA")</f>
        <v>564571.54999999993</v>
      </c>
      <c r="R172" s="24">
        <f>IFERROR(Q172/Q444, "NA")</f>
        <v>0.70079852854187397</v>
      </c>
      <c r="S172" s="25"/>
      <c r="T172" s="23">
        <f>IFERROR(T124-T171, "NA")</f>
        <v>646029.43999999994</v>
      </c>
      <c r="U172" s="24">
        <f>IFERROR(T172/T444, "NA")</f>
        <v>0.75037671317802979</v>
      </c>
      <c r="V172" s="25"/>
      <c r="W172" s="23">
        <f>IFERROR(Q172-T172, "NA")</f>
        <v>-81457.890000000014</v>
      </c>
      <c r="X172" s="24">
        <f>IFERROR(W172/W444, "NA")</f>
        <v>1.4722626023502956</v>
      </c>
      <c r="Y172" s="25"/>
      <c r="Z172" s="23">
        <f>IFERROR(Z124-Z171, "NA")</f>
        <v>528776.13</v>
      </c>
      <c r="AA172" s="24">
        <f>IFERROR(Z172/Z444, "NA")</f>
        <v>0.71634293404443428</v>
      </c>
      <c r="AB172" s="25"/>
      <c r="AC172" s="23">
        <f>IFERROR(Q172-Z172, "NA")</f>
        <v>35795.419999999925</v>
      </c>
      <c r="AD172" s="24">
        <f>IFERROR(AC172/AC444, "NA")</f>
        <v>0.53068634232936918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4.9432795534109758E-2</v>
      </c>
      <c r="D178" s="9"/>
      <c r="E178" s="7">
        <v>5461.54</v>
      </c>
      <c r="F178" s="8">
        <f>IFERROR(E178/E444, "NA")</f>
        <v>4.893158972163715E-2</v>
      </c>
      <c r="G178" s="9"/>
      <c r="H178" s="10">
        <f t="shared" si="44"/>
        <v>269.22000000000025</v>
      </c>
      <c r="I178" s="8">
        <f>IFERROR(H178/H444, "NA")</f>
        <v>-4.0928142392598281E-2</v>
      </c>
      <c r="J178" s="9"/>
      <c r="K178" s="7">
        <v>5192.32</v>
      </c>
      <c r="L178" s="8">
        <f>IFERROR(K178/K444, "NA")</f>
        <v>5.396269860884173E-2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38667.4</v>
      </c>
      <c r="R178" s="8">
        <f>IFERROR(Q178/Q444, "NA")</f>
        <v>4.7997560313728281E-2</v>
      </c>
      <c r="S178" s="9"/>
      <c r="T178" s="7">
        <v>40961.54</v>
      </c>
      <c r="U178" s="8">
        <f>IFERROR(T178/T444, "NA")</f>
        <v>4.7577685858883452E-2</v>
      </c>
      <c r="V178" s="9"/>
      <c r="W178" s="10">
        <f t="shared" si="46"/>
        <v>2294.1399999999994</v>
      </c>
      <c r="X178" s="8">
        <f>IFERROR(W178/W444, "NA")</f>
        <v>-4.1464080723867335E-2</v>
      </c>
      <c r="Y178" s="9"/>
      <c r="Z178" s="7">
        <v>38942.400000000001</v>
      </c>
      <c r="AA178" s="8">
        <f>IFERROR(Z178/Z444, "NA")</f>
        <v>5.2755999168744586E-2</v>
      </c>
      <c r="AB178" s="9"/>
      <c r="AC178" s="10">
        <f t="shared" si="47"/>
        <v>275</v>
      </c>
      <c r="AD178" s="8">
        <f>IFERROR(AC178/AC444, "NA")</f>
        <v>4.0770228185778188E-3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23942.36</v>
      </c>
      <c r="C180" s="8">
        <f>IFERROR(B180/B444, "NA")</f>
        <v>0.22794007042787198</v>
      </c>
      <c r="D180" s="9"/>
      <c r="E180" s="7">
        <v>21988.32</v>
      </c>
      <c r="F180" s="8">
        <f>IFERROR(E180/E444, "NA")</f>
        <v>0.19700001334936093</v>
      </c>
      <c r="G180" s="9"/>
      <c r="H180" s="10">
        <f t="shared" si="44"/>
        <v>-1954.0400000000009</v>
      </c>
      <c r="I180" s="8">
        <f>IFERROR(H180/H444, "NA")</f>
        <v>0.29706272699217257</v>
      </c>
      <c r="J180" s="9"/>
      <c r="K180" s="7">
        <v>23114.62</v>
      </c>
      <c r="L180" s="8">
        <f>IFERROR(K180/K444, "NA")</f>
        <v>0.24022542380244385</v>
      </c>
      <c r="M180" s="9"/>
      <c r="N180" s="10">
        <f t="shared" si="45"/>
        <v>-827.7400000000016</v>
      </c>
      <c r="O180" s="8">
        <f>IFERROR(N180/N444, "NA")</f>
        <v>-9.3875532752211013E-2</v>
      </c>
      <c r="P180" s="9"/>
      <c r="Q180" s="7">
        <v>166754.59</v>
      </c>
      <c r="R180" s="8">
        <f>IFERROR(Q180/Q444, "NA")</f>
        <v>0.20699125079824426</v>
      </c>
      <c r="S180" s="9"/>
      <c r="T180" s="7">
        <v>177925.04</v>
      </c>
      <c r="U180" s="8">
        <f>IFERROR(T180/T444, "NA")</f>
        <v>0.20666365716594817</v>
      </c>
      <c r="V180" s="9"/>
      <c r="W180" s="10">
        <f t="shared" si="46"/>
        <v>11170.450000000012</v>
      </c>
      <c r="X180" s="8">
        <f>IFERROR(W180/W444, "NA")</f>
        <v>-0.20189371203236264</v>
      </c>
      <c r="Y180" s="9"/>
      <c r="Z180" s="7">
        <v>169232.09</v>
      </c>
      <c r="AA180" s="8">
        <f>IFERROR(Z180/Z444, "NA")</f>
        <v>0.2292618842024351</v>
      </c>
      <c r="AB180" s="9"/>
      <c r="AC180" s="10">
        <f t="shared" si="47"/>
        <v>2477.5</v>
      </c>
      <c r="AD180" s="8">
        <f>IFERROR(AC180/AC444, "NA")</f>
        <v>3.6730269211005619E-2</v>
      </c>
    </row>
    <row r="181" spans="1:30" ht="16.5" customHeight="1" x14ac:dyDescent="0.45">
      <c r="A181" s="12" t="s">
        <v>166</v>
      </c>
      <c r="B181" s="7">
        <v>281.31</v>
      </c>
      <c r="C181" s="8">
        <f>IFERROR(B181/B444, "NA")</f>
        <v>2.6781746332468757E-3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-281.31</v>
      </c>
      <c r="I181" s="8">
        <f>IFERROR(H181/H444, "NA")</f>
        <v>4.2766123380364798E-2</v>
      </c>
      <c r="J181" s="9"/>
      <c r="K181" s="7">
        <v>77.3</v>
      </c>
      <c r="L181" s="8">
        <f>IFERROR(K181/K444, "NA")</f>
        <v>8.033627747256459E-4</v>
      </c>
      <c r="M181" s="9"/>
      <c r="N181" s="10">
        <f t="shared" si="45"/>
        <v>-204.01</v>
      </c>
      <c r="O181" s="8">
        <f>IFERROR(N181/N444, "NA")</f>
        <v>-2.3137153498415601E-2</v>
      </c>
      <c r="P181" s="9"/>
      <c r="Q181" s="7">
        <v>1267.8599999999999</v>
      </c>
      <c r="R181" s="8">
        <f>IFERROR(Q181/Q444, "NA")</f>
        <v>1.573785328710064E-3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-1267.8599999999999</v>
      </c>
      <c r="X181" s="8">
        <f>IFERROR(W181/W444, "NA")</f>
        <v>2.2915187994874964E-2</v>
      </c>
      <c r="Y181" s="9"/>
      <c r="Z181" s="7">
        <v>872.86</v>
      </c>
      <c r="AA181" s="8">
        <f>IFERROR(Z181/Z444, "NA")</f>
        <v>1.1824798018209045E-3</v>
      </c>
      <c r="AB181" s="9"/>
      <c r="AC181" s="10">
        <f t="shared" si="47"/>
        <v>-394.99999999999989</v>
      </c>
      <c r="AD181" s="8">
        <f>IFERROR(AC181/AC444, "NA")</f>
        <v>-5.8560873212299561E-3</v>
      </c>
    </row>
    <row r="182" spans="1:30" ht="16.5" customHeight="1" x14ac:dyDescent="0.45">
      <c r="A182" s="13" t="s">
        <v>167</v>
      </c>
      <c r="B182" s="14">
        <f>IFERROR(B177+B178+B179+B180+B181, "NA")</f>
        <v>29415.99</v>
      </c>
      <c r="C182" s="15">
        <f>IFERROR(B182/B444, "NA")</f>
        <v>0.28005104059522862</v>
      </c>
      <c r="D182" s="2"/>
      <c r="E182" s="14">
        <f>IFERROR(E177+E178+E179+E180+E181, "NA")</f>
        <v>27449.86</v>
      </c>
      <c r="F182" s="15">
        <f>IFERROR(E182/E444, "NA")</f>
        <v>0.24593160307099809</v>
      </c>
      <c r="G182" s="2"/>
      <c r="H182" s="14">
        <f t="shared" si="44"/>
        <v>-1966.130000000001</v>
      </c>
      <c r="I182" s="15">
        <f>IFERROR(H182/H444, "NA")</f>
        <v>0.29890070797993917</v>
      </c>
      <c r="J182" s="2"/>
      <c r="K182" s="14">
        <f>IFERROR(K177+K178+K179+K180+K181, "NA")</f>
        <v>28384.239999999998</v>
      </c>
      <c r="L182" s="15">
        <f>IFERROR(K182/K444, "NA")</f>
        <v>0.2949914851860112</v>
      </c>
      <c r="M182" s="2"/>
      <c r="N182" s="14">
        <f t="shared" si="45"/>
        <v>-1031.7500000000036</v>
      </c>
      <c r="O182" s="15">
        <f>IFERROR(N182/N444, "NA")</f>
        <v>-0.11701268625062684</v>
      </c>
      <c r="P182" s="2"/>
      <c r="Q182" s="14">
        <f>IFERROR(Q177+Q178+Q179+Q180+Q181, "NA")</f>
        <v>206689.84999999998</v>
      </c>
      <c r="R182" s="15">
        <f>IFERROR(Q182/Q444, "NA")</f>
        <v>0.25656259644068258</v>
      </c>
      <c r="S182" s="2"/>
      <c r="T182" s="14">
        <f>IFERROR(T177+T178+T179+T180+T181, "NA")</f>
        <v>218886.58000000002</v>
      </c>
      <c r="U182" s="15">
        <f>IFERROR(T182/T444, "NA")</f>
        <v>0.25424134302483165</v>
      </c>
      <c r="V182" s="2"/>
      <c r="W182" s="14">
        <f t="shared" si="46"/>
        <v>12196.73000000004</v>
      </c>
      <c r="X182" s="15">
        <f>IFERROR(W182/W444, "NA")</f>
        <v>-0.22044260476135552</v>
      </c>
      <c r="Y182" s="2"/>
      <c r="Z182" s="14">
        <f>IFERROR(Z177+Z178+Z179+Z180+Z181, "NA")</f>
        <v>209047.34999999998</v>
      </c>
      <c r="AA182" s="15">
        <f>IFERROR(Z182/Z444, "NA")</f>
        <v>0.28320036317300057</v>
      </c>
      <c r="AB182" s="2"/>
      <c r="AC182" s="14">
        <f t="shared" si="47"/>
        <v>2357.5</v>
      </c>
      <c r="AD182" s="15">
        <f>IFERROR(AC182/AC444, "NA")</f>
        <v>3.495120470835348E-2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-1000</v>
      </c>
      <c r="C184" s="8">
        <f>IFERROR(B184/B444, "NA")</f>
        <v>-9.5203676842162584E-3</v>
      </c>
      <c r="D184" s="9"/>
      <c r="E184" s="7">
        <v>500</v>
      </c>
      <c r="F184" s="8">
        <f>IFERROR(E184/E444, "NA")</f>
        <v>4.4796513182762693E-3</v>
      </c>
      <c r="G184" s="9"/>
      <c r="H184" s="10">
        <f t="shared" si="44"/>
        <v>1500</v>
      </c>
      <c r="I184" s="8">
        <f>IFERROR(H184/H444, "NA")</f>
        <v>-0.22803734339535459</v>
      </c>
      <c r="J184" s="9"/>
      <c r="K184" s="7">
        <v>300</v>
      </c>
      <c r="L184" s="8">
        <f>IFERROR(K184/K444, "NA")</f>
        <v>3.1178374180814202E-3</v>
      </c>
      <c r="M184" s="9"/>
      <c r="N184" s="10">
        <f t="shared" si="45"/>
        <v>1300</v>
      </c>
      <c r="O184" s="8">
        <f>IFERROR(N184/N444, "NA")</f>
        <v>0.14743541761649079</v>
      </c>
      <c r="P184" s="9"/>
      <c r="Q184" s="7">
        <v>1300</v>
      </c>
      <c r="R184" s="8">
        <f>IFERROR(Q184/Q444, "NA")</f>
        <v>1.6136804752284034E-3</v>
      </c>
      <c r="S184" s="9"/>
      <c r="T184" s="7">
        <v>3500</v>
      </c>
      <c r="U184" s="8">
        <f>IFERROR(T184/T444, "NA")</f>
        <v>4.0653232399487935E-3</v>
      </c>
      <c r="V184" s="9"/>
      <c r="W184" s="10">
        <f t="shared" si="46"/>
        <v>2200</v>
      </c>
      <c r="X184" s="8">
        <f>IFERROR(W184/W444, "NA")</f>
        <v>-3.9762602802142916E-2</v>
      </c>
      <c r="Y184" s="9"/>
      <c r="Z184" s="7">
        <v>1700</v>
      </c>
      <c r="AA184" s="8">
        <f>IFERROR(Z184/Z444, "NA")</f>
        <v>2.3030218627220146E-3</v>
      </c>
      <c r="AB184" s="9"/>
      <c r="AC184" s="10">
        <f t="shared" si="47"/>
        <v>400</v>
      </c>
      <c r="AD184" s="8">
        <f>IFERROR(AC184/AC444, "NA")</f>
        <v>5.9302150088404639E-3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2579.46</v>
      </c>
      <c r="C186" s="8">
        <f>IFERROR(B186/B444, "NA")</f>
        <v>2.4557407626728468E-2</v>
      </c>
      <c r="D186" s="9"/>
      <c r="E186" s="7">
        <v>2791.66</v>
      </c>
      <c r="F186" s="8">
        <f>IFERROR(E186/E444, "NA")</f>
        <v>2.5011326798358258E-2</v>
      </c>
      <c r="G186" s="9"/>
      <c r="H186" s="10">
        <f t="shared" ref="H186:H197" si="48">IFERROR(-(B186-E186), "NA")</f>
        <v>212.19999999999982</v>
      </c>
      <c r="I186" s="8">
        <f>IFERROR(H186/H444, "NA")</f>
        <v>-3.2259682845662802E-2</v>
      </c>
      <c r="J186" s="9"/>
      <c r="K186" s="7">
        <v>2622.27</v>
      </c>
      <c r="L186" s="8">
        <f>IFERROR(K186/K444, "NA")</f>
        <v>2.7252705087707885E-2</v>
      </c>
      <c r="M186" s="9"/>
      <c r="N186" s="10">
        <f t="shared" ref="N186:N197" si="49">IFERROR(-(B186-K186), "NA")</f>
        <v>42.809999999999945</v>
      </c>
      <c r="O186" s="8">
        <f>IFERROR(N186/N444, "NA")</f>
        <v>4.8551617139707404E-3</v>
      </c>
      <c r="P186" s="9"/>
      <c r="Q186" s="7">
        <v>19054.25</v>
      </c>
      <c r="R186" s="8">
        <f>IFERROR(Q186/Q444, "NA")</f>
        <v>2.3651900919323697E-2</v>
      </c>
      <c r="S186" s="9"/>
      <c r="T186" s="7">
        <v>24744.46</v>
      </c>
      <c r="U186" s="8">
        <f>IFERROR(T186/T444, "NA")</f>
        <v>2.8741208085138088E-2</v>
      </c>
      <c r="V186" s="9"/>
      <c r="W186" s="10">
        <f t="shared" ref="W186:W197" si="50">IFERROR(-(Q186-T186), "NA")</f>
        <v>5690.2099999999991</v>
      </c>
      <c r="X186" s="8">
        <f>IFERROR(W186/W444, "NA")</f>
        <v>-0.10284434549580983</v>
      </c>
      <c r="Y186" s="9"/>
      <c r="Z186" s="7">
        <v>22013.87</v>
      </c>
      <c r="AA186" s="8">
        <f>IFERROR(Z186/Z444, "NA")</f>
        <v>2.9822602290070752E-2</v>
      </c>
      <c r="AB186" s="9"/>
      <c r="AC186" s="10">
        <f t="shared" ref="AC186:AC197" si="51">IFERROR(-(Q186-Z186), "NA")</f>
        <v>2959.619999999999</v>
      </c>
      <c r="AD186" s="8">
        <f>IFERROR(AC186/AC444, "NA")</f>
        <v>4.387795736116102E-2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2.7094374855553117E-8</v>
      </c>
      <c r="AB187" s="9"/>
      <c r="AC187" s="10">
        <f t="shared" si="51"/>
        <v>0.02</v>
      </c>
      <c r="AD187" s="8">
        <f>IFERROR(AC187/AC444, "NA")</f>
        <v>2.9651075044202316E-7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2579.46</v>
      </c>
      <c r="C193" s="15">
        <f>IFERROR(B193/B444, "NA")</f>
        <v>2.4557407626728468E-2</v>
      </c>
      <c r="D193" s="2"/>
      <c r="E193" s="14">
        <f>IFERROR(E186+E187+E188+E189+E190+E191+E192, "NA")</f>
        <v>2791.66</v>
      </c>
      <c r="F193" s="15">
        <f>IFERROR(E193/E444, "NA")</f>
        <v>2.5011326798358258E-2</v>
      </c>
      <c r="G193" s="2"/>
      <c r="H193" s="14">
        <f t="shared" si="48"/>
        <v>212.19999999999982</v>
      </c>
      <c r="I193" s="15">
        <f>IFERROR(H193/H444, "NA")</f>
        <v>-3.2259682845662802E-2</v>
      </c>
      <c r="J193" s="2"/>
      <c r="K193" s="14">
        <f>IFERROR(K186+K187+K188+K189+K190+K191+K192, "NA")</f>
        <v>2622.27</v>
      </c>
      <c r="L193" s="15">
        <f>IFERROR(K193/K444, "NA")</f>
        <v>2.7252705087707885E-2</v>
      </c>
      <c r="M193" s="2"/>
      <c r="N193" s="14">
        <f t="shared" si="49"/>
        <v>42.809999999999945</v>
      </c>
      <c r="O193" s="15">
        <f>IFERROR(N193/N444, "NA")</f>
        <v>4.8551617139707404E-3</v>
      </c>
      <c r="P193" s="2"/>
      <c r="Q193" s="14">
        <f>IFERROR(Q186+Q187+Q188+Q189+Q190+Q191+Q192, "NA")</f>
        <v>19054.25</v>
      </c>
      <c r="R193" s="15">
        <f>IFERROR(Q193/Q444, "NA")</f>
        <v>2.3651900919323697E-2</v>
      </c>
      <c r="S193" s="2"/>
      <c r="T193" s="14">
        <f>IFERROR(T186+T187+T188+T189+T190+T191+T192, "NA")</f>
        <v>24744.46</v>
      </c>
      <c r="U193" s="15">
        <f>IFERROR(T193/T444, "NA")</f>
        <v>2.8741208085138088E-2</v>
      </c>
      <c r="V193" s="2"/>
      <c r="W193" s="14">
        <f t="shared" si="50"/>
        <v>5690.2099999999991</v>
      </c>
      <c r="X193" s="15">
        <f>IFERROR(W193/W444, "NA")</f>
        <v>-0.10284434549580983</v>
      </c>
      <c r="Y193" s="2"/>
      <c r="Z193" s="14">
        <f>IFERROR(Z186+Z187+Z188+Z189+Z190+Z191+Z192, "NA")</f>
        <v>22013.89</v>
      </c>
      <c r="AA193" s="15">
        <f>IFERROR(Z193/Z444, "NA")</f>
        <v>2.9822629384445607E-2</v>
      </c>
      <c r="AB193" s="2"/>
      <c r="AC193" s="14">
        <f t="shared" si="51"/>
        <v>2959.6399999999994</v>
      </c>
      <c r="AD193" s="15">
        <f>IFERROR(AC193/AC444, "NA")</f>
        <v>4.3878253871911466E-2</v>
      </c>
    </row>
    <row r="194" spans="1:30" ht="16.5" customHeight="1" x14ac:dyDescent="0.45">
      <c r="A194" s="6" t="s">
        <v>178</v>
      </c>
      <c r="B194" s="7">
        <v>288.32</v>
      </c>
      <c r="C194" s="8">
        <f>IFERROR(B194/B444, "NA")</f>
        <v>2.7449124107132316E-3</v>
      </c>
      <c r="D194" s="9"/>
      <c r="E194" s="7">
        <v>223.6</v>
      </c>
      <c r="F194" s="8">
        <f>IFERROR(E194/E444, "NA")</f>
        <v>2.0033000695331479E-3</v>
      </c>
      <c r="G194" s="9"/>
      <c r="H194" s="10">
        <f t="shared" si="48"/>
        <v>-64.72</v>
      </c>
      <c r="I194" s="8">
        <f>IFERROR(H194/H444, "NA")</f>
        <v>9.8390512430315651E-3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-288.32</v>
      </c>
      <c r="O194" s="8">
        <f>IFERROR(N194/N444, "NA")</f>
        <v>-3.2698907390143556E-2</v>
      </c>
      <c r="P194" s="9"/>
      <c r="Q194" s="7">
        <v>2011.48</v>
      </c>
      <c r="R194" s="8">
        <f>IFERROR(Q194/Q444, "NA")</f>
        <v>2.496835386394176E-3</v>
      </c>
      <c r="S194" s="9"/>
      <c r="T194" s="7">
        <v>1779.1</v>
      </c>
      <c r="U194" s="8">
        <f>IFERROR(T194/T444, "NA")</f>
        <v>2.0664618789122562E-3</v>
      </c>
      <c r="V194" s="9"/>
      <c r="W194" s="10">
        <f t="shared" si="50"/>
        <v>-232.38000000000011</v>
      </c>
      <c r="X194" s="8">
        <f>IFERROR(W194/W444, "NA")</f>
        <v>4.2000152905281706E-3</v>
      </c>
      <c r="Y194" s="9"/>
      <c r="Z194" s="7">
        <v>1828.5</v>
      </c>
      <c r="AA194" s="8">
        <f>IFERROR(Z194/Z444, "NA")</f>
        <v>2.4771032211689434E-3</v>
      </c>
      <c r="AB194" s="9"/>
      <c r="AC194" s="10">
        <f t="shared" si="51"/>
        <v>-182.98000000000002</v>
      </c>
      <c r="AD194" s="8">
        <f>IFERROR(AC194/AC444, "NA")</f>
        <v>-2.7127768557940702E-3</v>
      </c>
    </row>
    <row r="195" spans="1:30" ht="16.5" customHeight="1" x14ac:dyDescent="0.45">
      <c r="A195" s="6" t="s">
        <v>179</v>
      </c>
      <c r="B195" s="7">
        <v>873.39</v>
      </c>
      <c r="C195" s="8">
        <f>IFERROR(B195/B444, "NA")</f>
        <v>8.3149939317176368E-3</v>
      </c>
      <c r="D195" s="9"/>
      <c r="E195" s="7">
        <v>195.65</v>
      </c>
      <c r="F195" s="8">
        <f>IFERROR(E195/E444, "NA")</f>
        <v>1.7528875608415044E-3</v>
      </c>
      <c r="G195" s="9"/>
      <c r="H195" s="10">
        <f t="shared" si="48"/>
        <v>-677.74</v>
      </c>
      <c r="I195" s="8">
        <f>IFERROR(H195/H444, "NA")</f>
        <v>0.10303335274184508</v>
      </c>
      <c r="J195" s="9"/>
      <c r="K195" s="7">
        <v>995.25</v>
      </c>
      <c r="L195" s="8">
        <f>IFERROR(K195/K444, "NA")</f>
        <v>1.0343425634485112E-2</v>
      </c>
      <c r="M195" s="9"/>
      <c r="N195" s="10">
        <f t="shared" si="49"/>
        <v>121.86000000000001</v>
      </c>
      <c r="O195" s="8">
        <f>IFERROR(N195/N444, "NA")</f>
        <v>1.3820369223650437E-2</v>
      </c>
      <c r="P195" s="9"/>
      <c r="Q195" s="7">
        <v>6029.14</v>
      </c>
      <c r="R195" s="8">
        <f>IFERROR(Q195/Q444, "NA")</f>
        <v>7.4839273080142899E-3</v>
      </c>
      <c r="S195" s="9"/>
      <c r="T195" s="7">
        <v>1556.71</v>
      </c>
      <c r="U195" s="8">
        <f>IFERROR(T195/T444, "NA")</f>
        <v>1.8081512402459102E-3</v>
      </c>
      <c r="V195" s="9"/>
      <c r="W195" s="10">
        <f t="shared" si="50"/>
        <v>-4472.43</v>
      </c>
      <c r="X195" s="8">
        <f>IFERROR(W195/W444, "NA")</f>
        <v>8.0834298931994578E-2</v>
      </c>
      <c r="Y195" s="9"/>
      <c r="Z195" s="7">
        <v>5704.58</v>
      </c>
      <c r="AA195" s="8">
        <f>IFERROR(Z195/Z444, "NA")</f>
        <v>7.7281014456745591E-3</v>
      </c>
      <c r="AB195" s="9"/>
      <c r="AC195" s="10">
        <f t="shared" si="51"/>
        <v>-324.5600000000004</v>
      </c>
      <c r="AD195" s="8">
        <f>IFERROR(AC195/AC444, "NA")</f>
        <v>-4.8117764581731576E-3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32157.16</v>
      </c>
      <c r="C196" s="15">
        <f>IFERROR(B196/B444, "NA")</f>
        <v>0.3061479868801717</v>
      </c>
      <c r="D196" s="2"/>
      <c r="E196" s="14">
        <f>IFERROR(E175+E177+E178+E179+E180+E181+E183+E184+E186+E187+E188+E189+E190+E191+E192+E194+E195, "NA")</f>
        <v>31160.77</v>
      </c>
      <c r="F196" s="15">
        <f>IFERROR(E196/E444, "NA")</f>
        <v>0.27917876881800724</v>
      </c>
      <c r="G196" s="2"/>
      <c r="H196" s="14">
        <f t="shared" si="48"/>
        <v>-996.38999999999942</v>
      </c>
      <c r="I196" s="15">
        <f>IFERROR(H196/H444, "NA")</f>
        <v>0.15147608572379814</v>
      </c>
      <c r="J196" s="2"/>
      <c r="K196" s="14">
        <f>IFERROR(K175+K177+K178+K179+K180+K181+K183+K184+K186+K187+K188+K189+K190+K191+K192+K194+K195, "NA")</f>
        <v>32301.759999999998</v>
      </c>
      <c r="L196" s="15">
        <f>IFERROR(K196/K444, "NA")</f>
        <v>0.33570545332628565</v>
      </c>
      <c r="M196" s="2"/>
      <c r="N196" s="14">
        <f t="shared" si="49"/>
        <v>144.59999999999854</v>
      </c>
      <c r="O196" s="15">
        <f>IFERROR(N196/N444, "NA")</f>
        <v>1.639935491334181E-2</v>
      </c>
      <c r="P196" s="2"/>
      <c r="Q196" s="14">
        <f>IFERROR(Q175+Q177+Q178+Q179+Q180+Q181+Q183+Q184+Q186+Q187+Q188+Q189+Q190+Q191+Q192+Q194+Q195, "NA")</f>
        <v>235084.72</v>
      </c>
      <c r="R196" s="15">
        <f>IFERROR(Q196/Q444, "NA")</f>
        <v>0.29180894052964318</v>
      </c>
      <c r="S196" s="2"/>
      <c r="T196" s="14">
        <f>IFERROR(T175+T177+T178+T179+T180+T181+T183+T184+T186+T187+T188+T189+T190+T191+T192+T194+T195, "NA")</f>
        <v>250466.85</v>
      </c>
      <c r="U196" s="15">
        <f>IFERROR(T196/T444, "NA")</f>
        <v>0.29092248746907667</v>
      </c>
      <c r="V196" s="2"/>
      <c r="W196" s="14">
        <f t="shared" si="50"/>
        <v>15382.130000000005</v>
      </c>
      <c r="X196" s="15">
        <f>IFERROR(W196/W444, "NA")</f>
        <v>-0.27801523883678492</v>
      </c>
      <c r="Y196" s="2"/>
      <c r="Z196" s="14">
        <f>IFERROR(Z175+Z177+Z178+Z179+Z180+Z181+Z183+Z184+Z186+Z187+Z188+Z189+Z190+Z191+Z192+Z194+Z195, "NA")</f>
        <v>240294.31999999995</v>
      </c>
      <c r="AA196" s="15">
        <f>IFERROR(Z196/Z444, "NA")</f>
        <v>0.3255312190870116</v>
      </c>
      <c r="AB196" s="2"/>
      <c r="AC196" s="14">
        <f t="shared" si="51"/>
        <v>5209.5999999999476</v>
      </c>
      <c r="AD196" s="15">
        <f>IFERROR(AC196/AC444, "NA")</f>
        <v>7.7235120275137417E-2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32157.16</v>
      </c>
      <c r="C197" s="15">
        <f>IFERROR(B197/B444, "NA")</f>
        <v>0.3061479868801717</v>
      </c>
      <c r="D197" s="2"/>
      <c r="E197" s="14">
        <f>IFERROR(E175+E177+E178+E179+E180+E181+E183+E184+E186+E187+E188+E189+E190+E191+E192+E194+E195, "NA")</f>
        <v>31160.77</v>
      </c>
      <c r="F197" s="15">
        <f>IFERROR(E197/E444, "NA")</f>
        <v>0.27917876881800724</v>
      </c>
      <c r="G197" s="2"/>
      <c r="H197" s="14">
        <f t="shared" si="48"/>
        <v>-996.38999999999942</v>
      </c>
      <c r="I197" s="15">
        <f>IFERROR(H197/H444, "NA")</f>
        <v>0.15147608572379814</v>
      </c>
      <c r="J197" s="2"/>
      <c r="K197" s="14">
        <f>IFERROR(K175+K177+K178+K179+K180+K181+K183+K184+K186+K187+K188+K189+K190+K191+K192+K194+K195, "NA")</f>
        <v>32301.759999999998</v>
      </c>
      <c r="L197" s="15">
        <f>IFERROR(K197/K444, "NA")</f>
        <v>0.33570545332628565</v>
      </c>
      <c r="M197" s="2"/>
      <c r="N197" s="14">
        <f t="shared" si="49"/>
        <v>144.59999999999854</v>
      </c>
      <c r="O197" s="15">
        <f>IFERROR(N197/N444, "NA")</f>
        <v>1.639935491334181E-2</v>
      </c>
      <c r="P197" s="2"/>
      <c r="Q197" s="14">
        <f>IFERROR(Q175+Q177+Q178+Q179+Q180+Q181+Q183+Q184+Q186+Q187+Q188+Q189+Q190+Q191+Q192+Q194+Q195, "NA")</f>
        <v>235084.72</v>
      </c>
      <c r="R197" s="15">
        <f>IFERROR(Q197/Q444, "NA")</f>
        <v>0.29180894052964318</v>
      </c>
      <c r="S197" s="2"/>
      <c r="T197" s="14">
        <f>IFERROR(T175+T177+T178+T179+T180+T181+T183+T184+T186+T187+T188+T189+T190+T191+T192+T194+T195, "NA")</f>
        <v>250466.85</v>
      </c>
      <c r="U197" s="15">
        <f>IFERROR(T197/T444, "NA")</f>
        <v>0.29092248746907667</v>
      </c>
      <c r="V197" s="2"/>
      <c r="W197" s="14">
        <f t="shared" si="50"/>
        <v>15382.130000000005</v>
      </c>
      <c r="X197" s="15">
        <f>IFERROR(W197/W444, "NA")</f>
        <v>-0.27801523883678492</v>
      </c>
      <c r="Y197" s="2"/>
      <c r="Z197" s="14">
        <f>IFERROR(Z175+Z177+Z178+Z179+Z180+Z181+Z183+Z184+Z186+Z187+Z188+Z189+Z190+Z191+Z192+Z194+Z195, "NA")</f>
        <v>240294.31999999995</v>
      </c>
      <c r="AA197" s="15">
        <f>IFERROR(Z197/Z444, "NA")</f>
        <v>0.3255312190870116</v>
      </c>
      <c r="AB197" s="2"/>
      <c r="AC197" s="14">
        <f t="shared" si="51"/>
        <v>5209.5999999999476</v>
      </c>
      <c r="AD197" s="15">
        <f>IFERROR(AC197/AC444, "NA")</f>
        <v>7.7235120275137417E-2</v>
      </c>
    </row>
    <row r="198" spans="1:30" ht="16.5" customHeight="1" x14ac:dyDescent="0.45">
      <c r="A198" s="22" t="s">
        <v>181</v>
      </c>
      <c r="B198" s="23">
        <f>IFERROR(B172-B197, "NA")</f>
        <v>40895.889999999985</v>
      </c>
      <c r="C198" s="24">
        <f>IFERROR(B198/B444, "NA")</f>
        <v>0.3893439095732627</v>
      </c>
      <c r="D198" s="25"/>
      <c r="E198" s="23">
        <f>IFERROR(E172-E197, "NA")</f>
        <v>53667.260000000009</v>
      </c>
      <c r="F198" s="24">
        <f>IFERROR(E198/E444, "NA")</f>
        <v>0.48082122401455069</v>
      </c>
      <c r="G198" s="25"/>
      <c r="H198" s="23">
        <f>IFERROR(B198-E198, "NA")</f>
        <v>-12771.370000000024</v>
      </c>
      <c r="I198" s="24">
        <f>IFERROR(H198/H444, "NA")</f>
        <v>1.9415661908794235</v>
      </c>
      <c r="J198" s="25"/>
      <c r="K198" s="23">
        <f>IFERROR(K172-K197, "NA")</f>
        <v>36565.449999999997</v>
      </c>
      <c r="L198" s="24">
        <f>IFERROR(K198/K444, "NA")</f>
        <v>0.38001709406328421</v>
      </c>
      <c r="M198" s="25"/>
      <c r="N198" s="23">
        <f>IFERROR(B198-K198, "NA")</f>
        <v>4330.4399999999878</v>
      </c>
      <c r="O198" s="24">
        <f>IFERROR(N198/N444, "NA")</f>
        <v>0.49112325374088811</v>
      </c>
      <c r="P198" s="25"/>
      <c r="Q198" s="23">
        <f>IFERROR(Q172-Q197, "NA")</f>
        <v>329486.82999999996</v>
      </c>
      <c r="R198" s="24">
        <f>IFERROR(Q198/Q444, "NA")</f>
        <v>0.40898958801223084</v>
      </c>
      <c r="S198" s="25"/>
      <c r="T198" s="23">
        <f>IFERROR(T172-T197, "NA")</f>
        <v>395562.58999999997</v>
      </c>
      <c r="U198" s="24">
        <f>IFERROR(T198/T444, "NA")</f>
        <v>0.45945422570895311</v>
      </c>
      <c r="V198" s="25"/>
      <c r="W198" s="23">
        <f>IFERROR(Q198-T198, "NA")</f>
        <v>-66075.760000000009</v>
      </c>
      <c r="X198" s="24">
        <f>IFERROR(W198/W444, "NA")</f>
        <v>1.1942473635135107</v>
      </c>
      <c r="Y198" s="25"/>
      <c r="Z198" s="23">
        <f>IFERROR(Z172-Z197, "NA")</f>
        <v>288481.81000000006</v>
      </c>
      <c r="AA198" s="24">
        <f>IFERROR(Z198/Z444, "NA")</f>
        <v>0.39081171495742262</v>
      </c>
      <c r="AB198" s="25"/>
      <c r="AC198" s="23">
        <f>IFERROR(Q198-Z198, "NA")</f>
        <v>41005.019999999902</v>
      </c>
      <c r="AD198" s="24">
        <f>IFERROR(AC198/AC444, "NA")</f>
        <v>0.60792146260450697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2232.3200000000002</v>
      </c>
      <c r="F201" s="8">
        <f>IFERROR(E201/E444, "NA")</f>
        <v>2.0000030461628966E-2</v>
      </c>
      <c r="G201" s="9"/>
      <c r="H201" s="10">
        <f t="shared" ref="H201:H209" si="52">IFERROR(-(B201-E201), "NA")</f>
        <v>2232.3200000000002</v>
      </c>
      <c r="I201" s="8">
        <f>IFERROR(H201/H444, "NA")</f>
        <v>-0.33936821493887864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17218.810000000001</v>
      </c>
      <c r="U201" s="8">
        <f>IFERROR(T201/T444, "NA")</f>
        <v>2.0000008130646479E-2</v>
      </c>
      <c r="V201" s="9"/>
      <c r="W201" s="10">
        <f t="shared" ref="W201:W209" si="54">IFERROR(-(Q201-T201), "NA")</f>
        <v>17218.810000000001</v>
      </c>
      <c r="X201" s="8">
        <f>IFERROR(W201/W444, "NA")</f>
        <v>-0.31121122852525751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1380.1</v>
      </c>
      <c r="C202" s="8">
        <f>IFERROR(B202/B444, "NA")</f>
        <v>1.3139059440986856E-2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-1380.1</v>
      </c>
      <c r="I202" s="8">
        <f>IFERROR(H202/H444, "NA")</f>
        <v>0.20980955841328588</v>
      </c>
      <c r="J202" s="9"/>
      <c r="K202" s="7">
        <v>986.31</v>
      </c>
      <c r="L202" s="8">
        <f>IFERROR(K202/K444, "NA")</f>
        <v>1.0250514079426285E-2</v>
      </c>
      <c r="M202" s="9"/>
      <c r="N202" s="10">
        <f t="shared" si="53"/>
        <v>-393.78999999999996</v>
      </c>
      <c r="O202" s="8">
        <f>IFERROR(N202/N444, "NA")</f>
        <v>-4.4660456233229152E-2</v>
      </c>
      <c r="P202" s="9"/>
      <c r="Q202" s="7">
        <v>7482.69</v>
      </c>
      <c r="R202" s="8">
        <f>IFERROR(Q202/Q444, "NA")</f>
        <v>9.2882082732206311E-3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-7482.69</v>
      </c>
      <c r="X202" s="8">
        <f>IFERROR(W202/W444, "NA")</f>
        <v>0.13524146834616671</v>
      </c>
      <c r="Y202" s="9"/>
      <c r="Z202" s="7">
        <v>5933.58</v>
      </c>
      <c r="AA202" s="8">
        <f>IFERROR(Z202/Z444, "NA")</f>
        <v>8.038332037770643E-3</v>
      </c>
      <c r="AB202" s="9"/>
      <c r="AC202" s="10">
        <f t="shared" si="55"/>
        <v>-1549.1099999999997</v>
      </c>
      <c r="AD202" s="8">
        <f>IFERROR(AC202/AC444, "NA")</f>
        <v>-2.2966388430862121E-2</v>
      </c>
    </row>
    <row r="203" spans="1:30" ht="16.5" customHeight="1" x14ac:dyDescent="0.45">
      <c r="A203" s="6" t="s">
        <v>185</v>
      </c>
      <c r="B203" s="7">
        <v>776.69</v>
      </c>
      <c r="C203" s="8">
        <f>IFERROR(B203/B444, "NA")</f>
        <v>7.3943743766539264E-3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-776.69</v>
      </c>
      <c r="I203" s="8">
        <f>IFERROR(H203/H444, "NA")</f>
        <v>0.11807621616115864</v>
      </c>
      <c r="J203" s="9"/>
      <c r="K203" s="7">
        <v>690.61</v>
      </c>
      <c r="L203" s="8">
        <f>IFERROR(K203/K444, "NA")</f>
        <v>7.1773656643373653E-3</v>
      </c>
      <c r="M203" s="9"/>
      <c r="N203" s="10">
        <f t="shared" si="53"/>
        <v>-86.080000000000041</v>
      </c>
      <c r="O203" s="8">
        <f>IFERROR(N203/N444, "NA")</f>
        <v>-9.762492883405794E-3</v>
      </c>
      <c r="P203" s="9"/>
      <c r="Q203" s="7">
        <v>6692.39</v>
      </c>
      <c r="R203" s="8">
        <f>IFERROR(Q203/Q444, "NA")</f>
        <v>8.3072146735490883E-3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-6692.39</v>
      </c>
      <c r="X203" s="8">
        <f>IFERROR(W203/W444, "NA")</f>
        <v>0.12095765698501512</v>
      </c>
      <c r="Y203" s="9"/>
      <c r="Z203" s="7">
        <v>4396.7299999999996</v>
      </c>
      <c r="AA203" s="8">
        <f>IFERROR(Z203/Z444, "NA")</f>
        <v>5.9563325379328015E-3</v>
      </c>
      <c r="AB203" s="9"/>
      <c r="AC203" s="10">
        <f t="shared" si="55"/>
        <v>-2295.6600000000008</v>
      </c>
      <c r="AD203" s="8">
        <f>IFERROR(AC203/AC444, "NA")</f>
        <v>-3.4034393467986757E-2</v>
      </c>
    </row>
    <row r="204" spans="1:30" ht="16.5" customHeight="1" x14ac:dyDescent="0.45">
      <c r="A204" s="6" t="s">
        <v>186</v>
      </c>
      <c r="B204" s="7">
        <v>326.79000000000002</v>
      </c>
      <c r="C204" s="8">
        <f>IFERROR(B204/B444, "NA")</f>
        <v>3.111160955525031E-3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-326.79000000000002</v>
      </c>
      <c r="I204" s="8">
        <f>IFERROR(H204/H444, "NA")</f>
        <v>4.9680215632111953E-2</v>
      </c>
      <c r="J204" s="9"/>
      <c r="K204" s="7">
        <v>49.46</v>
      </c>
      <c r="L204" s="8">
        <f>IFERROR(K204/K444, "NA")</f>
        <v>5.1402746232769015E-4</v>
      </c>
      <c r="M204" s="9"/>
      <c r="N204" s="10">
        <f t="shared" si="53"/>
        <v>-277.33000000000004</v>
      </c>
      <c r="O204" s="8">
        <f>IFERROR(N204/N444, "NA")</f>
        <v>-3.1452511051985689E-2</v>
      </c>
      <c r="P204" s="9"/>
      <c r="Q204" s="7">
        <v>1041.19</v>
      </c>
      <c r="R204" s="8">
        <f>IFERROR(Q204/Q444, "NA")</f>
        <v>1.2924215184638933E-3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-1041.19</v>
      </c>
      <c r="X204" s="8">
        <f>IFERROR(W204/W444, "NA")</f>
        <v>1.8818374732528721E-2</v>
      </c>
      <c r="Y204" s="9"/>
      <c r="Z204" s="7">
        <v>674.42</v>
      </c>
      <c r="AA204" s="8">
        <f>IFERROR(Z204/Z444, "NA")</f>
        <v>9.1364941450410649E-4</v>
      </c>
      <c r="AB204" s="9"/>
      <c r="AC204" s="10">
        <f t="shared" si="55"/>
        <v>-366.7700000000001</v>
      </c>
      <c r="AD204" s="8">
        <f>IFERROR(AC204/AC444, "NA")</f>
        <v>-5.4375623969810435E-3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3.4676987252989298E-3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5.537354797221597E-2</v>
      </c>
      <c r="J205" s="9"/>
      <c r="K205" s="7">
        <v>269.45999999999998</v>
      </c>
      <c r="L205" s="8">
        <f>IFERROR(K205/K444, "NA")</f>
        <v>2.8004415689207316E-3</v>
      </c>
      <c r="M205" s="9"/>
      <c r="N205" s="10">
        <f t="shared" si="53"/>
        <v>-94.78000000000003</v>
      </c>
      <c r="O205" s="8">
        <f>IFERROR(N205/N444, "NA")</f>
        <v>-1.0749176062839231E-2</v>
      </c>
      <c r="P205" s="9"/>
      <c r="Q205" s="7">
        <v>2731.8</v>
      </c>
      <c r="R205" s="8">
        <f>IFERROR(Q205/Q444, "NA")</f>
        <v>3.3909633247915022E-3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-2731.8</v>
      </c>
      <c r="X205" s="8">
        <f>IFERROR(W205/W444, "NA")</f>
        <v>4.9374308334042744E-2</v>
      </c>
      <c r="Y205" s="9"/>
      <c r="Z205" s="7">
        <v>2617.6799999999998</v>
      </c>
      <c r="AA205" s="8">
        <f>IFERROR(Z205/Z444, "NA")</f>
        <v>3.5462201585942138E-3</v>
      </c>
      <c r="AB205" s="9"/>
      <c r="AC205" s="10">
        <f t="shared" si="55"/>
        <v>-114.12000000000035</v>
      </c>
      <c r="AD205" s="8">
        <f>IFERROR(AC205/AC444, "NA")</f>
        <v>-1.6918903420221894E-3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9.84</v>
      </c>
      <c r="L206" s="8">
        <f>IFERROR(K206/K444, "NA")</f>
        <v>1.0226506731307059E-4</v>
      </c>
      <c r="M206" s="9"/>
      <c r="N206" s="10">
        <f t="shared" si="53"/>
        <v>9.84</v>
      </c>
      <c r="O206" s="8">
        <f>IFERROR(N206/N444, "NA")</f>
        <v>1.1159726994971302E-3</v>
      </c>
      <c r="P206" s="9"/>
      <c r="Q206" s="7">
        <v>865.24</v>
      </c>
      <c r="R206" s="8">
        <f>IFERROR(Q206/Q444, "NA")</f>
        <v>1.0740160726050952E-3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-865.24</v>
      </c>
      <c r="X206" s="8">
        <f>IFERROR(W206/W444, "NA")</f>
        <v>1.5638270203875516E-2</v>
      </c>
      <c r="Y206" s="9"/>
      <c r="Z206" s="7">
        <v>228.48</v>
      </c>
      <c r="AA206" s="8">
        <f>IFERROR(Z206/Z444, "NA")</f>
        <v>3.0952613834983876E-4</v>
      </c>
      <c r="AB206" s="9"/>
      <c r="AC206" s="10">
        <f t="shared" si="55"/>
        <v>-636.76</v>
      </c>
      <c r="AD206" s="8">
        <f>IFERROR(AC206/AC444, "NA")</f>
        <v>-9.4403092725731334E-3</v>
      </c>
    </row>
    <row r="207" spans="1:30" ht="16.5" customHeight="1" x14ac:dyDescent="0.45">
      <c r="A207" s="6" t="s">
        <v>189</v>
      </c>
      <c r="B207" s="7">
        <v>174.68</v>
      </c>
      <c r="C207" s="8">
        <f>IFERROR(B207/B444, "NA")</f>
        <v>1.663017827078896E-3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-174.68</v>
      </c>
      <c r="I207" s="8">
        <f>IFERROR(H207/H444, "NA")</f>
        <v>2.6555708762867027E-2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-174.68</v>
      </c>
      <c r="O207" s="8">
        <f>IFERROR(N207/N444, "NA")</f>
        <v>-1.981078365326816E-2</v>
      </c>
      <c r="P207" s="9"/>
      <c r="Q207" s="7">
        <v>762.98</v>
      </c>
      <c r="R207" s="8">
        <f>IFERROR(Q207/Q444, "NA")</f>
        <v>9.4708148383828249E-4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1.3790032129990457E-2</v>
      </c>
      <c r="Y207" s="9"/>
      <c r="Z207" s="7">
        <v>308.33999999999997</v>
      </c>
      <c r="AA207" s="8">
        <f>IFERROR(Z207/Z444, "NA")</f>
        <v>4.1771397714806234E-4</v>
      </c>
      <c r="AB207" s="9"/>
      <c r="AC207" s="10">
        <f t="shared" si="55"/>
        <v>-454.64000000000004</v>
      </c>
      <c r="AD207" s="8">
        <f>IFERROR(AC207/AC444, "NA")</f>
        <v>-6.7402823790480718E-3</v>
      </c>
    </row>
    <row r="208" spans="1:30" ht="16.5" customHeight="1" x14ac:dyDescent="0.45">
      <c r="A208" s="6" t="s">
        <v>190</v>
      </c>
      <c r="B208" s="7">
        <v>48.2</v>
      </c>
      <c r="C208" s="8">
        <f>IFERROR(B208/B444, "NA")</f>
        <v>4.5888172237922367E-4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-48.2</v>
      </c>
      <c r="I208" s="8">
        <f>IFERROR(H208/H444, "NA")</f>
        <v>7.3275999677707279E-3</v>
      </c>
      <c r="J208" s="9"/>
      <c r="K208" s="7">
        <v>52.98</v>
      </c>
      <c r="L208" s="8">
        <f>IFERROR(K208/K444, "NA")</f>
        <v>5.5061008803317883E-4</v>
      </c>
      <c r="M208" s="9"/>
      <c r="N208" s="10">
        <f t="shared" si="53"/>
        <v>4.779999999999994</v>
      </c>
      <c r="O208" s="8">
        <f>IFERROR(N208/N444, "NA")</f>
        <v>5.4210868938986542E-4</v>
      </c>
      <c r="P208" s="9"/>
      <c r="Q208" s="7">
        <v>1082.25</v>
      </c>
      <c r="R208" s="8">
        <f>IFERROR(Q208/Q444, "NA")</f>
        <v>1.3433889956276459E-3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-1082.25</v>
      </c>
      <c r="X208" s="8">
        <f>IFERROR(W208/W444, "NA")</f>
        <v>1.9560489492099625E-2</v>
      </c>
      <c r="Y208" s="9"/>
      <c r="Z208" s="7">
        <v>655.91</v>
      </c>
      <c r="AA208" s="8">
        <f>IFERROR(Z208/Z444, "NA")</f>
        <v>8.8857357057529212E-4</v>
      </c>
      <c r="AB208" s="9"/>
      <c r="AC208" s="10">
        <f t="shared" si="55"/>
        <v>-426.34000000000003</v>
      </c>
      <c r="AD208" s="8">
        <f>IFERROR(AC208/AC444, "NA")</f>
        <v>-6.3207196671726086E-3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3070.6999999999994</v>
      </c>
      <c r="C209" s="15">
        <f>IFERROR(B209/B444, "NA")</f>
        <v>2.9234193047922859E-2</v>
      </c>
      <c r="D209" s="2"/>
      <c r="E209" s="14">
        <f>IFERROR(E201+E202+E203+E204+E205+E206+E207+E208, "NA")</f>
        <v>2232.3200000000002</v>
      </c>
      <c r="F209" s="15">
        <f>IFERROR(E209/E444, "NA")</f>
        <v>2.0000030461628966E-2</v>
      </c>
      <c r="G209" s="2"/>
      <c r="H209" s="14">
        <f t="shared" si="52"/>
        <v>-838.3799999999992</v>
      </c>
      <c r="I209" s="15">
        <f>IFERROR(H209/H444, "NA")</f>
        <v>0.12745463197053147</v>
      </c>
      <c r="J209" s="2"/>
      <c r="K209" s="14">
        <f>IFERROR(K201+K202+K203+K204+K205+K206+K207+K208, "NA")</f>
        <v>2058.66</v>
      </c>
      <c r="L209" s="15">
        <f>IFERROR(K209/K444, "NA")</f>
        <v>2.139522393035832E-2</v>
      </c>
      <c r="M209" s="2"/>
      <c r="N209" s="14">
        <f t="shared" si="53"/>
        <v>-1012.0399999999995</v>
      </c>
      <c r="O209" s="15">
        <f>IFERROR(N209/N444, "NA")</f>
        <v>-0.11477733849584096</v>
      </c>
      <c r="P209" s="2"/>
      <c r="Q209" s="14">
        <f>IFERROR(Q201+Q202+Q203+Q204+Q205+Q206+Q207+Q208, "NA")</f>
        <v>20658.54</v>
      </c>
      <c r="R209" s="15">
        <f>IFERROR(Q209/Q444, "NA")</f>
        <v>2.564329434209614E-2</v>
      </c>
      <c r="S209" s="2"/>
      <c r="T209" s="14">
        <f>IFERROR(T201+T202+T203+T204+T205+T206+T207+T208, "NA")</f>
        <v>17218.810000000001</v>
      </c>
      <c r="U209" s="15">
        <f>IFERROR(T209/T444, "NA")</f>
        <v>2.0000008130646479E-2</v>
      </c>
      <c r="V209" s="2"/>
      <c r="W209" s="14">
        <f t="shared" si="54"/>
        <v>-3439.7299999999996</v>
      </c>
      <c r="X209" s="15">
        <f>IFERROR(W209/W444, "NA")</f>
        <v>6.216937169846138E-2</v>
      </c>
      <c r="Y209" s="2"/>
      <c r="Z209" s="14">
        <f>IFERROR(Z201+Z202+Z203+Z204+Z205+Z206+Z207+Z208, "NA")</f>
        <v>14815.14</v>
      </c>
      <c r="AA209" s="15">
        <f>IFERROR(Z209/Z444, "NA")</f>
        <v>2.007034783487496E-2</v>
      </c>
      <c r="AB209" s="2"/>
      <c r="AC209" s="14">
        <f t="shared" si="55"/>
        <v>-5843.4000000000015</v>
      </c>
      <c r="AD209" s="15">
        <f>IFERROR(AC209/AC444, "NA")</f>
        <v>-8.6631545956645933E-2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2916.17</v>
      </c>
      <c r="F213" s="8">
        <f>IFERROR(E213/E444, "NA")</f>
        <v>2.6126849569635419E-2</v>
      </c>
      <c r="G213" s="9"/>
      <c r="H213" s="10">
        <f t="shared" ref="H213:H227" si="56">IFERROR(-(B213-E213), "NA")</f>
        <v>2916.17</v>
      </c>
      <c r="I213" s="8">
        <f>IFERROR(H213/H444, "NA")</f>
        <v>-0.44333043979282077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22371.54</v>
      </c>
      <c r="U213" s="8">
        <f>IFERROR(T213/T444, "NA")</f>
        <v>2.5985011850126864E-2</v>
      </c>
      <c r="V213" s="9"/>
      <c r="W213" s="10">
        <f t="shared" ref="W213:W227" si="58">IFERROR(-(Q213-T213), "NA")</f>
        <v>22371.54</v>
      </c>
      <c r="X213" s="8">
        <f>IFERROR(W213/W444, "NA")</f>
        <v>-0.40434120867829654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1281.75</v>
      </c>
      <c r="C214" s="8">
        <f>IFERROR(B214/B444, "NA")</f>
        <v>1.2202731279244188E-2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-1281.75</v>
      </c>
      <c r="I214" s="8">
        <f>IFERROR(H214/H444, "NA")</f>
        <v>0.19485790993133048</v>
      </c>
      <c r="J214" s="9"/>
      <c r="K214" s="7">
        <v>380</v>
      </c>
      <c r="L214" s="8">
        <f>IFERROR(K214/K444, "NA")</f>
        <v>3.9492607295697991E-3</v>
      </c>
      <c r="M214" s="9"/>
      <c r="N214" s="10">
        <f t="shared" si="57"/>
        <v>-901.75</v>
      </c>
      <c r="O214" s="8">
        <f>IFERROR(N214/N444, "NA")</f>
        <v>-0.10226914448897735</v>
      </c>
      <c r="P214" s="9"/>
      <c r="Q214" s="7">
        <v>14032.31</v>
      </c>
      <c r="R214" s="8">
        <f>IFERROR(Q214/Q444, "NA")</f>
        <v>1.7418203591809442E-2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-14032.31</v>
      </c>
      <c r="X214" s="8">
        <f>IFERROR(W214/W444, "NA")</f>
        <v>0.25361871314842638</v>
      </c>
      <c r="Y214" s="9"/>
      <c r="Z214" s="7">
        <v>3250</v>
      </c>
      <c r="AA214" s="8">
        <f>IFERROR(Z214/Z444, "NA")</f>
        <v>4.4028359140273815E-3</v>
      </c>
      <c r="AB214" s="9"/>
      <c r="AC214" s="10">
        <f t="shared" si="59"/>
        <v>-10782.31</v>
      </c>
      <c r="AD214" s="8">
        <f>IFERROR(AC214/AC444, "NA")</f>
        <v>-0.15985354147992653</v>
      </c>
    </row>
    <row r="215" spans="1:30" ht="16.5" customHeight="1" x14ac:dyDescent="0.45">
      <c r="A215" s="12" t="s">
        <v>195</v>
      </c>
      <c r="B215" s="7">
        <v>162.61000000000001</v>
      </c>
      <c r="C215" s="8">
        <f>IFERROR(B215/B444, "NA")</f>
        <v>1.5481069891304059E-3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-162.61000000000001</v>
      </c>
      <c r="I215" s="8">
        <f>IFERROR(H215/H444, "NA")</f>
        <v>2.4720768273012408E-2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-162.61000000000001</v>
      </c>
      <c r="O215" s="8">
        <f>IFERROR(N215/N444, "NA")</f>
        <v>-1.8441902506628898E-2</v>
      </c>
      <c r="P215" s="9"/>
      <c r="Q215" s="7">
        <v>181.05</v>
      </c>
      <c r="R215" s="8">
        <f>IFERROR(Q215/Q444, "NA")</f>
        <v>2.2473603849238651E-4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-181.05</v>
      </c>
      <c r="X215" s="8">
        <f>IFERROR(W215/W444, "NA")</f>
        <v>3.2722814715127162E-3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-181.05</v>
      </c>
      <c r="AD215" s="8">
        <f>IFERROR(AC215/AC444, "NA")</f>
        <v>-2.6841635683764148E-3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2.1</v>
      </c>
      <c r="R216" s="8">
        <f>IFERROR(Q216/Q444, "NA")</f>
        <v>2.6067146138304979E-6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3.7955211765681879E-5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-3.1133628796412435E-5</v>
      </c>
    </row>
    <row r="217" spans="1:30" ht="16.5" customHeight="1" x14ac:dyDescent="0.45">
      <c r="A217" s="12" t="s">
        <v>197</v>
      </c>
      <c r="B217" s="7">
        <v>1651.82</v>
      </c>
      <c r="C217" s="8">
        <f>IFERROR(B217/B444, "NA")</f>
        <v>1.5725933748142098E-2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-1651.82</v>
      </c>
      <c r="I217" s="8">
        <f>IFERROR(H217/H444, "NA")</f>
        <v>0.25111776304487637</v>
      </c>
      <c r="J217" s="9"/>
      <c r="K217" s="7">
        <v>196</v>
      </c>
      <c r="L217" s="8">
        <f>IFERROR(K217/K444, "NA")</f>
        <v>2.0369871131465278E-3</v>
      </c>
      <c r="M217" s="9"/>
      <c r="N217" s="10">
        <f t="shared" si="57"/>
        <v>-1455.82</v>
      </c>
      <c r="O217" s="8">
        <f>IFERROR(N217/N444, "NA")</f>
        <v>-0.16510725359572276</v>
      </c>
      <c r="P217" s="9"/>
      <c r="Q217" s="7">
        <v>14410.48</v>
      </c>
      <c r="R217" s="8">
        <f>IFERROR(Q217/Q444, "NA")</f>
        <v>1.7887623242053386E-2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-14410.48</v>
      </c>
      <c r="X217" s="8">
        <f>IFERROR(W217/W444, "NA")</f>
        <v>0.26045372383101112</v>
      </c>
      <c r="Y217" s="9"/>
      <c r="Z217" s="7">
        <v>1514.84</v>
      </c>
      <c r="AA217" s="8">
        <f>IFERROR(Z217/Z444, "NA")</f>
        <v>2.0521821403093037E-3</v>
      </c>
      <c r="AB217" s="9"/>
      <c r="AC217" s="10">
        <f t="shared" si="59"/>
        <v>-12895.64</v>
      </c>
      <c r="AD217" s="8">
        <f>IFERROR(AC217/AC444, "NA")</f>
        <v>-0.19118479469150859</v>
      </c>
    </row>
    <row r="218" spans="1:30" ht="16.5" customHeight="1" x14ac:dyDescent="0.45">
      <c r="A218" s="13" t="s">
        <v>198</v>
      </c>
      <c r="B218" s="14">
        <f>IFERROR(B213+B214+B215+B216+B217, "NA")</f>
        <v>3096.1800000000003</v>
      </c>
      <c r="C218" s="15">
        <f>IFERROR(B218/B444, "NA")</f>
        <v>2.9476772016516696E-2</v>
      </c>
      <c r="D218" s="2"/>
      <c r="E218" s="14">
        <f>IFERROR(E213+E214+E215+E216+E217, "NA")</f>
        <v>2916.17</v>
      </c>
      <c r="F218" s="15">
        <f>IFERROR(E218/E444, "NA")</f>
        <v>2.6126849569635419E-2</v>
      </c>
      <c r="G218" s="2"/>
      <c r="H218" s="14">
        <f t="shared" si="56"/>
        <v>-180.01000000000022</v>
      </c>
      <c r="I218" s="15">
        <f>IFERROR(H218/H444, "NA")</f>
        <v>2.7366001456398552E-2</v>
      </c>
      <c r="J218" s="2"/>
      <c r="K218" s="14">
        <f>IFERROR(K213+K214+K215+K216+K217, "NA")</f>
        <v>576</v>
      </c>
      <c r="L218" s="15">
        <f>IFERROR(K218/K444, "NA")</f>
        <v>5.9862478427163265E-3</v>
      </c>
      <c r="M218" s="2"/>
      <c r="N218" s="14">
        <f t="shared" si="57"/>
        <v>-2520.1800000000003</v>
      </c>
      <c r="O218" s="15">
        <f>IFERROR(N218/N444, "NA")</f>
        <v>-0.28581830059132907</v>
      </c>
      <c r="P218" s="2"/>
      <c r="Q218" s="14">
        <f>IFERROR(Q213+Q214+Q215+Q216+Q217, "NA")</f>
        <v>28625.94</v>
      </c>
      <c r="R218" s="15">
        <f>IFERROR(Q218/Q444, "NA")</f>
        <v>3.5533169586969046E-2</v>
      </c>
      <c r="S218" s="2"/>
      <c r="T218" s="14">
        <f>IFERROR(T213+T214+T215+T216+T217, "NA")</f>
        <v>22371.54</v>
      </c>
      <c r="U218" s="15">
        <f>IFERROR(T218/T444, "NA")</f>
        <v>2.5985011850126864E-2</v>
      </c>
      <c r="V218" s="2"/>
      <c r="W218" s="14">
        <f t="shared" si="58"/>
        <v>-6254.3999999999978</v>
      </c>
      <c r="X218" s="15">
        <f>IFERROR(W218/W444, "NA")</f>
        <v>0.11304146498441936</v>
      </c>
      <c r="Y218" s="2"/>
      <c r="Z218" s="14">
        <f>IFERROR(Z213+Z214+Z215+Z216+Z217, "NA")</f>
        <v>4764.84</v>
      </c>
      <c r="AA218" s="15">
        <f>IFERROR(Z218/Z444, "NA")</f>
        <v>6.4550180543366852E-3</v>
      </c>
      <c r="AB218" s="2"/>
      <c r="AC218" s="14">
        <f t="shared" si="59"/>
        <v>-23861.1</v>
      </c>
      <c r="AD218" s="15">
        <f>IFERROR(AC218/AC444, "NA")</f>
        <v>-0.35375363336860793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228.74</v>
      </c>
      <c r="C222" s="8">
        <f>IFERROR(B222/B444, "NA")</f>
        <v>2.1776889040876269E-3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-228.74</v>
      </c>
      <c r="I222" s="8">
        <f>IFERROR(H222/H444, "NA")</f>
        <v>3.4774174618835606E-2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-228.74</v>
      </c>
      <c r="O222" s="8">
        <f>IFERROR(N222/N444, "NA")</f>
        <v>-2.5941828788920079E-2</v>
      </c>
      <c r="P222" s="9"/>
      <c r="Q222" s="7">
        <v>874.14</v>
      </c>
      <c r="R222" s="8">
        <f>IFERROR(Q222/Q444, "NA")</f>
        <v>1.0850635773970434E-3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-874.14</v>
      </c>
      <c r="X222" s="8">
        <f>IFERROR(W222/W444, "NA")</f>
        <v>1.5799128006120551E-2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-874.14</v>
      </c>
      <c r="AD222" s="8">
        <f>IFERROR(AC222/AC444, "NA")</f>
        <v>-1.2959595369569506E-2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111.62</v>
      </c>
      <c r="F226" s="8">
        <f>IFERROR(E226/E444, "NA")</f>
        <v>1.0000373602919944E-3</v>
      </c>
      <c r="G226" s="9"/>
      <c r="H226" s="10">
        <f t="shared" si="56"/>
        <v>111.62</v>
      </c>
      <c r="I226" s="8">
        <f>IFERROR(H226/H444, "NA")</f>
        <v>-1.696901884652632E-2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860.95</v>
      </c>
      <c r="U226" s="8">
        <f>IFERROR(T226/T444, "NA")</f>
        <v>1.0000114409811182E-3</v>
      </c>
      <c r="V226" s="9"/>
      <c r="W226" s="10">
        <f t="shared" si="58"/>
        <v>860.95</v>
      </c>
      <c r="X226" s="8">
        <f>IFERROR(W226/W444, "NA")</f>
        <v>-1.5560733128411339E-2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3324.92</v>
      </c>
      <c r="C227" s="15">
        <f>IFERROR(B227/B444, "NA")</f>
        <v>3.1654460920604324E-2</v>
      </c>
      <c r="D227" s="2"/>
      <c r="E227" s="14">
        <f>IFERROR(E211+E213+E214+E215+E216+E217+E219+E220+E221+E222+E223+E224+E225+E226, "NA")</f>
        <v>3027.79</v>
      </c>
      <c r="F227" s="15">
        <f>IFERROR(E227/E444, "NA")</f>
        <v>2.7126886929927412E-2</v>
      </c>
      <c r="G227" s="2"/>
      <c r="H227" s="14">
        <f t="shared" si="56"/>
        <v>-297.13000000000011</v>
      </c>
      <c r="I227" s="15">
        <f>IFERROR(H227/H444, "NA")</f>
        <v>4.517115722870782E-2</v>
      </c>
      <c r="J227" s="2"/>
      <c r="K227" s="14">
        <f>IFERROR(K211+K213+K214+K215+K216+K217+K219+K220+K221+K222+K223+K224+K225+K226, "NA")</f>
        <v>576</v>
      </c>
      <c r="L227" s="15">
        <f>IFERROR(K227/K444, "NA")</f>
        <v>5.9862478427163265E-3</v>
      </c>
      <c r="M227" s="2"/>
      <c r="N227" s="14">
        <f t="shared" si="57"/>
        <v>-2748.92</v>
      </c>
      <c r="O227" s="15">
        <f>IFERROR(N227/N444, "NA")</f>
        <v>-0.31176012938024911</v>
      </c>
      <c r="P227" s="2"/>
      <c r="Q227" s="14">
        <f>IFERROR(Q211+Q213+Q214+Q215+Q216+Q217+Q219+Q220+Q221+Q222+Q223+Q224+Q225+Q226, "NA")</f>
        <v>29500.079999999998</v>
      </c>
      <c r="R227" s="15">
        <f>IFERROR(Q227/Q444, "NA")</f>
        <v>3.661823316436609E-2</v>
      </c>
      <c r="S227" s="2"/>
      <c r="T227" s="14">
        <f>IFERROR(T211+T213+T214+T215+T216+T217+T219+T220+T221+T222+T223+T224+T225+T226, "NA")</f>
        <v>23232.49</v>
      </c>
      <c r="U227" s="15">
        <f>IFERROR(T227/T444, "NA")</f>
        <v>2.6985023291107982E-2</v>
      </c>
      <c r="V227" s="2"/>
      <c r="W227" s="14">
        <f t="shared" si="58"/>
        <v>-6267.5899999999965</v>
      </c>
      <c r="X227" s="15">
        <f>IFERROR(W227/W444, "NA")</f>
        <v>0.11327985986212855</v>
      </c>
      <c r="Y227" s="2"/>
      <c r="Z227" s="14">
        <f>IFERROR(Z211+Z213+Z214+Z215+Z216+Z217+Z219+Z220+Z221+Z222+Z223+Z224+Z225+Z226, "NA")</f>
        <v>4764.84</v>
      </c>
      <c r="AA227" s="15">
        <f>IFERROR(Z227/Z444, "NA")</f>
        <v>6.4550180543366852E-3</v>
      </c>
      <c r="AB227" s="2"/>
      <c r="AC227" s="14">
        <f t="shared" si="59"/>
        <v>-24735.239999999998</v>
      </c>
      <c r="AD227" s="15">
        <f>IFERROR(AC227/AC444, "NA")</f>
        <v>-0.36671322873817741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1642.98</v>
      </c>
      <c r="F229" s="8">
        <f>IFERROR(E229/E444, "NA")</f>
        <v>1.471995504580309E-2</v>
      </c>
      <c r="G229" s="9"/>
      <c r="H229" s="10">
        <f t="shared" ref="H229:H236" si="60">IFERROR(-(B229-E229), "NA")</f>
        <v>1642.98</v>
      </c>
      <c r="I229" s="8">
        <f>IFERROR(H229/H444, "NA")</f>
        <v>-0.2497738629677998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12673.04</v>
      </c>
      <c r="U229" s="8">
        <f>IFERROR(T229/T444, "NA")</f>
        <v>1.4720001152228759E-2</v>
      </c>
      <c r="V229" s="9"/>
      <c r="W229" s="10">
        <f t="shared" ref="W229:W236" si="62">IFERROR(-(Q229-T229), "NA")</f>
        <v>12673.04</v>
      </c>
      <c r="X229" s="8">
        <f>IFERROR(W229/W444, "NA")</f>
        <v>-0.22905138900712241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-3.4905683126409081E-4</v>
      </c>
      <c r="AB230" s="9"/>
      <c r="AC230" s="10">
        <f t="shared" si="63"/>
        <v>-257.66000000000003</v>
      </c>
      <c r="AD230" s="8">
        <f>IFERROR(AC230/AC444, "NA")</f>
        <v>-3.8199479979445848E-3</v>
      </c>
    </row>
    <row r="231" spans="1:30" ht="16.5" customHeight="1" x14ac:dyDescent="0.45">
      <c r="A231" s="6" t="s">
        <v>210</v>
      </c>
      <c r="B231" s="7">
        <v>175</v>
      </c>
      <c r="C231" s="8">
        <f>IFERROR(B231/B444, "NA")</f>
        <v>1.6660643447378451E-3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-175</v>
      </c>
      <c r="I231" s="8">
        <f>IFERROR(H231/H444, "NA")</f>
        <v>2.6604356729458035E-2</v>
      </c>
      <c r="J231" s="9"/>
      <c r="K231" s="7">
        <v>171.43</v>
      </c>
      <c r="L231" s="8">
        <f>IFERROR(K231/K444, "NA")</f>
        <v>1.7816362286056596E-3</v>
      </c>
      <c r="M231" s="9"/>
      <c r="N231" s="10">
        <f t="shared" si="61"/>
        <v>-3.5699999999999932</v>
      </c>
      <c r="O231" s="8">
        <f>IFERROR(N231/N444, "NA")</f>
        <v>-4.0488033914682389E-4</v>
      </c>
      <c r="P231" s="9"/>
      <c r="Q231" s="7">
        <v>1274.05</v>
      </c>
      <c r="R231" s="8">
        <f>IFERROR(Q231/Q444, "NA")</f>
        <v>1.5814689303574978E-3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-1274.05</v>
      </c>
      <c r="X231" s="8">
        <f>IFERROR(W231/W444, "NA")</f>
        <v>2.3027065500031901E-2</v>
      </c>
      <c r="Y231" s="9"/>
      <c r="Z231" s="7">
        <v>1452</v>
      </c>
      <c r="AA231" s="8">
        <f>IFERROR(Z231/Z444, "NA")</f>
        <v>1.9670516145131561E-3</v>
      </c>
      <c r="AB231" s="9"/>
      <c r="AC231" s="10">
        <f t="shared" si="63"/>
        <v>177.95000000000005</v>
      </c>
      <c r="AD231" s="8">
        <f>IFERROR(AC231/AC444, "NA")</f>
        <v>2.6382044020579021E-3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925.86</v>
      </c>
      <c r="C234" s="8">
        <f>IFERROR(B234/B444, "NA")</f>
        <v>8.8145276241084654E-3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-925.86</v>
      </c>
      <c r="I234" s="8">
        <f>IFERROR(H234/H444, "NA")</f>
        <v>0.14075376983734866</v>
      </c>
      <c r="J234" s="9"/>
      <c r="K234" s="7">
        <v>1335.77</v>
      </c>
      <c r="L234" s="8">
        <f>IFERROR(K234/K444, "NA")</f>
        <v>1.3882378959835396E-2</v>
      </c>
      <c r="M234" s="9"/>
      <c r="N234" s="10">
        <f t="shared" si="61"/>
        <v>409.90999999999997</v>
      </c>
      <c r="O234" s="8">
        <f>IFERROR(N234/N444, "NA")</f>
        <v>4.6488655411673636E-2</v>
      </c>
      <c r="P234" s="9"/>
      <c r="Q234" s="7">
        <v>9450.3799999999992</v>
      </c>
      <c r="R234" s="8">
        <f>IFERROR(Q234/Q444, "NA")</f>
        <v>1.1730687453453075E-2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-9450.3799999999992</v>
      </c>
      <c r="X234" s="8">
        <f>IFERROR(W234/W444, "NA")</f>
        <v>0.17080532103150697</v>
      </c>
      <c r="Y234" s="9"/>
      <c r="Z234" s="7">
        <v>10021.049999999999</v>
      </c>
      <c r="AA234" s="8">
        <f>IFERROR(Z234/Z444, "NA")</f>
        <v>1.3575704257312027E-2</v>
      </c>
      <c r="AB234" s="9"/>
      <c r="AC234" s="10">
        <f t="shared" si="63"/>
        <v>570.67000000000007</v>
      </c>
      <c r="AD234" s="8">
        <f>IFERROR(AC234/AC444, "NA")</f>
        <v>8.4604894977374692E-3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1100.8600000000001</v>
      </c>
      <c r="C236" s="15">
        <f>IFERROR(B236/B444, "NA")</f>
        <v>1.0480591968846311E-2</v>
      </c>
      <c r="D236" s="2"/>
      <c r="E236" s="14">
        <f>IFERROR(E229+E230+E231+E232+E233+E234+E235, "NA")</f>
        <v>1642.98</v>
      </c>
      <c r="F236" s="15">
        <f>IFERROR(E236/E444, "NA")</f>
        <v>1.471995504580309E-2</v>
      </c>
      <c r="G236" s="2"/>
      <c r="H236" s="14">
        <f t="shared" si="60"/>
        <v>542.11999999999989</v>
      </c>
      <c r="I236" s="15">
        <f>IFERROR(H236/H444, "NA")</f>
        <v>-8.2415736400993062E-2</v>
      </c>
      <c r="J236" s="2"/>
      <c r="K236" s="14">
        <f>IFERROR(K229+K230+K231+K232+K233+K234+K235, "NA")</f>
        <v>1507.2</v>
      </c>
      <c r="L236" s="15">
        <f>IFERROR(K236/K444, "NA")</f>
        <v>1.5664015188441054E-2</v>
      </c>
      <c r="M236" s="2"/>
      <c r="N236" s="14">
        <f t="shared" si="61"/>
        <v>406.33999999999992</v>
      </c>
      <c r="O236" s="15">
        <f>IFERROR(N236/N444, "NA")</f>
        <v>4.6083775072526811E-2</v>
      </c>
      <c r="P236" s="2"/>
      <c r="Q236" s="14">
        <f>IFERROR(Q229+Q230+Q231+Q232+Q233+Q234+Q235, "NA")</f>
        <v>10724.429999999998</v>
      </c>
      <c r="R236" s="15">
        <f>IFERROR(Q236/Q444, "NA")</f>
        <v>1.3312156383810572E-2</v>
      </c>
      <c r="S236" s="2"/>
      <c r="T236" s="14">
        <f>IFERROR(T229+T230+T231+T232+T233+T234+T235, "NA")</f>
        <v>12673.04</v>
      </c>
      <c r="U236" s="15">
        <f>IFERROR(T236/T444, "NA")</f>
        <v>1.4720001152228759E-2</v>
      </c>
      <c r="V236" s="2"/>
      <c r="W236" s="14">
        <f t="shared" si="62"/>
        <v>1948.6100000000024</v>
      </c>
      <c r="X236" s="15">
        <f>IFERROR(W236/W444, "NA")</f>
        <v>-3.5219002475583551E-2</v>
      </c>
      <c r="Y236" s="2"/>
      <c r="Z236" s="14">
        <f>IFERROR(Z229+Z230+Z231+Z232+Z233+Z234+Z235, "NA")</f>
        <v>11215.39</v>
      </c>
      <c r="AA236" s="15">
        <f>IFERROR(Z236/Z444, "NA")</f>
        <v>1.5193699040561092E-2</v>
      </c>
      <c r="AB236" s="2"/>
      <c r="AC236" s="14">
        <f t="shared" si="63"/>
        <v>490.96000000000095</v>
      </c>
      <c r="AD236" s="15">
        <f>IFERROR(AC236/AC444, "NA")</f>
        <v>7.2787459018507986E-3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5737.95</v>
      </c>
      <c r="F240" s="8">
        <f>IFERROR(E240/E444, "NA")</f>
        <v>5.1408030563406641E-2</v>
      </c>
      <c r="G240" s="9"/>
      <c r="H240" s="10">
        <f t="shared" ref="H240:H263" si="64">IFERROR(-(B240-E240), "NA")</f>
        <v>5737.95</v>
      </c>
      <c r="I240" s="8">
        <f>IFERROR(H240/H444, "NA")</f>
        <v>-0.87231124969024987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44946.49</v>
      </c>
      <c r="U240" s="8">
        <f>IFERROR(T240/T444, "NA")</f>
        <v>5.2206288671750291E-2</v>
      </c>
      <c r="V240" s="9"/>
      <c r="W240" s="10">
        <f t="shared" ref="W240:W263" si="66">IFERROR(-(Q240-T240), "NA")</f>
        <v>44946.49</v>
      </c>
      <c r="X240" s="8">
        <f>IFERROR(W240/W444, "NA")</f>
        <v>-0.81235883146385846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1161.1600000000001</v>
      </c>
      <c r="C242" s="8">
        <f>IFERROR(B242/B444, "NA")</f>
        <v>1.105467014020455E-2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-1161.1600000000001</v>
      </c>
      <c r="I242" s="8">
        <f>IFERROR(H242/H444, "NA")</f>
        <v>0.17652522777129998</v>
      </c>
      <c r="J242" s="9"/>
      <c r="K242" s="7">
        <v>641.75</v>
      </c>
      <c r="L242" s="8">
        <f>IFERROR(K242/K444, "NA")</f>
        <v>6.6695738768458379E-3</v>
      </c>
      <c r="M242" s="9"/>
      <c r="N242" s="10">
        <f t="shared" si="65"/>
        <v>-519.41000000000008</v>
      </c>
      <c r="O242" s="8">
        <f>IFERROR(N242/N444, "NA")</f>
        <v>-5.8907254049370375E-2</v>
      </c>
      <c r="P242" s="9"/>
      <c r="Q242" s="7">
        <v>8124.14</v>
      </c>
      <c r="R242" s="8">
        <f>IFERROR(Q242/Q444, "NA")</f>
        <v>1.0084435458478523E-2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-8124.14</v>
      </c>
      <c r="X242" s="8">
        <f>IFERROR(W242/W444, "NA")</f>
        <v>0.14683497814954607</v>
      </c>
      <c r="Y242" s="9"/>
      <c r="Z242" s="7">
        <v>6151.82</v>
      </c>
      <c r="AA242" s="8">
        <f>IFERROR(Z242/Z444, "NA")</f>
        <v>8.3339858561944386E-3</v>
      </c>
      <c r="AB242" s="9"/>
      <c r="AC242" s="10">
        <f t="shared" si="67"/>
        <v>-1972.3200000000006</v>
      </c>
      <c r="AD242" s="8">
        <f>IFERROR(AC242/AC444, "NA")</f>
        <v>-2.9240704165590568E-2</v>
      </c>
    </row>
    <row r="243" spans="1:30" ht="16.5" customHeight="1" x14ac:dyDescent="0.45">
      <c r="A243" s="12" t="s">
        <v>220</v>
      </c>
      <c r="B243" s="7">
        <v>1981.46</v>
      </c>
      <c r="C243" s="8">
        <f>IFERROR(B243/B444, "NA")</f>
        <v>1.8864227751567146E-2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-1981.46</v>
      </c>
      <c r="I243" s="8">
        <f>IFERROR(H243/H444, "NA")</f>
        <v>0.30123124962943953</v>
      </c>
      <c r="J243" s="9"/>
      <c r="K243" s="7">
        <v>3160.83</v>
      </c>
      <c r="L243" s="8">
        <f>IFERROR(K243/K444, "NA")</f>
        <v>3.2849846820647649E-2</v>
      </c>
      <c r="M243" s="9"/>
      <c r="N243" s="10">
        <f t="shared" si="65"/>
        <v>1179.3699999999999</v>
      </c>
      <c r="O243" s="8">
        <f>IFERROR(N243/N444, "NA")</f>
        <v>0.13375454498027747</v>
      </c>
      <c r="P243" s="9"/>
      <c r="Q243" s="7">
        <v>18804.189999999999</v>
      </c>
      <c r="R243" s="8">
        <f>IFERROR(Q243/Q444, "NA")</f>
        <v>2.3341503273450144E-2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-18804.189999999999</v>
      </c>
      <c r="X243" s="8">
        <f>IFERROR(W243/W444, "NA")</f>
        <v>0.33986524453910355</v>
      </c>
      <c r="Y243" s="9"/>
      <c r="Z243" s="7">
        <v>23085.8</v>
      </c>
      <c r="AA243" s="8">
        <f>IFERROR(Z243/Z444, "NA")</f>
        <v>3.1274765952016406E-2</v>
      </c>
      <c r="AB243" s="9"/>
      <c r="AC243" s="10">
        <f t="shared" si="67"/>
        <v>4281.6100000000006</v>
      </c>
      <c r="AD243" s="8">
        <f>IFERROR(AC243/AC444, "NA")</f>
        <v>6.3477169710003556E-2</v>
      </c>
    </row>
    <row r="244" spans="1:30" ht="16.5" customHeight="1" x14ac:dyDescent="0.45">
      <c r="A244" s="12" t="s">
        <v>221</v>
      </c>
      <c r="B244" s="7">
        <v>619.64</v>
      </c>
      <c r="C244" s="8">
        <f>IFERROR(B244/B444, "NA")</f>
        <v>5.8992006318477619E-3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-619.64</v>
      </c>
      <c r="I244" s="8">
        <f>IFERROR(H244/H444, "NA")</f>
        <v>9.4200706307665014E-2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-619.64</v>
      </c>
      <c r="O244" s="8">
        <f>IFERROR(N244/N444, "NA")</f>
        <v>-7.0274524747601805E-2</v>
      </c>
      <c r="P244" s="9"/>
      <c r="Q244" s="7">
        <v>2329.94</v>
      </c>
      <c r="R244" s="8">
        <f>IFERROR(Q244/Q444, "NA")</f>
        <v>2.8921374511182048E-3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-2329.94</v>
      </c>
      <c r="X244" s="8">
        <f>IFERROR(W244/W444, "NA")</f>
        <v>4.2111126714920399E-2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-2329.94</v>
      </c>
      <c r="AD244" s="8">
        <f>IFERROR(AC244/AC444, "NA")</f>
        <v>-3.4542612894244373E-2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248.65</v>
      </c>
      <c r="C246" s="8">
        <f>IFERROR(B246/B444, "NA")</f>
        <v>2.3672394246803726E-3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-248.65</v>
      </c>
      <c r="I246" s="8">
        <f>IFERROR(H246/H444, "NA")</f>
        <v>3.7800990290169943E-2</v>
      </c>
      <c r="J246" s="9"/>
      <c r="K246" s="7">
        <v>86.73</v>
      </c>
      <c r="L246" s="8">
        <f>IFERROR(K246/K444, "NA")</f>
        <v>9.0136679756733869E-4</v>
      </c>
      <c r="M246" s="9"/>
      <c r="N246" s="10">
        <f t="shared" si="65"/>
        <v>-161.92000000000002</v>
      </c>
      <c r="O246" s="8">
        <f>IFERROR(N246/N444, "NA")</f>
        <v>-1.8363648323432454E-2</v>
      </c>
      <c r="P246" s="9"/>
      <c r="Q246" s="7">
        <v>2605.27</v>
      </c>
      <c r="R246" s="8">
        <f>IFERROR(Q246/Q444, "NA")</f>
        <v>3.2339025628448479E-3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-2605.27</v>
      </c>
      <c r="X246" s="8">
        <f>IFERROR(W246/W444, "NA")</f>
        <v>4.7087416455608579E-2</v>
      </c>
      <c r="Y246" s="9"/>
      <c r="Z246" s="7">
        <v>86.73</v>
      </c>
      <c r="AA246" s="8">
        <f>IFERROR(Z246/Z444, "NA")</f>
        <v>1.1749475656110609E-4</v>
      </c>
      <c r="AB246" s="9"/>
      <c r="AC246" s="10">
        <f t="shared" si="67"/>
        <v>-2518.54</v>
      </c>
      <c r="AD246" s="8">
        <f>IFERROR(AC246/AC444, "NA")</f>
        <v>-3.7338709270912651E-2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268.5</v>
      </c>
      <c r="C248" s="8">
        <f>IFERROR(B248/B444, "NA")</f>
        <v>2.5562187232120652E-3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-268.5</v>
      </c>
      <c r="I248" s="8">
        <f>IFERROR(H248/H444, "NA")</f>
        <v>4.0818684467768471E-2</v>
      </c>
      <c r="J248" s="9"/>
      <c r="K248" s="7">
        <v>264.92</v>
      </c>
      <c r="L248" s="8">
        <f>IFERROR(K248/K444, "NA")</f>
        <v>2.7532582959937661E-3</v>
      </c>
      <c r="M248" s="9"/>
      <c r="N248" s="10">
        <f t="shared" si="65"/>
        <v>-3.5799999999999841</v>
      </c>
      <c r="O248" s="8">
        <f>IFERROR(N248/N444, "NA")</f>
        <v>-4.0601445774387281E-4</v>
      </c>
      <c r="P248" s="9"/>
      <c r="Q248" s="7">
        <v>1884.8</v>
      </c>
      <c r="R248" s="8">
        <f>IFERROR(Q248/Q444, "NA")</f>
        <v>2.3395884305465343E-3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-1884.8</v>
      </c>
      <c r="X248" s="8">
        <f>IFERROR(W248/W444, "NA")</f>
        <v>3.4065706255217716E-2</v>
      </c>
      <c r="Y248" s="9"/>
      <c r="Z248" s="7">
        <v>1722.94</v>
      </c>
      <c r="AA248" s="8">
        <f>IFERROR(Z248/Z444, "NA")</f>
        <v>2.3340991106813344E-3</v>
      </c>
      <c r="AB248" s="9"/>
      <c r="AC248" s="10">
        <f t="shared" si="67"/>
        <v>-161.8599999999999</v>
      </c>
      <c r="AD248" s="8">
        <f>IFERROR(AC248/AC444, "NA")</f>
        <v>-2.3996615033272922E-3</v>
      </c>
    </row>
    <row r="249" spans="1:30" ht="16.5" customHeight="1" x14ac:dyDescent="0.45">
      <c r="A249" s="12" t="s">
        <v>226</v>
      </c>
      <c r="B249" s="7">
        <v>1238.19</v>
      </c>
      <c r="C249" s="8">
        <f>IFERROR(B249/B444, "NA")</f>
        <v>1.178802406291973E-2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-1238.19</v>
      </c>
      <c r="I249" s="8">
        <f>IFERROR(H249/H444, "NA")</f>
        <v>0.18823570547912941</v>
      </c>
      <c r="J249" s="9"/>
      <c r="K249" s="7">
        <v>956.49</v>
      </c>
      <c r="L249" s="8">
        <f>IFERROR(K249/K444, "NA")</f>
        <v>9.9406010400689918E-3</v>
      </c>
      <c r="M249" s="9"/>
      <c r="N249" s="10">
        <f t="shared" si="65"/>
        <v>-281.70000000000005</v>
      </c>
      <c r="O249" s="8">
        <f>IFERROR(N249/N444, "NA")</f>
        <v>-3.1948120878896508E-2</v>
      </c>
      <c r="P249" s="9"/>
      <c r="Q249" s="7">
        <v>9619.5400000000009</v>
      </c>
      <c r="R249" s="8">
        <f>IFERROR(Q249/Q444, "NA")</f>
        <v>1.194066452206049E-2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-9619.5400000000009</v>
      </c>
      <c r="X249" s="8">
        <f>IFERROR(W249/W444, "NA")</f>
        <v>0.17386270370878451</v>
      </c>
      <c r="Y249" s="9"/>
      <c r="Z249" s="7">
        <v>7576.78</v>
      </c>
      <c r="AA249" s="8">
        <f>IFERROR(Z249/Z444, "NA")</f>
        <v>1.0264405875902886E-2</v>
      </c>
      <c r="AB249" s="9"/>
      <c r="AC249" s="10">
        <f t="shared" si="67"/>
        <v>-2042.7600000000011</v>
      </c>
      <c r="AD249" s="8">
        <f>IFERROR(AC249/AC444, "NA")</f>
        <v>-3.0285015028647382E-2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603.16999999999996</v>
      </c>
      <c r="C254" s="8">
        <f>IFERROR(B254/B444, "NA")</f>
        <v>5.7424001760887199E-3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-603.16999999999996</v>
      </c>
      <c r="I254" s="8">
        <f>IFERROR(H254/H444, "NA")</f>
        <v>9.1696856277184005E-2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-603.16999999999996</v>
      </c>
      <c r="O254" s="8">
        <f>IFERROR(N254/N444, "NA")</f>
        <v>-6.8406631418260561E-2</v>
      </c>
      <c r="P254" s="9"/>
      <c r="Q254" s="7">
        <v>5432.5</v>
      </c>
      <c r="R254" s="8">
        <f>IFERROR(Q254/Q444, "NA")</f>
        <v>6.7433224474448472E-3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-5432.5</v>
      </c>
      <c r="X254" s="8">
        <f>IFERROR(W254/W444, "NA")</f>
        <v>9.8186518055746089E-2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-5432.5</v>
      </c>
      <c r="AD254" s="8">
        <f>IFERROR(AC254/AC444, "NA")</f>
        <v>-8.0539732588814542E-2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3.6374198243580061E-5</v>
      </c>
      <c r="AB255" s="9"/>
      <c r="AC255" s="10">
        <f t="shared" si="67"/>
        <v>26.85</v>
      </c>
      <c r="AD255" s="8">
        <f>IFERROR(AC255/AC444, "NA")</f>
        <v>3.9806568246841611E-4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283.44</v>
      </c>
      <c r="C258" s="8">
        <f>IFERROR(B258/B444, "NA")</f>
        <v>2.6984530164142562E-3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-283.44</v>
      </c>
      <c r="I258" s="8">
        <f>IFERROR(H258/H444, "NA")</f>
        <v>4.3089936407986203E-2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-283.44</v>
      </c>
      <c r="O258" s="8">
        <f>IFERROR(N258/N444, "NA")</f>
        <v>-3.2145457514783191E-2</v>
      </c>
      <c r="P258" s="9"/>
      <c r="Q258" s="7">
        <v>556.79</v>
      </c>
      <c r="R258" s="8">
        <f>IFERROR(Q258/Q444, "NA")</f>
        <v>6.9113934754032509E-4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-556.79</v>
      </c>
      <c r="X258" s="8">
        <f>IFERROR(W258/W444, "NA")</f>
        <v>1.0063372551911434E-2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-556.79</v>
      </c>
      <c r="AD258" s="8">
        <f>IFERROR(AC258/AC444, "NA")</f>
        <v>-8.2547110369307029E-3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6404.21</v>
      </c>
      <c r="C262" s="15">
        <f>IFERROR(B262/B444, "NA")</f>
        <v>6.0970433926934603E-2</v>
      </c>
      <c r="D262" s="2"/>
      <c r="E262" s="14">
        <f>IFERROR(E240+E241+E242+E243+E244+E245+E246+E247+E248+E249+E250+E251+E252+E253+E254+E255+E256+E257+E258+E259+E260+E261, "NA")</f>
        <v>5737.95</v>
      </c>
      <c r="F262" s="15">
        <f>IFERROR(E262/E444, "NA")</f>
        <v>5.1408030563406641E-2</v>
      </c>
      <c r="G262" s="2"/>
      <c r="H262" s="14">
        <f t="shared" si="64"/>
        <v>-666.26000000000022</v>
      </c>
      <c r="I262" s="15">
        <f>IFERROR(H262/H444, "NA")</f>
        <v>0.10128810694039267</v>
      </c>
      <c r="J262" s="2"/>
      <c r="K262" s="14">
        <f>IFERROR(K240+K241+K242+K243+K244+K245+K246+K247+K248+K249+K250+K251+K252+K253+K254+K255+K256+K257+K258+K259+K260+K261, "NA")</f>
        <v>5110.7199999999993</v>
      </c>
      <c r="L262" s="15">
        <f>IFERROR(K262/K444, "NA")</f>
        <v>5.3114646831123581E-2</v>
      </c>
      <c r="M262" s="2"/>
      <c r="N262" s="14">
        <f t="shared" si="65"/>
        <v>-1293.4900000000007</v>
      </c>
      <c r="O262" s="15">
        <f>IFERROR(N262/N444, "NA")</f>
        <v>-0.14669710640981135</v>
      </c>
      <c r="P262" s="2"/>
      <c r="Q262" s="14">
        <f>IFERROR(Q240+Q241+Q242+Q243+Q244+Q245+Q246+Q247+Q248+Q249+Q250+Q251+Q252+Q253+Q254+Q255+Q256+Q257+Q258+Q259+Q260+Q261, "NA")</f>
        <v>49357.17</v>
      </c>
      <c r="R262" s="15">
        <f>IFERROR(Q262/Q444, "NA")</f>
        <v>6.1266693493483917E-2</v>
      </c>
      <c r="S262" s="2"/>
      <c r="T262" s="14">
        <f>IFERROR(T240+T241+T242+T243+T244+T245+T246+T247+T248+T249+T250+T251+T252+T253+T254+T255+T256+T257+T258+T259+T260+T261, "NA")</f>
        <v>44946.49</v>
      </c>
      <c r="U262" s="15">
        <f>IFERROR(T262/T444, "NA")</f>
        <v>5.2206288671750291E-2</v>
      </c>
      <c r="V262" s="2"/>
      <c r="W262" s="14">
        <f t="shared" si="66"/>
        <v>-4410.68</v>
      </c>
      <c r="X262" s="15">
        <f>IFERROR(W262/W444, "NA")</f>
        <v>7.9718234966979884E-2</v>
      </c>
      <c r="Y262" s="2"/>
      <c r="Z262" s="14">
        <f>IFERROR(Z240+Z241+Z242+Z243+Z244+Z245+Z246+Z247+Z248+Z249+Z250+Z251+Z252+Z253+Z254+Z255+Z256+Z257+Z258+Z259+Z260+Z261, "NA")</f>
        <v>38650.92</v>
      </c>
      <c r="AA262" s="15">
        <f>IFERROR(Z262/Z444, "NA")</f>
        <v>5.2361125749599745E-2</v>
      </c>
      <c r="AB262" s="2"/>
      <c r="AC262" s="14">
        <f t="shared" si="67"/>
        <v>-10706.25</v>
      </c>
      <c r="AD262" s="15">
        <f>IFERROR(AC262/AC444, "NA")</f>
        <v>-0.15872591109599554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6404.21</v>
      </c>
      <c r="C263" s="15">
        <f>IFERROR(B263/B444, "NA")</f>
        <v>6.0970433926934603E-2</v>
      </c>
      <c r="D263" s="2"/>
      <c r="E263" s="14">
        <f>IFERROR(E238+E240+E241+E242+E243+E244+E245+E246+E247+E248+E249+E250+E251+E252+E253+E254+E255+E256+E257+E258+E259+E260+E261, "NA")</f>
        <v>5737.95</v>
      </c>
      <c r="F263" s="15">
        <f>IFERROR(E263/E444, "NA")</f>
        <v>5.1408030563406641E-2</v>
      </c>
      <c r="G263" s="2"/>
      <c r="H263" s="14">
        <f t="shared" si="64"/>
        <v>-666.26000000000022</v>
      </c>
      <c r="I263" s="15">
        <f>IFERROR(H263/H444, "NA")</f>
        <v>0.10128810694039267</v>
      </c>
      <c r="J263" s="2"/>
      <c r="K263" s="14">
        <f>IFERROR(K238+K240+K241+K242+K243+K244+K245+K246+K247+K248+K249+K250+K251+K252+K253+K254+K255+K256+K257+K258+K259+K260+K261, "NA")</f>
        <v>5110.7199999999993</v>
      </c>
      <c r="L263" s="15">
        <f>IFERROR(K263/K444, "NA")</f>
        <v>5.3114646831123581E-2</v>
      </c>
      <c r="M263" s="2"/>
      <c r="N263" s="14">
        <f t="shared" si="65"/>
        <v>-1293.4900000000007</v>
      </c>
      <c r="O263" s="15">
        <f>IFERROR(N263/N444, "NA")</f>
        <v>-0.14669710640981135</v>
      </c>
      <c r="P263" s="2"/>
      <c r="Q263" s="14">
        <f>IFERROR(Q238+Q240+Q241+Q242+Q243+Q244+Q245+Q246+Q247+Q248+Q249+Q250+Q251+Q252+Q253+Q254+Q255+Q256+Q257+Q258+Q259+Q260+Q261, "NA")</f>
        <v>49357.17</v>
      </c>
      <c r="R263" s="15">
        <f>IFERROR(Q263/Q444, "NA")</f>
        <v>6.1266693493483917E-2</v>
      </c>
      <c r="S263" s="2"/>
      <c r="T263" s="14">
        <f>IFERROR(T238+T240+T241+T242+T243+T244+T245+T246+T247+T248+T249+T250+T251+T252+T253+T254+T255+T256+T257+T258+T259+T260+T261, "NA")</f>
        <v>44946.49</v>
      </c>
      <c r="U263" s="15">
        <f>IFERROR(T263/T444, "NA")</f>
        <v>5.2206288671750291E-2</v>
      </c>
      <c r="V263" s="2"/>
      <c r="W263" s="14">
        <f t="shared" si="66"/>
        <v>-4410.68</v>
      </c>
      <c r="X263" s="15">
        <f>IFERROR(W263/W444, "NA")</f>
        <v>7.9718234966979884E-2</v>
      </c>
      <c r="Y263" s="2"/>
      <c r="Z263" s="14">
        <f>IFERROR(Z238+Z240+Z241+Z242+Z243+Z244+Z245+Z246+Z247+Z248+Z249+Z250+Z251+Z252+Z253+Z254+Z255+Z256+Z257+Z258+Z259+Z260+Z261, "NA")</f>
        <v>38650.92</v>
      </c>
      <c r="AA263" s="15">
        <f>IFERROR(Z263/Z444, "NA")</f>
        <v>5.2361125749599745E-2</v>
      </c>
      <c r="AB263" s="2"/>
      <c r="AC263" s="14">
        <f t="shared" si="67"/>
        <v>-10706.25</v>
      </c>
      <c r="AD263" s="15">
        <f>IFERROR(AC263/AC444, "NA")</f>
        <v>-0.15872591109599554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2756.94</v>
      </c>
      <c r="C265" s="8">
        <f>IFERROR(B265/B444, "NA")</f>
        <v>2.6247082483323171E-2</v>
      </c>
      <c r="D265" s="9"/>
      <c r="E265" s="7">
        <v>3125.24</v>
      </c>
      <c r="F265" s="8">
        <f>IFERROR(E265/E444, "NA")</f>
        <v>2.7999970971859457E-2</v>
      </c>
      <c r="G265" s="9"/>
      <c r="H265" s="10">
        <f>IFERROR(-(B265-E265), "NA")</f>
        <v>368.29999999999973</v>
      </c>
      <c r="I265" s="8">
        <f>IFERROR(H265/H444, "NA")</f>
        <v>-5.5990769048339356E-2</v>
      </c>
      <c r="J265" s="9"/>
      <c r="K265" s="7">
        <v>2904.08</v>
      </c>
      <c r="L265" s="8">
        <f>IFERROR(K265/K444, "NA")</f>
        <v>3.0181497630339636E-2</v>
      </c>
      <c r="M265" s="9"/>
      <c r="N265" s="10">
        <f>IFERROR(-(B265-K265), "NA")</f>
        <v>147.13999999999987</v>
      </c>
      <c r="O265" s="8">
        <f>IFERROR(N265/N444, "NA")</f>
        <v>1.6687421036992642E-2</v>
      </c>
      <c r="P265" s="9"/>
      <c r="Q265" s="7">
        <v>21420.46</v>
      </c>
      <c r="R265" s="8">
        <f>IFERROR(Q265/Q444, "NA")</f>
        <v>2.6589060055700772E-2</v>
      </c>
      <c r="S265" s="9"/>
      <c r="T265" s="7">
        <v>24282.62</v>
      </c>
      <c r="U265" s="8">
        <f>IFERROR(T265/T444, "NA")</f>
        <v>2.8204771260812958E-2</v>
      </c>
      <c r="V265" s="9"/>
      <c r="W265" s="10">
        <f>IFERROR(-(Q265-T265), "NA")</f>
        <v>2862.16</v>
      </c>
      <c r="X265" s="8">
        <f>IFERROR(W265/W444, "NA")</f>
        <v>-5.173042328917335E-2</v>
      </c>
      <c r="Y265" s="9"/>
      <c r="Z265" s="7">
        <v>22001.7</v>
      </c>
      <c r="AA265" s="8">
        <f>IFERROR(Z265/Z444, "NA")</f>
        <v>2.9806115362971151E-2</v>
      </c>
      <c r="AB265" s="9"/>
      <c r="AC265" s="10">
        <f>IFERROR(-(Q265-Z265), "NA")</f>
        <v>581.2400000000016</v>
      </c>
      <c r="AD265" s="8">
        <f>IFERROR(AC265/AC444, "NA")</f>
        <v>8.6171954293461014E-3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9.1979787088018982E-5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1.3392767580176319E-3</v>
      </c>
      <c r="Y266" s="9"/>
      <c r="Z266" s="7">
        <v>-49.23</v>
      </c>
      <c r="AA266" s="8">
        <f>IFERROR(Z266/Z444, "NA")</f>
        <v>-6.6692803706943992E-5</v>
      </c>
      <c r="AB266" s="9"/>
      <c r="AC266" s="10">
        <f>IFERROR(-(Q266-Z266), "NA")</f>
        <v>-123.32999999999998</v>
      </c>
      <c r="AD266" s="8">
        <f>IFERROR(AC266/AC444, "NA")</f>
        <v>-1.8284335426007356E-3</v>
      </c>
    </row>
    <row r="267" spans="1:30" ht="16.5" customHeight="1" x14ac:dyDescent="0.45">
      <c r="A267" s="19" t="s">
        <v>243</v>
      </c>
      <c r="B267" s="14">
        <f>IFERROR(B265+B266, "NA")</f>
        <v>2756.94</v>
      </c>
      <c r="C267" s="15">
        <f>IFERROR(B267/B444, "NA")</f>
        <v>2.6247082483323171E-2</v>
      </c>
      <c r="D267" s="2"/>
      <c r="E267" s="14">
        <f>IFERROR(E265+E266, "NA")</f>
        <v>3125.24</v>
      </c>
      <c r="F267" s="15">
        <f>IFERROR(E267/E444, "NA")</f>
        <v>2.7999970971859457E-2</v>
      </c>
      <c r="G267" s="2"/>
      <c r="H267" s="14">
        <f>IFERROR(-(B267-E267), "NA")</f>
        <v>368.29999999999973</v>
      </c>
      <c r="I267" s="15">
        <f>IFERROR(H267/H444, "NA")</f>
        <v>-5.5990769048339356E-2</v>
      </c>
      <c r="J267" s="2"/>
      <c r="K267" s="14">
        <f>IFERROR(K265+K266, "NA")</f>
        <v>2904.08</v>
      </c>
      <c r="L267" s="15">
        <f>IFERROR(K267/K444, "NA")</f>
        <v>3.0181497630339636E-2</v>
      </c>
      <c r="M267" s="2"/>
      <c r="N267" s="14">
        <f>IFERROR(-(B267-K267), "NA")</f>
        <v>147.13999999999987</v>
      </c>
      <c r="O267" s="15">
        <f>IFERROR(N267/N444, "NA")</f>
        <v>1.6687421036992642E-2</v>
      </c>
      <c r="P267" s="2"/>
      <c r="Q267" s="14">
        <f>IFERROR(Q265+Q266, "NA")</f>
        <v>21494.559999999998</v>
      </c>
      <c r="R267" s="15">
        <f>IFERROR(Q267/Q444, "NA")</f>
        <v>2.668103984278879E-2</v>
      </c>
      <c r="S267" s="2"/>
      <c r="T267" s="14">
        <f>IFERROR(T265+T266, "NA")</f>
        <v>24282.62</v>
      </c>
      <c r="U267" s="15">
        <f>IFERROR(T267/T444, "NA")</f>
        <v>2.8204771260812958E-2</v>
      </c>
      <c r="V267" s="2"/>
      <c r="W267" s="14">
        <f>IFERROR(-(Q267-T267), "NA")</f>
        <v>2788.0600000000013</v>
      </c>
      <c r="X267" s="15">
        <f>IFERROR(W267/W444, "NA")</f>
        <v>-5.0391146531155742E-2</v>
      </c>
      <c r="Y267" s="2"/>
      <c r="Z267" s="14">
        <f>IFERROR(Z265+Z266, "NA")</f>
        <v>21952.47</v>
      </c>
      <c r="AA267" s="15">
        <f>IFERROR(Z267/Z444, "NA")</f>
        <v>2.9739422559264206E-2</v>
      </c>
      <c r="AB267" s="2"/>
      <c r="AC267" s="14">
        <f>IFERROR(-(Q267-Z267), "NA")</f>
        <v>457.91000000000349</v>
      </c>
      <c r="AD267" s="15">
        <f>IFERROR(AC267/AC444, "NA")</f>
        <v>6.7887618867453932E-3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8.5483381436577788E-4</v>
      </c>
      <c r="D270" s="9"/>
      <c r="E270" s="7">
        <v>167.7</v>
      </c>
      <c r="F270" s="8">
        <f>IFERROR(E270/E444, "NA")</f>
        <v>1.5024750521498607E-3</v>
      </c>
      <c r="G270" s="9"/>
      <c r="H270" s="10">
        <f>IFERROR(-(B270-E270), "NA")</f>
        <v>77.909999999999982</v>
      </c>
      <c r="I270" s="8">
        <f>IFERROR(H270/H444, "NA")</f>
        <v>-1.1844259615954714E-2</v>
      </c>
      <c r="J270" s="9"/>
      <c r="K270" s="7">
        <v>182.86</v>
      </c>
      <c r="L270" s="8">
        <f>IFERROR(K270/K444, "NA")</f>
        <v>1.9004258342345619E-3</v>
      </c>
      <c r="M270" s="9"/>
      <c r="N270" s="10">
        <f>IFERROR(-(B270-K270), "NA")</f>
        <v>93.070000000000007</v>
      </c>
      <c r="O270" s="8">
        <f>IFERROR(N270/N444, "NA")</f>
        <v>1.0555241782743691E-2</v>
      </c>
      <c r="P270" s="9"/>
      <c r="Q270" s="7">
        <v>887.34</v>
      </c>
      <c r="R270" s="8">
        <f>IFERROR(Q270/Q444, "NA")</f>
        <v>1.1014486406839782E-3</v>
      </c>
      <c r="S270" s="9"/>
      <c r="T270" s="7">
        <v>1508.66</v>
      </c>
      <c r="U270" s="8">
        <f>IFERROR(T270/T444, "NA")</f>
        <v>1.7523401597660418E-3</v>
      </c>
      <c r="V270" s="9"/>
      <c r="W270" s="10">
        <f>IFERROR(-(Q270-T270), "NA")</f>
        <v>621.32000000000005</v>
      </c>
      <c r="X270" s="8">
        <f>IFERROR(W270/W444, "NA")</f>
        <v>-1.1229681987739746E-2</v>
      </c>
      <c r="Y270" s="9"/>
      <c r="Z270" s="7">
        <v>1327.9</v>
      </c>
      <c r="AA270" s="8">
        <f>IFERROR(Z270/Z444, "NA")</f>
        <v>1.7989310185344493E-3</v>
      </c>
      <c r="AB270" s="9"/>
      <c r="AC270" s="10">
        <f>IFERROR(-(Q270-Z270), "NA")</f>
        <v>440.56000000000006</v>
      </c>
      <c r="AD270" s="8">
        <f>IFERROR(AC270/AC444, "NA")</f>
        <v>6.5315388107368873E-3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1.1269735246190996E-2</v>
      </c>
      <c r="D271" s="9"/>
      <c r="E271" s="7">
        <v>781.31</v>
      </c>
      <c r="F271" s="8">
        <f>IFERROR(E271/E444, "NA")</f>
        <v>6.9999927429648641E-3</v>
      </c>
      <c r="G271" s="9"/>
      <c r="H271" s="10">
        <f>IFERROR(-(B271-E271), "NA")</f>
        <v>-402.44000000000005</v>
      </c>
      <c r="I271" s="8">
        <f>IFERROR(H271/H444, "NA")</f>
        <v>6.1180898984017677E-2</v>
      </c>
      <c r="J271" s="9"/>
      <c r="K271" s="7">
        <v>804.25</v>
      </c>
      <c r="L271" s="8">
        <f>IFERROR(K271/K444, "NA")</f>
        <v>8.358402478306607E-3</v>
      </c>
      <c r="M271" s="9"/>
      <c r="N271" s="10">
        <f>IFERROR(-(B271-K271), "NA")</f>
        <v>-379.5</v>
      </c>
      <c r="O271" s="8">
        <f>IFERROR(N271/N444, "NA")</f>
        <v>-4.3039800758044811E-2</v>
      </c>
      <c r="P271" s="9"/>
      <c r="Q271" s="7">
        <v>7475.03</v>
      </c>
      <c r="R271" s="8">
        <f>IFERROR(Q271/Q444, "NA")</f>
        <v>9.2786999713435174E-3</v>
      </c>
      <c r="S271" s="9"/>
      <c r="T271" s="7">
        <v>6026.58</v>
      </c>
      <c r="U271" s="8">
        <f>IFERROR(T271/T444, "NA")</f>
        <v>6.9999987804030281E-3</v>
      </c>
      <c r="V271" s="9"/>
      <c r="W271" s="10">
        <f>IFERROR(-(Q271-T271), "NA")</f>
        <v>-1448.4499999999998</v>
      </c>
      <c r="X271" s="8">
        <f>IFERROR(W271/W444, "NA")</f>
        <v>2.6179155467619956E-2</v>
      </c>
      <c r="Y271" s="9"/>
      <c r="Z271" s="7">
        <v>6173.87</v>
      </c>
      <c r="AA271" s="8">
        <f>IFERROR(Z271/Z444, "NA")</f>
        <v>8.3638574044726851E-3</v>
      </c>
      <c r="AB271" s="9"/>
      <c r="AC271" s="10">
        <f>IFERROR(-(Q271-Z271), "NA")</f>
        <v>-1301.1599999999999</v>
      </c>
      <c r="AD271" s="8">
        <f>IFERROR(AC271/AC444, "NA")</f>
        <v>-1.9290396402257142E-2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1.2124569060556773E-2</v>
      </c>
      <c r="D273" s="2"/>
      <c r="E273" s="14">
        <f>IFERROR(E269+E270+E271+E272, "NA")</f>
        <v>949.01</v>
      </c>
      <c r="F273" s="15">
        <f>IFERROR(E273/E444, "NA")</f>
        <v>8.5024677951147255E-3</v>
      </c>
      <c r="G273" s="2"/>
      <c r="H273" s="14">
        <f>IFERROR(-(B273-E273), "NA")</f>
        <v>-324.52999999999997</v>
      </c>
      <c r="I273" s="15">
        <f>IFERROR(H273/H444, "NA")</f>
        <v>4.9336639368062943E-2</v>
      </c>
      <c r="J273" s="2"/>
      <c r="K273" s="14">
        <f>IFERROR(K269+K270+K271+K272, "NA")</f>
        <v>987.11</v>
      </c>
      <c r="L273" s="15">
        <f>IFERROR(K273/K444, "NA")</f>
        <v>1.0258828312541169E-2</v>
      </c>
      <c r="M273" s="2"/>
      <c r="N273" s="14">
        <f>IFERROR(-(B273-K273), "NA")</f>
        <v>-286.42999999999995</v>
      </c>
      <c r="O273" s="15">
        <f>IFERROR(N273/N444, "NA")</f>
        <v>-3.2484558975301114E-2</v>
      </c>
      <c r="P273" s="2"/>
      <c r="Q273" s="14">
        <f>IFERROR(Q269+Q270+Q271+Q272, "NA")</f>
        <v>8362.369999999999</v>
      </c>
      <c r="R273" s="15">
        <f>IFERROR(Q273/Q444, "NA")</f>
        <v>1.0380148612027493E-2</v>
      </c>
      <c r="S273" s="2"/>
      <c r="T273" s="14">
        <f>IFERROR(T269+T270+T271+T272, "NA")</f>
        <v>7535.24</v>
      </c>
      <c r="U273" s="15">
        <f>IFERROR(T273/T444, "NA")</f>
        <v>8.7523389401690695E-3</v>
      </c>
      <c r="V273" s="2"/>
      <c r="W273" s="14">
        <f>IFERROR(-(Q273-T273), "NA")</f>
        <v>-827.1299999999992</v>
      </c>
      <c r="X273" s="15">
        <f>IFERROR(W273/W444, "NA")</f>
        <v>1.4949473479880199E-2</v>
      </c>
      <c r="Y273" s="2"/>
      <c r="Z273" s="14">
        <f>IFERROR(Z269+Z270+Z271+Z272, "NA")</f>
        <v>7501.77</v>
      </c>
      <c r="AA273" s="15">
        <f>IFERROR(Z273/Z444, "NA")</f>
        <v>1.0162788423007135E-2</v>
      </c>
      <c r="AB273" s="2"/>
      <c r="AC273" s="14">
        <f>IFERROR(-(Q273-Z273), "NA")</f>
        <v>-860.59999999999854</v>
      </c>
      <c r="AD273" s="15">
        <f>IFERROR(AC273/AC444, "NA")</f>
        <v>-1.2758857591520236E-2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3.1984710412492567E-3</v>
      </c>
      <c r="G287" s="9"/>
      <c r="H287" s="10">
        <f t="shared" si="72"/>
        <v>357</v>
      </c>
      <c r="I287" s="8">
        <f>IFERROR(H287/H444, "NA")</f>
        <v>-5.4272887728094389E-2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2499</v>
      </c>
      <c r="U287" s="8">
        <f>IFERROR(T287/T444, "NA")</f>
        <v>2.9026407933234384E-3</v>
      </c>
      <c r="V287" s="9"/>
      <c r="W287" s="10">
        <f t="shared" si="74"/>
        <v>2499</v>
      </c>
      <c r="X287" s="8">
        <f>IFERROR(W287/W444, "NA")</f>
        <v>-4.5166702001161435E-2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1.5073598154419603E-3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2.4070101719857663E-2</v>
      </c>
      <c r="J288" s="9"/>
      <c r="K288" s="7">
        <v>158.33000000000001</v>
      </c>
      <c r="L288" s="8">
        <f>IFERROR(K288/K444, "NA")</f>
        <v>1.6454906613494378E-3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1108.33</v>
      </c>
      <c r="R288" s="8">
        <f>IFERROR(Q288/Q444, "NA")</f>
        <v>1.375761908546074E-3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-1108.33</v>
      </c>
      <c r="X288" s="8">
        <f>IFERROR(W288/W444, "NA")</f>
        <v>2.0031857074408663E-2</v>
      </c>
      <c r="Y288" s="9"/>
      <c r="Z288" s="7">
        <v>1108.33</v>
      </c>
      <c r="AA288" s="8">
        <f>IFERROR(Z288/Z444, "NA")</f>
        <v>1.5014754241827592E-3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216.02</v>
      </c>
      <c r="C289" s="8">
        <f>IFERROR(B289/B444, "NA")</f>
        <v>2.0565898271443961E-3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-216.02</v>
      </c>
      <c r="I289" s="8">
        <f>IFERROR(H289/H444, "NA")</f>
        <v>3.2840417946842997E-2</v>
      </c>
      <c r="J289" s="9"/>
      <c r="K289" s="7">
        <v>198.68</v>
      </c>
      <c r="L289" s="8">
        <f>IFERROR(K289/K444, "NA")</f>
        <v>2.0648397940813885E-3</v>
      </c>
      <c r="M289" s="9"/>
      <c r="N289" s="10">
        <f t="shared" si="73"/>
        <v>-17.340000000000003</v>
      </c>
      <c r="O289" s="8">
        <f>IFERROR(N289/N444, "NA")</f>
        <v>-1.9665616472845774E-3</v>
      </c>
      <c r="P289" s="9"/>
      <c r="Q289" s="7">
        <v>1476.48</v>
      </c>
      <c r="R289" s="8">
        <f>IFERROR(Q289/Q444, "NA")</f>
        <v>1.8327438062040254E-3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-1476.48</v>
      </c>
      <c r="X289" s="8">
        <f>IFERROR(W289/W444, "NA")</f>
        <v>2.6685767175139988E-2</v>
      </c>
      <c r="Y289" s="9"/>
      <c r="Z289" s="7">
        <v>1390.76</v>
      </c>
      <c r="AA289" s="8">
        <f>IFERROR(Z289/Z444, "NA")</f>
        <v>1.8840886387054526E-3</v>
      </c>
      <c r="AB289" s="9"/>
      <c r="AC289" s="10">
        <f t="shared" si="75"/>
        <v>-85.720000000000027</v>
      </c>
      <c r="AD289" s="8">
        <f>IFERROR(AC289/AC444, "NA")</f>
        <v>-1.2708450763945116E-3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352.74</v>
      </c>
      <c r="L290" s="8">
        <f>IFERROR(K290/K444, "NA")</f>
        <v>3.6659532361801341E-3</v>
      </c>
      <c r="M290" s="9"/>
      <c r="N290" s="10">
        <f t="shared" si="73"/>
        <v>352.74</v>
      </c>
      <c r="O290" s="8">
        <f>IFERROR(N290/N444, "NA")</f>
        <v>4.0004899392339199E-2</v>
      </c>
      <c r="P290" s="9"/>
      <c r="Q290" s="7">
        <v>215.74</v>
      </c>
      <c r="R290" s="8">
        <f>IFERROR(Q290/Q444, "NA")</f>
        <v>2.6779648132751983E-4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-215.74</v>
      </c>
      <c r="X290" s="8">
        <f>IFERROR(W290/W444, "NA")</f>
        <v>3.8992654220610518E-3</v>
      </c>
      <c r="Y290" s="9"/>
      <c r="Z290" s="7">
        <v>3037.54</v>
      </c>
      <c r="AA290" s="8">
        <f>IFERROR(Z290/Z444, "NA")</f>
        <v>4.1150123699368402E-3</v>
      </c>
      <c r="AB290" s="9"/>
      <c r="AC290" s="10">
        <f t="shared" si="75"/>
        <v>2821.8</v>
      </c>
      <c r="AD290" s="8">
        <f>IFERROR(AC290/AC444, "NA")</f>
        <v>4.1834701779865049E-2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1116.1600000000001</v>
      </c>
      <c r="F291" s="8">
        <f>IFERROR(E291/E444, "NA")</f>
        <v>1.0000015230814483E-2</v>
      </c>
      <c r="G291" s="9"/>
      <c r="H291" s="10">
        <f t="shared" si="72"/>
        <v>1116.1600000000001</v>
      </c>
      <c r="I291" s="8">
        <f>IFERROR(H291/H444, "NA")</f>
        <v>-0.16968410746943932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2499.58</v>
      </c>
      <c r="R291" s="8">
        <f>IFERROR(Q291/Q444, "NA")</f>
        <v>3.102710340208779E-3</v>
      </c>
      <c r="S291" s="9"/>
      <c r="T291" s="7">
        <v>8609.4</v>
      </c>
      <c r="U291" s="8">
        <f>IFERROR(T291/T444, "NA")</f>
        <v>9.9999982577186116E-3</v>
      </c>
      <c r="V291" s="9"/>
      <c r="W291" s="10">
        <f t="shared" si="74"/>
        <v>6109.82</v>
      </c>
      <c r="X291" s="8">
        <f>IFERROR(W291/W444, "NA")</f>
        <v>-0.11042833902390402</v>
      </c>
      <c r="Y291" s="9"/>
      <c r="Z291" s="7">
        <v>913.93</v>
      </c>
      <c r="AA291" s="8">
        <f>IFERROR(Z291/Z444, "NA")</f>
        <v>1.2381181005867829E-3</v>
      </c>
      <c r="AB291" s="9"/>
      <c r="AC291" s="10">
        <f t="shared" si="75"/>
        <v>-1585.65</v>
      </c>
      <c r="AD291" s="8">
        <f>IFERROR(AC291/AC444, "NA")</f>
        <v>-2.3508113571919703E-2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630.96</v>
      </c>
      <c r="C293" s="8">
        <f>IFERROR(B293/B444, "NA")</f>
        <v>6.0069711940330906E-3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-630.96</v>
      </c>
      <c r="I293" s="8">
        <f>IFERROR(H293/H444, "NA")</f>
        <v>9.5921628125821959E-2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-630.96</v>
      </c>
      <c r="O293" s="8">
        <f>IFERROR(N293/N444, "NA")</f>
        <v>-7.1558346999462327E-2</v>
      </c>
      <c r="P293" s="9"/>
      <c r="Q293" s="7">
        <v>630.96</v>
      </c>
      <c r="R293" s="8">
        <f>IFERROR(Q293/Q444, "NA")</f>
        <v>7.8320602511547193E-4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-630.96</v>
      </c>
      <c r="X293" s="8">
        <f>IFERROR(W293/W444, "NA")</f>
        <v>1.140391448365459E-2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-630.96</v>
      </c>
      <c r="AD293" s="8">
        <f>IFERROR(AC293/AC444, "NA")</f>
        <v>-9.354321154944948E-3</v>
      </c>
    </row>
    <row r="294" spans="1:30" ht="16.5" customHeight="1" x14ac:dyDescent="0.45">
      <c r="A294" s="6" t="s">
        <v>267</v>
      </c>
      <c r="B294" s="7">
        <v>430.72</v>
      </c>
      <c r="C294" s="8">
        <f>IFERROR(B294/B444, "NA")</f>
        <v>4.1006127689456268E-3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-430.72</v>
      </c>
      <c r="I294" s="8">
        <f>IFERROR(H294/H444, "NA")</f>
        <v>6.548016303149809E-2</v>
      </c>
      <c r="J294" s="9"/>
      <c r="K294" s="7">
        <v>-124.25</v>
      </c>
      <c r="L294" s="8">
        <f>IFERROR(K294/K444, "NA")</f>
        <v>-1.2913043306553881E-3</v>
      </c>
      <c r="M294" s="9"/>
      <c r="N294" s="10">
        <f t="shared" si="73"/>
        <v>-554.97</v>
      </c>
      <c r="O294" s="8">
        <f>IFERROR(N294/N444, "NA")</f>
        <v>-6.2940179780479916E-2</v>
      </c>
      <c r="P294" s="9"/>
      <c r="Q294" s="7">
        <v>2791.13</v>
      </c>
      <c r="R294" s="8">
        <f>IFERROR(Q294/Q444, "NA")</f>
        <v>3.4646092190955798E-3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-2791.13</v>
      </c>
      <c r="X294" s="8">
        <f>IFERROR(W294/W444, "NA")</f>
        <v>5.0446633435975073E-2</v>
      </c>
      <c r="Y294" s="9"/>
      <c r="Z294" s="7">
        <v>621.25</v>
      </c>
      <c r="AA294" s="8">
        <f>IFERROR(Z294/Z444, "NA")</f>
        <v>8.4161901895061868E-4</v>
      </c>
      <c r="AB294" s="9"/>
      <c r="AC294" s="10">
        <f t="shared" si="75"/>
        <v>-2169.88</v>
      </c>
      <c r="AD294" s="8">
        <f>IFERROR(AC294/AC444, "NA")</f>
        <v>-3.2169637358456862E-2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1436.0300000000002</v>
      </c>
      <c r="C295" s="15">
        <f>IFERROR(B295/B444, "NA")</f>
        <v>1.3671533605565075E-2</v>
      </c>
      <c r="D295" s="2"/>
      <c r="E295" s="14">
        <f>IFERROR(E286+E287+E288+E289+E290+E291+E292+E293+E294, "NA")</f>
        <v>1473.16</v>
      </c>
      <c r="F295" s="15">
        <f>IFERROR(E295/E444, "NA")</f>
        <v>1.3198486272063738E-2</v>
      </c>
      <c r="G295" s="2"/>
      <c r="H295" s="14">
        <f t="shared" si="72"/>
        <v>37.129999999999882</v>
      </c>
      <c r="I295" s="15">
        <f>IFERROR(H295/H444, "NA")</f>
        <v>-5.6446843735129927E-3</v>
      </c>
      <c r="J295" s="2"/>
      <c r="K295" s="14">
        <f>IFERROR(K286+K287+K288+K289+K290+K291+K292+K293+K294, "NA")</f>
        <v>585.5</v>
      </c>
      <c r="L295" s="15">
        <f>IFERROR(K295/K444, "NA")</f>
        <v>6.0849793609555718E-3</v>
      </c>
      <c r="M295" s="2"/>
      <c r="N295" s="14">
        <f t="shared" si="73"/>
        <v>-850.5300000000002</v>
      </c>
      <c r="O295" s="15">
        <f>IFERROR(N295/N444, "NA")</f>
        <v>-9.6460189034887636E-2</v>
      </c>
      <c r="P295" s="2"/>
      <c r="Q295" s="14">
        <f>IFERROR(Q286+Q287+Q288+Q289+Q290+Q291+Q292+Q293+Q294, "NA")</f>
        <v>8722.2200000000012</v>
      </c>
      <c r="R295" s="15">
        <f>IFERROR(Q295/Q444, "NA")</f>
        <v>1.082682778049745E-2</v>
      </c>
      <c r="S295" s="2"/>
      <c r="T295" s="14">
        <f>IFERROR(T286+T287+T288+T289+T290+T291+T292+T293+T294, "NA")</f>
        <v>11108.4</v>
      </c>
      <c r="U295" s="15">
        <f>IFERROR(T295/T444, "NA")</f>
        <v>1.290263905104205E-2</v>
      </c>
      <c r="V295" s="2"/>
      <c r="W295" s="14">
        <f t="shared" si="74"/>
        <v>2386.1799999999985</v>
      </c>
      <c r="X295" s="15">
        <f>IFERROR(W295/W444, "NA")</f>
        <v>-4.3127603433826059E-2</v>
      </c>
      <c r="Y295" s="2"/>
      <c r="Z295" s="14">
        <f>IFERROR(Z286+Z287+Z288+Z289+Z290+Z291+Z292+Z293+Z294, "NA")</f>
        <v>7071.81</v>
      </c>
      <c r="AA295" s="15">
        <f>IFERROR(Z295/Z444, "NA")</f>
        <v>9.5803135523624544E-3</v>
      </c>
      <c r="AB295" s="2"/>
      <c r="AC295" s="14">
        <f t="shared" si="75"/>
        <v>-1650.4100000000008</v>
      </c>
      <c r="AD295" s="15">
        <f>IFERROR(AC295/AC444, "NA")</f>
        <v>-2.4468215381850986E-2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1451.01</v>
      </c>
      <c r="F297" s="8">
        <f>IFERROR(E297/E444, "NA")</f>
        <v>1.3000037718664099E-2</v>
      </c>
      <c r="G297" s="9"/>
      <c r="H297" s="10">
        <f t="shared" ref="H297:H325" si="76">IFERROR(-(B297-E297), "NA")</f>
        <v>1451.01</v>
      </c>
      <c r="I297" s="8">
        <f>IFERROR(H297/H444, "NA")</f>
        <v>-0.22058964376006229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11192.23</v>
      </c>
      <c r="U297" s="8">
        <f>IFERROR(T297/T444, "NA")</f>
        <v>1.300000935024345E-2</v>
      </c>
      <c r="V297" s="9"/>
      <c r="W297" s="10">
        <f t="shared" ref="W297:W325" si="78">IFERROR(-(Q297-T297), "NA")</f>
        <v>11192.23</v>
      </c>
      <c r="X297" s="8">
        <f>IFERROR(W297/W444, "NA")</f>
        <v>-0.20228736180010365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4.4669565174342684E-3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7.1330081014066918E-2</v>
      </c>
      <c r="J299" s="9"/>
      <c r="K299" s="7">
        <v>183.75</v>
      </c>
      <c r="L299" s="8">
        <f>IFERROR(K299/K444, "NA")</f>
        <v>1.9096754185748699E-3</v>
      </c>
      <c r="M299" s="9"/>
      <c r="N299" s="10">
        <f t="shared" si="77"/>
        <v>-285.45</v>
      </c>
      <c r="O299" s="8">
        <f>IFERROR(N299/N444, "NA")</f>
        <v>-3.2373415352790223E-2</v>
      </c>
      <c r="P299" s="9"/>
      <c r="Q299" s="7">
        <v>3063.95</v>
      </c>
      <c r="R299" s="8">
        <f>IFERROR(Q299/Q444, "NA")</f>
        <v>3.8032586862123585E-3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-3063.95</v>
      </c>
      <c r="X299" s="8">
        <f>IFERROR(W299/W444, "NA")</f>
        <v>5.5377557661648084E-2</v>
      </c>
      <c r="Y299" s="9"/>
      <c r="Z299" s="7">
        <v>1286.25</v>
      </c>
      <c r="AA299" s="8">
        <f>IFERROR(Z299/Z444, "NA")</f>
        <v>1.7425069828977597E-3</v>
      </c>
      <c r="AB299" s="9"/>
      <c r="AC299" s="10">
        <f t="shared" si="79"/>
        <v>-1777.6999999999998</v>
      </c>
      <c r="AD299" s="8">
        <f>IFERROR(AC299/AC444, "NA")</f>
        <v>-2.6355358053039228E-2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217.93</v>
      </c>
      <c r="C304" s="8">
        <f>IFERROR(B304/B444, "NA")</f>
        <v>2.0747737294212493E-3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-217.93</v>
      </c>
      <c r="I304" s="8">
        <f>IFERROR(H304/H444, "NA")</f>
        <v>3.3130785497433084E-2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-217.93</v>
      </c>
      <c r="O304" s="8">
        <f>IFERROR(N304/N444, "NA")</f>
        <v>-2.4715846585509106E-2</v>
      </c>
      <c r="P304" s="9"/>
      <c r="Q304" s="7">
        <v>217.93</v>
      </c>
      <c r="R304" s="8">
        <f>IFERROR(Q304/Q444, "NA")</f>
        <v>2.7051491228194304E-4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-217.93</v>
      </c>
      <c r="X304" s="8">
        <f>IFERROR(W304/W444, "NA")</f>
        <v>3.9388472857595485E-3</v>
      </c>
      <c r="Y304" s="9"/>
      <c r="Z304" s="7">
        <v>107.65</v>
      </c>
      <c r="AA304" s="8">
        <f>IFERROR(Z304/Z444, "NA")</f>
        <v>1.4583547266001465E-4</v>
      </c>
      <c r="AB304" s="9"/>
      <c r="AC304" s="10">
        <f t="shared" si="79"/>
        <v>-110.28</v>
      </c>
      <c r="AD304" s="8">
        <f>IFERROR(AC304/AC444, "NA")</f>
        <v>-1.6349602779373157E-3</v>
      </c>
    </row>
    <row r="305" spans="1:30" ht="16.5" customHeight="1" x14ac:dyDescent="0.45">
      <c r="A305" s="6" t="s">
        <v>277</v>
      </c>
      <c r="B305" s="7">
        <v>68.98</v>
      </c>
      <c r="C305" s="8">
        <f>IFERROR(B305/B444, "NA")</f>
        <v>6.5671496285723749E-4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-68.98</v>
      </c>
      <c r="I305" s="8">
        <f>IFERROR(H305/H444, "NA")</f>
        <v>1.0486677298274374E-2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-68.98</v>
      </c>
      <c r="O305" s="8">
        <f>IFERROR(N305/N444, "NA")</f>
        <v>-7.8231500824504103E-3</v>
      </c>
      <c r="P305" s="9"/>
      <c r="Q305" s="7">
        <v>127.31</v>
      </c>
      <c r="R305" s="8">
        <f>IFERROR(Q305/Q444, "NA")</f>
        <v>1.580289702317908E-4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-127.31</v>
      </c>
      <c r="X305" s="8">
        <f>IFERROR(W305/W444, "NA")</f>
        <v>2.3009895285185521E-3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-127.31</v>
      </c>
      <c r="AD305" s="8">
        <f>IFERROR(AC305/AC444, "NA")</f>
        <v>-1.8874391819386986E-3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28.78</v>
      </c>
      <c r="C310" s="8">
        <f>IFERROR(B310/B444, "NA")</f>
        <v>2.7399618195174391E-4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-28.78</v>
      </c>
      <c r="I310" s="8">
        <f>IFERROR(H310/H444, "NA")</f>
        <v>4.37527649527887E-3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-28.78</v>
      </c>
      <c r="O310" s="8">
        <f>IFERROR(N310/N444, "NA")</f>
        <v>-3.263993322309696E-3</v>
      </c>
      <c r="P310" s="9"/>
      <c r="Q310" s="7">
        <v>159.19999999999999</v>
      </c>
      <c r="R310" s="8">
        <f>IFERROR(Q310/Q444, "NA")</f>
        <v>1.9761379358181676E-4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-159.19999999999999</v>
      </c>
      <c r="X310" s="8">
        <f>IFERROR(W310/W444, "NA")</f>
        <v>2.8773665300459782E-3</v>
      </c>
      <c r="Y310" s="9"/>
      <c r="Z310" s="7">
        <v>132.9</v>
      </c>
      <c r="AA310" s="8">
        <f>IFERROR(Z310/Z444, "NA")</f>
        <v>1.8004212091515045E-4</v>
      </c>
      <c r="AB310" s="9"/>
      <c r="AC310" s="10">
        <f t="shared" si="79"/>
        <v>-26.299999999999983</v>
      </c>
      <c r="AD310" s="8">
        <f>IFERROR(AC310/AC444, "NA")</f>
        <v>-3.899116368312602E-4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3.3142514375844898E-5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4.8257340673509816E-4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-3.9584185184010092E-4</v>
      </c>
    </row>
    <row r="312" spans="1:30" ht="16.5" customHeight="1" x14ac:dyDescent="0.45">
      <c r="A312" s="6" t="s">
        <v>284</v>
      </c>
      <c r="B312" s="7">
        <v>884.92</v>
      </c>
      <c r="C312" s="8">
        <f>IFERROR(B312/B444, "NA")</f>
        <v>8.4247637711166515E-3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-884.92</v>
      </c>
      <c r="I312" s="8">
        <f>IFERROR(H312/H444, "NA")</f>
        <v>0.13452987061161145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-884.92</v>
      </c>
      <c r="O312" s="8">
        <f>IFERROR(N312/N444, "NA")</f>
        <v>-0.10036042289014231</v>
      </c>
      <c r="P312" s="9"/>
      <c r="Q312" s="7">
        <v>3527.8</v>
      </c>
      <c r="R312" s="8">
        <f>IFERROR(Q312/Q444, "NA")</f>
        <v>4.3790322927005857E-3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-3527.8</v>
      </c>
      <c r="X312" s="8">
        <f>IFERROR(W312/W444, "NA")</f>
        <v>6.376114098427263E-2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-3527.8</v>
      </c>
      <c r="AD312" s="8">
        <f>IFERROR(AC312/AC444, "NA")</f>
        <v>-5.2301531270468472E-2</v>
      </c>
    </row>
    <row r="313" spans="1:30" ht="16.5" customHeight="1" x14ac:dyDescent="0.45">
      <c r="A313" s="6" t="s">
        <v>285</v>
      </c>
      <c r="B313" s="7">
        <v>7.85</v>
      </c>
      <c r="C313" s="8">
        <f>IFERROR(B313/B444, "NA")</f>
        <v>7.4734886321097617E-5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-7.85</v>
      </c>
      <c r="I313" s="8">
        <f>IFERROR(H313/H444, "NA")</f>
        <v>1.1933954304356889E-3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-7.85</v>
      </c>
      <c r="O313" s="8">
        <f>IFERROR(N313/N444, "NA")</f>
        <v>-8.9028309868419424E-4</v>
      </c>
      <c r="P313" s="9"/>
      <c r="Q313" s="7">
        <v>40.85</v>
      </c>
      <c r="R313" s="8">
        <f>IFERROR(Q313/Q444, "NA")</f>
        <v>5.0706805702369445E-5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-40.85</v>
      </c>
      <c r="X313" s="8">
        <f>IFERROR(W313/W444, "NA")</f>
        <v>7.3831923839433561E-4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-40.85</v>
      </c>
      <c r="AD313" s="8">
        <f>IFERROR(AC313/AC444, "NA")</f>
        <v>-6.0562320777783239E-4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5.0775929006998998E-3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8.1080957817652274E-2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-6.0487081255060922E-2</v>
      </c>
      <c r="P315" s="9"/>
      <c r="Q315" s="7">
        <v>2733.36</v>
      </c>
      <c r="R315" s="8">
        <f>IFERROR(Q315/Q444, "NA")</f>
        <v>3.3928997413617762E-3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-2733.36</v>
      </c>
      <c r="X315" s="8">
        <f>IFERROR(W315/W444, "NA")</f>
        <v>4.9402503634211531E-2</v>
      </c>
      <c r="Y315" s="9"/>
      <c r="Z315" s="7">
        <v>300</v>
      </c>
      <c r="AA315" s="8">
        <f>IFERROR(Z315/Z444, "NA")</f>
        <v>4.0641562283329674E-4</v>
      </c>
      <c r="AB315" s="9"/>
      <c r="AC315" s="10">
        <f t="shared" si="79"/>
        <v>-2433.36</v>
      </c>
      <c r="AD315" s="8">
        <f>IFERROR(AC315/AC444, "NA")</f>
        <v>-3.607586998478008E-2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4.2019129365431411E-3</v>
      </c>
      <c r="G318" s="9"/>
      <c r="H318" s="10">
        <f t="shared" si="76"/>
        <v>469</v>
      </c>
      <c r="I318" s="8">
        <f>IFERROR(H318/H444, "NA")</f>
        <v>-7.1299676034947537E-2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3283</v>
      </c>
      <c r="U318" s="8">
        <f>IFERROR(T318/T444, "NA")</f>
        <v>3.8132731990719679E-3</v>
      </c>
      <c r="V318" s="9"/>
      <c r="W318" s="10">
        <f t="shared" si="78"/>
        <v>3283</v>
      </c>
      <c r="X318" s="8">
        <f>IFERROR(W318/W444, "NA")</f>
        <v>-5.9336647727016002E-2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306.64</v>
      </c>
      <c r="C319" s="8">
        <f>IFERROR(B319/B444, "NA")</f>
        <v>2.9193255466880732E-3</v>
      </c>
      <c r="D319" s="9"/>
      <c r="E319" s="7">
        <v>232</v>
      </c>
      <c r="F319" s="8">
        <f>IFERROR(E319/E444, "NA")</f>
        <v>2.0785582116801889E-3</v>
      </c>
      <c r="G319" s="9"/>
      <c r="H319" s="10">
        <f t="shared" si="76"/>
        <v>-74.639999999999986</v>
      </c>
      <c r="I319" s="8">
        <f>IFERROR(H319/H444, "NA")</f>
        <v>1.1347138207352843E-2</v>
      </c>
      <c r="J319" s="9"/>
      <c r="K319" s="7">
        <v>186.45</v>
      </c>
      <c r="L319" s="8">
        <f>IFERROR(K319/K444, "NA")</f>
        <v>1.9377359553376025E-3</v>
      </c>
      <c r="M319" s="9"/>
      <c r="N319" s="10">
        <f t="shared" si="77"/>
        <v>-120.19</v>
      </c>
      <c r="O319" s="8">
        <f>IFERROR(N319/N444, "NA")</f>
        <v>-1.3630971417943097E-2</v>
      </c>
      <c r="P319" s="9"/>
      <c r="Q319" s="7">
        <v>2015</v>
      </c>
      <c r="R319" s="8">
        <f>IFERROR(Q319/Q444, "NA")</f>
        <v>2.5012047366040251E-3</v>
      </c>
      <c r="S319" s="9"/>
      <c r="T319" s="7">
        <v>1624</v>
      </c>
      <c r="U319" s="8">
        <f>IFERROR(T319/T444, "NA")</f>
        <v>1.88630998333624E-3</v>
      </c>
      <c r="V319" s="9"/>
      <c r="W319" s="10">
        <f t="shared" si="78"/>
        <v>-391</v>
      </c>
      <c r="X319" s="8">
        <f>IFERROR(W319/W444, "NA")</f>
        <v>7.0668989525626731E-3</v>
      </c>
      <c r="Y319" s="9"/>
      <c r="Z319" s="7">
        <v>1544.91</v>
      </c>
      <c r="AA319" s="8">
        <f>IFERROR(Z319/Z444, "NA")</f>
        <v>2.0929185329046284E-3</v>
      </c>
      <c r="AB319" s="9"/>
      <c r="AC319" s="10">
        <f t="shared" si="79"/>
        <v>-470.08999999999992</v>
      </c>
      <c r="AD319" s="8">
        <f>IFERROR(AC319/AC444, "NA")</f>
        <v>-6.9693369337645323E-3</v>
      </c>
    </row>
    <row r="320" spans="1:30" ht="16.5" customHeight="1" x14ac:dyDescent="0.45">
      <c r="A320" s="6" t="s">
        <v>292</v>
      </c>
      <c r="B320" s="7">
        <v>1203.71</v>
      </c>
      <c r="C320" s="8">
        <f>IFERROR(B320/B444, "NA")</f>
        <v>1.1459761785167952E-2</v>
      </c>
      <c r="D320" s="9"/>
      <c r="E320" s="7">
        <v>905</v>
      </c>
      <c r="F320" s="8">
        <f>IFERROR(E320/E444, "NA")</f>
        <v>8.1081688860800485E-3</v>
      </c>
      <c r="G320" s="9"/>
      <c r="H320" s="10">
        <f t="shared" si="76"/>
        <v>-298.71000000000004</v>
      </c>
      <c r="I320" s="8">
        <f>IFERROR(H320/H444, "NA")</f>
        <v>4.5411356563750921E-2</v>
      </c>
      <c r="J320" s="9"/>
      <c r="K320" s="7">
        <v>888.96</v>
      </c>
      <c r="L320" s="8">
        <f>IFERROR(K320/K444, "NA")</f>
        <v>9.2387758372588641E-3</v>
      </c>
      <c r="M320" s="9"/>
      <c r="N320" s="10">
        <f t="shared" si="77"/>
        <v>-314.75</v>
      </c>
      <c r="O320" s="8">
        <f>IFERROR(N320/N444, "NA")</f>
        <v>-3.5696382842146518E-2</v>
      </c>
      <c r="P320" s="9"/>
      <c r="Q320" s="7">
        <v>8161.48</v>
      </c>
      <c r="R320" s="8">
        <f>IFERROR(Q320/Q444, "NA")</f>
        <v>1.0130785326897776E-2</v>
      </c>
      <c r="S320" s="9"/>
      <c r="T320" s="7">
        <v>6335</v>
      </c>
      <c r="U320" s="8">
        <f>IFERROR(T320/T444, "NA")</f>
        <v>7.3582350643073158E-3</v>
      </c>
      <c r="V320" s="9"/>
      <c r="W320" s="10">
        <f t="shared" si="78"/>
        <v>-1826.4799999999996</v>
      </c>
      <c r="X320" s="8">
        <f>IFERROR(W320/W444, "NA")</f>
        <v>3.3011635802753625E-2</v>
      </c>
      <c r="Y320" s="9"/>
      <c r="Z320" s="7">
        <v>6347.14</v>
      </c>
      <c r="AA320" s="8">
        <f>IFERROR(Z320/Z444, "NA")</f>
        <v>8.5985895210337702E-3</v>
      </c>
      <c r="AB320" s="9"/>
      <c r="AC320" s="10">
        <f t="shared" si="79"/>
        <v>-1814.3399999999992</v>
      </c>
      <c r="AD320" s="8">
        <f>IFERROR(AC320/AC444, "NA")</f>
        <v>-2.6898565747849004E-2</v>
      </c>
    </row>
    <row r="321" spans="1:30" ht="16.5" customHeight="1" x14ac:dyDescent="0.45">
      <c r="A321" s="6" t="s">
        <v>293</v>
      </c>
      <c r="B321" s="7">
        <v>1379.24</v>
      </c>
      <c r="C321" s="8">
        <f>IFERROR(B321/B444, "NA")</f>
        <v>1.3130871924778431E-2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-1379.24</v>
      </c>
      <c r="I321" s="8">
        <f>IFERROR(H321/H444, "NA")</f>
        <v>0.20967881700307256</v>
      </c>
      <c r="J321" s="9"/>
      <c r="K321" s="7">
        <v>3019.83</v>
      </c>
      <c r="L321" s="8">
        <f>IFERROR(K321/K444, "NA")</f>
        <v>3.1384463234149382E-2</v>
      </c>
      <c r="M321" s="9"/>
      <c r="N321" s="10">
        <f t="shared" si="77"/>
        <v>1640.59</v>
      </c>
      <c r="O321" s="8">
        <f>IFERROR(N321/N444, "NA")</f>
        <v>0.1860623629134143</v>
      </c>
      <c r="P321" s="9"/>
      <c r="Q321" s="7">
        <v>15898.38</v>
      </c>
      <c r="R321" s="8">
        <f>IFERROR(Q321/Q444, "NA")</f>
        <v>1.9734542610585954E-2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-15898.38</v>
      </c>
      <c r="X321" s="8">
        <f>IFERROR(W321/W444, "NA")</f>
        <v>0.28734589506251496</v>
      </c>
      <c r="Y321" s="9"/>
      <c r="Z321" s="7">
        <v>20853.59</v>
      </c>
      <c r="AA321" s="8">
        <f>IFERROR(Z321/Z444, "NA")</f>
        <v>2.8250749227200694E-2</v>
      </c>
      <c r="AB321" s="9"/>
      <c r="AC321" s="10">
        <f t="shared" si="79"/>
        <v>4955.2100000000009</v>
      </c>
      <c r="AD321" s="8">
        <f>IFERROR(AC321/AC444, "NA")</f>
        <v>7.3463651784890893E-2</v>
      </c>
    </row>
    <row r="322" spans="1:30" ht="16.5" customHeight="1" x14ac:dyDescent="0.45">
      <c r="A322" s="6" t="s">
        <v>294</v>
      </c>
      <c r="B322" s="7">
        <v>949.08</v>
      </c>
      <c r="C322" s="8">
        <f>IFERROR(B322/B444, "NA")</f>
        <v>9.0355905617359664E-3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-949.08</v>
      </c>
      <c r="I322" s="8">
        <f>IFERROR(H322/H444, "NA")</f>
        <v>0.14428378791310875</v>
      </c>
      <c r="J322" s="9"/>
      <c r="K322" s="7">
        <v>269.2</v>
      </c>
      <c r="L322" s="8">
        <f>IFERROR(K322/K444, "NA")</f>
        <v>2.7977394431583941E-3</v>
      </c>
      <c r="M322" s="9"/>
      <c r="N322" s="10">
        <f t="shared" si="77"/>
        <v>-679.88000000000011</v>
      </c>
      <c r="O322" s="8">
        <f>IFERROR(N322/N444, "NA")</f>
        <v>-7.710645517623059E-2</v>
      </c>
      <c r="P322" s="9"/>
      <c r="Q322" s="7">
        <v>4298.46</v>
      </c>
      <c r="R322" s="8">
        <f>IFERROR(Q322/Q444, "NA")</f>
        <v>5.3356469042694487E-3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-4298.46</v>
      </c>
      <c r="X322" s="8">
        <f>IFERROR(W322/W444, "NA")</f>
        <v>7.7689980745863293E-2</v>
      </c>
      <c r="Y322" s="9"/>
      <c r="Z322" s="7">
        <v>2350.69</v>
      </c>
      <c r="AA322" s="8">
        <f>IFERROR(Z322/Z444, "NA")</f>
        <v>3.1845238014600076E-3</v>
      </c>
      <c r="AB322" s="9"/>
      <c r="AC322" s="10">
        <f t="shared" si="79"/>
        <v>-1947.77</v>
      </c>
      <c r="AD322" s="8">
        <f>IFERROR(AC322/AC444, "NA")</f>
        <v>-2.8876737219422972E-2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6049.67</v>
      </c>
      <c r="C324" s="15">
        <f>IFERROR(B324/B444, "NA")</f>
        <v>5.7595082768172573E-2</v>
      </c>
      <c r="D324" s="2"/>
      <c r="E324" s="14">
        <f>IFERROR(E297+E298+E299+E300+E301+E302+E303+E304+E305+E306+E307+E308+E309+E310+E311+E312+E313+E314+E315+E316+E317+E318+E319+E320+E321+E322+E323, "NA")</f>
        <v>3057.01</v>
      </c>
      <c r="F324" s="15">
        <f>IFERROR(E324/E444, "NA")</f>
        <v>2.738867775296748E-2</v>
      </c>
      <c r="G324" s="2"/>
      <c r="H324" s="14">
        <f t="shared" si="76"/>
        <v>-2992.66</v>
      </c>
      <c r="I324" s="15">
        <f>IFERROR(H324/H444, "NA")</f>
        <v>0.45495882405702787</v>
      </c>
      <c r="J324" s="2"/>
      <c r="K324" s="14">
        <f>IFERROR(K297+K298+K299+K300+K301+K302+K303+K304+K305+K306+K307+K308+K309+K310+K311+K312+K313+K314+K315+K316+K317+K318+K319+K320+K321+K322+K323, "NA")</f>
        <v>4548.1899999999996</v>
      </c>
      <c r="L324" s="15">
        <f>IFERROR(K324/K444, "NA")</f>
        <v>4.7268389888479111E-2</v>
      </c>
      <c r="M324" s="2"/>
      <c r="N324" s="14">
        <f t="shared" si="77"/>
        <v>-1501.4800000000005</v>
      </c>
      <c r="O324" s="15">
        <f>IFERROR(N324/N444, "NA")</f>
        <v>-0.17028563910985281</v>
      </c>
      <c r="P324" s="2"/>
      <c r="Q324" s="14">
        <f>IFERROR(Q297+Q298+Q299+Q300+Q301+Q302+Q303+Q304+Q305+Q306+Q307+Q308+Q309+Q310+Q311+Q312+Q313+Q314+Q315+Q316+Q317+Q318+Q319+Q320+Q321+Q322+Q323, "NA")</f>
        <v>40270.42</v>
      </c>
      <c r="R324" s="15">
        <f>IFERROR(Q324/Q444, "NA")</f>
        <v>4.9987377294805693E-2</v>
      </c>
      <c r="S324" s="2"/>
      <c r="T324" s="14">
        <f>IFERROR(T297+T298+T299+T300+T301+T302+T303+T304+T305+T306+T307+T308+T309+T310+T311+T312+T313+T314+T315+T316+T317+T318+T319+T320+T321+T322+T323, "NA")</f>
        <v>22434.23</v>
      </c>
      <c r="U324" s="15">
        <f>IFERROR(T324/T444, "NA")</f>
        <v>2.6057827596958974E-2</v>
      </c>
      <c r="V324" s="2"/>
      <c r="W324" s="14">
        <f t="shared" si="78"/>
        <v>-17836.189999999999</v>
      </c>
      <c r="X324" s="15">
        <f>IFERROR(W324/W444, "NA")</f>
        <v>0.32236969930616066</v>
      </c>
      <c r="Y324" s="2"/>
      <c r="Z324" s="14">
        <f>IFERROR(Z297+Z298+Z299+Z300+Z301+Z302+Z303+Z304+Z305+Z306+Z307+Z308+Z309+Z310+Z311+Z312+Z313+Z314+Z315+Z316+Z317+Z318+Z319+Z320+Z321+Z322+Z323, "NA")</f>
        <v>32923.130000000005</v>
      </c>
      <c r="AA324" s="15">
        <f>IFERROR(Z324/Z444, "NA")</f>
        <v>4.4601581281905327E-2</v>
      </c>
      <c r="AB324" s="2"/>
      <c r="AC324" s="14">
        <f t="shared" si="79"/>
        <v>-7347.2899999999936</v>
      </c>
      <c r="AD324" s="15">
        <f>IFERROR(AC324/AC444, "NA")</f>
        <v>-0.10892752358075852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25416.87</v>
      </c>
      <c r="C325" s="15">
        <f>IFERROR(B325/B444, "NA")</f>
        <v>0.24197794778192566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21245.46</v>
      </c>
      <c r="F325" s="15">
        <f>IFERROR(E325/E444, "NA")</f>
        <v>0.19034450579277151</v>
      </c>
      <c r="G325" s="2"/>
      <c r="H325" s="14">
        <f t="shared" si="76"/>
        <v>-4171.41</v>
      </c>
      <c r="I325" s="15">
        <f>IFERROR(H325/H444, "NA")</f>
        <v>0.63415816974187733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18277.460000000003</v>
      </c>
      <c r="L325" s="15">
        <f>IFERROR(K325/K444, "NA")</f>
        <v>0.1899538289849548</v>
      </c>
      <c r="M325" s="2"/>
      <c r="N325" s="14">
        <f t="shared" si="77"/>
        <v>-7139.4099999999962</v>
      </c>
      <c r="O325" s="15">
        <f>IFERROR(N325/N444, "NA")</f>
        <v>-0.80969376529642301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189089.79</v>
      </c>
      <c r="R325" s="15">
        <f>IFERROR(Q325/Q444, "NA")</f>
        <v>0.23471577091387616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163431.32</v>
      </c>
      <c r="U325" s="15">
        <f>IFERROR(T325/T444, "NA")</f>
        <v>0.18982889809471656</v>
      </c>
      <c r="V325" s="2"/>
      <c r="W325" s="14">
        <f t="shared" si="78"/>
        <v>-25658.47</v>
      </c>
      <c r="X325" s="15">
        <f>IFERROR(W325/W444, "NA")</f>
        <v>0.4637488868730455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138895.47</v>
      </c>
      <c r="AA325" s="15">
        <f>IFERROR(Z325/Z444, "NA")</f>
        <v>0.1881642964959116</v>
      </c>
      <c r="AB325" s="2"/>
      <c r="AC325" s="14">
        <f t="shared" si="79"/>
        <v>-50194.320000000007</v>
      </c>
      <c r="AD325" s="15">
        <f>IFERROR(AC325/AC444, "NA")</f>
        <v>-0.74415777455635279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0.18631159630289848</v>
      </c>
      <c r="D329" s="9"/>
      <c r="E329" s="7">
        <v>18062</v>
      </c>
      <c r="F329" s="8">
        <f>IFERROR(E329/E444, "NA")</f>
        <v>0.16182292422141195</v>
      </c>
      <c r="G329" s="9"/>
      <c r="H329" s="10">
        <f t="shared" si="80"/>
        <v>-1507.7900000000009</v>
      </c>
      <c r="I329" s="8">
        <f>IFERROR(H329/H444, "NA")</f>
        <v>0.22922161733205459</v>
      </c>
      <c r="J329" s="9"/>
      <c r="K329" s="7">
        <v>19092.48</v>
      </c>
      <c r="L329" s="8">
        <f>IFERROR(K329/K444, "NA")</f>
        <v>0.19842416182657052</v>
      </c>
      <c r="M329" s="9"/>
      <c r="N329" s="10">
        <f t="shared" si="81"/>
        <v>-477.31000000000131</v>
      </c>
      <c r="O329" s="8">
        <f>IFERROR(N329/N444, "NA")</f>
        <v>-5.4132614755790315E-2</v>
      </c>
      <c r="P329" s="9"/>
      <c r="Q329" s="7">
        <v>136988.53</v>
      </c>
      <c r="R329" s="8">
        <f>IFERROR(Q329/Q444, "NA")</f>
        <v>0.17004285860864646</v>
      </c>
      <c r="S329" s="9"/>
      <c r="T329" s="7">
        <v>135476</v>
      </c>
      <c r="U329" s="8">
        <f>IFERROR(T329/T444, "NA")</f>
        <v>0.15735820893008648</v>
      </c>
      <c r="V329" s="9"/>
      <c r="W329" s="10">
        <f t="shared" si="82"/>
        <v>-1512.5299999999988</v>
      </c>
      <c r="X329" s="8">
        <f>IFERROR(W329/W444, "NA")</f>
        <v>2.7337331643784175E-2</v>
      </c>
      <c r="Y329" s="9"/>
      <c r="Z329" s="7">
        <v>133647.35999999999</v>
      </c>
      <c r="AA329" s="8">
        <f>IFERROR(Z329/Z444, "NA")</f>
        <v>0.18105458351475273</v>
      </c>
      <c r="AB329" s="9"/>
      <c r="AC329" s="10">
        <f t="shared" si="83"/>
        <v>-3341.1700000000128</v>
      </c>
      <c r="AD329" s="8">
        <f>IFERROR(AC329/AC444, "NA")</f>
        <v>-4.9534641202718915E-2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6.269257323733248E-3</v>
      </c>
      <c r="D330" s="9"/>
      <c r="E330" s="7">
        <v>659</v>
      </c>
      <c r="F330" s="8">
        <f>IFERROR(E330/E444, "NA")</f>
        <v>5.9041804374881232E-3</v>
      </c>
      <c r="G330" s="9"/>
      <c r="H330" s="10">
        <f t="shared" si="80"/>
        <v>0.49000000000000909</v>
      </c>
      <c r="I330" s="8">
        <f>IFERROR(H330/H444, "NA")</f>
        <v>-7.4492198842483878E-5</v>
      </c>
      <c r="J330" s="9"/>
      <c r="K330" s="7">
        <v>658.51</v>
      </c>
      <c r="L330" s="8">
        <f>IFERROR(K330/K444, "NA")</f>
        <v>6.8437570606026538E-3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4931.28</v>
      </c>
      <c r="R330" s="8">
        <f>IFERROR(Q330/Q444, "NA")</f>
        <v>6.1211617337571696E-3</v>
      </c>
      <c r="S330" s="9"/>
      <c r="T330" s="7">
        <v>4613</v>
      </c>
      <c r="U330" s="8">
        <f>IFERROR(T330/T444, "NA")</f>
        <v>5.3580960302525094E-3</v>
      </c>
      <c r="V330" s="9"/>
      <c r="W330" s="10">
        <f t="shared" si="82"/>
        <v>-318.27999999999975</v>
      </c>
      <c r="X330" s="8">
        <f>IFERROR(W330/W444, "NA")</f>
        <v>5.7525641908481992E-3</v>
      </c>
      <c r="Y330" s="9"/>
      <c r="Z330" s="7">
        <v>4661.3100000000004</v>
      </c>
      <c r="AA330" s="8">
        <f>IFERROR(Z330/Z444, "NA")</f>
        <v>6.3147640228969149E-3</v>
      </c>
      <c r="AB330" s="9"/>
      <c r="AC330" s="10">
        <f t="shared" si="83"/>
        <v>-269.96999999999935</v>
      </c>
      <c r="AD330" s="8">
        <f>IFERROR(AC330/AC444, "NA")</f>
        <v>-4.0024503648416398E-3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8.1487683119512207E-3</v>
      </c>
      <c r="D333" s="9"/>
      <c r="E333" s="7">
        <v>761</v>
      </c>
      <c r="F333" s="8">
        <f>IFERROR(E333/E444, "NA")</f>
        <v>6.8180293064164822E-3</v>
      </c>
      <c r="G333" s="9"/>
      <c r="H333" s="10">
        <f t="shared" si="80"/>
        <v>-94.92999999999995</v>
      </c>
      <c r="I333" s="8">
        <f>IFERROR(H333/H444, "NA")</f>
        <v>1.4431723339014E-2</v>
      </c>
      <c r="J333" s="9"/>
      <c r="K333" s="7">
        <v>760.64</v>
      </c>
      <c r="L333" s="8">
        <f>IFERROR(K333/K444, "NA")</f>
        <v>7.9051728456315043E-3</v>
      </c>
      <c r="M333" s="9"/>
      <c r="N333" s="10">
        <f t="shared" si="81"/>
        <v>-95.289999999999964</v>
      </c>
      <c r="O333" s="8">
        <f>IFERROR(N333/N444, "NA")</f>
        <v>-1.0807016111288769E-2</v>
      </c>
      <c r="P333" s="9"/>
      <c r="Q333" s="7">
        <v>5896.22</v>
      </c>
      <c r="R333" s="8">
        <f>IFERROR(Q333/Q444, "NA")</f>
        <v>7.3189346858855515E-3</v>
      </c>
      <c r="S333" s="9"/>
      <c r="T333" s="7">
        <v>5327</v>
      </c>
      <c r="U333" s="8">
        <f>IFERROR(T333/T444, "NA")</f>
        <v>6.1874219712020635E-3</v>
      </c>
      <c r="V333" s="9"/>
      <c r="W333" s="10">
        <f t="shared" si="82"/>
        <v>-569.22000000000025</v>
      </c>
      <c r="X333" s="8">
        <f>IFERROR(W333/W444, "NA")</f>
        <v>1.0288031257743547E-2</v>
      </c>
      <c r="Y333" s="9"/>
      <c r="Z333" s="7">
        <v>7053.19</v>
      </c>
      <c r="AA333" s="8">
        <f>IFERROR(Z333/Z444, "NA")</f>
        <v>9.5550886893719326E-3</v>
      </c>
      <c r="AB333" s="9"/>
      <c r="AC333" s="10">
        <f t="shared" si="83"/>
        <v>1156.9699999999993</v>
      </c>
      <c r="AD333" s="8">
        <f>IFERROR(AC333/AC444, "NA")</f>
        <v>1.7152702146945368E-2</v>
      </c>
    </row>
    <row r="334" spans="1:30" ht="16.5" customHeight="1" x14ac:dyDescent="0.45">
      <c r="A334" s="6" t="s">
        <v>305</v>
      </c>
      <c r="B334" s="7">
        <v>-1506.87</v>
      </c>
      <c r="C334" s="8">
        <f>IFERROR(B334/B444, "NA")</f>
        <v>-1.4345956452314951E-2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1506.87</v>
      </c>
      <c r="I334" s="8">
        <f>IFERROR(H334/H444, "NA")</f>
        <v>-0.2290817544281053</v>
      </c>
      <c r="J334" s="9"/>
      <c r="K334" s="7">
        <v>-1470.12</v>
      </c>
      <c r="L334" s="8">
        <f>IFERROR(K334/K444, "NA")</f>
        <v>-1.527865048356619E-2</v>
      </c>
      <c r="M334" s="9"/>
      <c r="N334" s="10">
        <f t="shared" si="81"/>
        <v>36.75</v>
      </c>
      <c r="O334" s="8">
        <f>IFERROR(N334/N444, "NA")</f>
        <v>4.1678858441584893E-3</v>
      </c>
      <c r="P334" s="9"/>
      <c r="Q334" s="7">
        <v>-1506.87</v>
      </c>
      <c r="R334" s="8">
        <f>IFERROR(Q334/Q444, "NA")</f>
        <v>-1.8704666905441723E-3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1506.87</v>
      </c>
      <c r="X334" s="8">
        <f>IFERROR(W334/W444, "NA")</f>
        <v>-2.7235033311120496E-2</v>
      </c>
      <c r="Y334" s="9"/>
      <c r="Z334" s="7">
        <v>-1470.12</v>
      </c>
      <c r="AA334" s="8">
        <f>IFERROR(Z334/Z444, "NA")</f>
        <v>-1.9915991181322871E-3</v>
      </c>
      <c r="AB334" s="9"/>
      <c r="AC334" s="10">
        <f t="shared" si="83"/>
        <v>36.75</v>
      </c>
      <c r="AD334" s="8">
        <f>IFERROR(AC334/AC444, "NA")</f>
        <v>5.4483850393721755E-4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5733.79</v>
      </c>
      <c r="F337" s="8">
        <f>IFERROR(E337/E444, "NA")</f>
        <v>5.1370759864438585E-2</v>
      </c>
      <c r="G337" s="9"/>
      <c r="H337" s="10">
        <f t="shared" ref="H337:H344" si="84">IFERROR(-(B337-E337), "NA")</f>
        <v>5733.79</v>
      </c>
      <c r="I337" s="8">
        <f>IFERROR(H337/H444, "NA")</f>
        <v>-0.87167882612456682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37065.449999999997</v>
      </c>
      <c r="U337" s="8">
        <f>IFERROR(T337/T444, "NA")</f>
        <v>4.3052295795474281E-2</v>
      </c>
      <c r="V337" s="9"/>
      <c r="W337" s="10">
        <f t="shared" ref="W337:W344" si="86">IFERROR(-(Q337-T337), "NA")</f>
        <v>37065.449999999997</v>
      </c>
      <c r="X337" s="8">
        <f>IFERROR(W337/W444, "NA")</f>
        <v>-0.66991762092394913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3034.29</v>
      </c>
      <c r="C338" s="8">
        <f>IFERROR(B338/B444, "NA")</f>
        <v>2.8887556460540548E-2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-3034.29</v>
      </c>
      <c r="I338" s="8">
        <f>IFERROR(H338/H444, "NA")</f>
        <v>0.46128762046072697</v>
      </c>
      <c r="J338" s="9"/>
      <c r="K338" s="7">
        <v>2725.77</v>
      </c>
      <c r="L338" s="8">
        <f>IFERROR(K338/K444, "NA")</f>
        <v>2.8328358996945975E-2</v>
      </c>
      <c r="M338" s="9"/>
      <c r="N338" s="10">
        <f t="shared" si="85"/>
        <v>-308.52</v>
      </c>
      <c r="O338" s="8">
        <f>IFERROR(N338/N444, "NA")</f>
        <v>-3.4989826956184411E-2</v>
      </c>
      <c r="P338" s="9"/>
      <c r="Q338" s="7">
        <v>15114.35</v>
      </c>
      <c r="R338" s="8">
        <f>IFERROR(Q338/Q444, "NA")</f>
        <v>1.8761331915975708E-2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-15114.35</v>
      </c>
      <c r="X338" s="8">
        <f>IFERROR(W338/W444, "NA")</f>
        <v>0.27317540711934946</v>
      </c>
      <c r="Y338" s="9"/>
      <c r="Z338" s="7">
        <v>13906.35</v>
      </c>
      <c r="AA338" s="8">
        <f>IFERROR(Z338/Z444, "NA")</f>
        <v>1.8839192988626054E-2</v>
      </c>
      <c r="AB338" s="9"/>
      <c r="AC338" s="10">
        <f t="shared" si="87"/>
        <v>-1208</v>
      </c>
      <c r="AD338" s="8">
        <f>IFERROR(AC338/AC444, "NA")</f>
        <v>-1.7909249326698198E-2</v>
      </c>
    </row>
    <row r="339" spans="1:30" ht="16.5" customHeight="1" x14ac:dyDescent="0.45">
      <c r="A339" s="12" t="s">
        <v>309</v>
      </c>
      <c r="B339" s="7">
        <v>453.89</v>
      </c>
      <c r="C339" s="8">
        <f>IFERROR(B339/B444, "NA")</f>
        <v>4.3211996881889168E-3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-453.89</v>
      </c>
      <c r="I339" s="8">
        <f>IFERROR(H339/H444, "NA")</f>
        <v>6.9002579862478319E-2</v>
      </c>
      <c r="J339" s="9"/>
      <c r="K339" s="7">
        <v>385.78</v>
      </c>
      <c r="L339" s="8">
        <f>IFERROR(K339/K444, "NA")</f>
        <v>4.009331063824834E-3</v>
      </c>
      <c r="M339" s="9"/>
      <c r="N339" s="10">
        <f t="shared" si="85"/>
        <v>-68.110000000000014</v>
      </c>
      <c r="O339" s="8">
        <f>IFERROR(N339/N444, "NA")</f>
        <v>-7.724481764507068E-3</v>
      </c>
      <c r="P339" s="9"/>
      <c r="Q339" s="7">
        <v>6457.28</v>
      </c>
      <c r="R339" s="8">
        <f>IFERROR(Q339/Q444, "NA")</f>
        <v>8.0153743531406647E-3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-6457.28</v>
      </c>
      <c r="X339" s="8">
        <f>IFERROR(W339/W444, "NA")</f>
        <v>0.11670829991919156</v>
      </c>
      <c r="Y339" s="9"/>
      <c r="Z339" s="7">
        <v>6281.12</v>
      </c>
      <c r="AA339" s="8">
        <f>IFERROR(Z339/Z444, "NA")</f>
        <v>8.5091509896355888E-3</v>
      </c>
      <c r="AB339" s="9"/>
      <c r="AC339" s="10">
        <f t="shared" si="87"/>
        <v>-176.15999999999985</v>
      </c>
      <c r="AD339" s="8">
        <f>IFERROR(AC339/AC444, "NA")</f>
        <v>-2.6116666898933381E-3</v>
      </c>
    </row>
    <row r="340" spans="1:30" ht="16.5" customHeight="1" x14ac:dyDescent="0.45">
      <c r="A340" s="12" t="s">
        <v>310</v>
      </c>
      <c r="B340" s="7">
        <v>895.25</v>
      </c>
      <c r="C340" s="8">
        <f>IFERROR(B340/B444, "NA")</f>
        <v>8.5231091692946053E-3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-895.25</v>
      </c>
      <c r="I340" s="8">
        <f>IFERROR(H340/H444, "NA")</f>
        <v>0.13610028778312747</v>
      </c>
      <c r="J340" s="9"/>
      <c r="K340" s="7">
        <v>823.59</v>
      </c>
      <c r="L340" s="8">
        <f>IFERROR(K340/K444, "NA")</f>
        <v>8.5593990638589239E-3</v>
      </c>
      <c r="M340" s="9"/>
      <c r="N340" s="10">
        <f t="shared" si="85"/>
        <v>-71.659999999999968</v>
      </c>
      <c r="O340" s="8">
        <f>IFERROR(N340/N444, "NA")</f>
        <v>-8.1270938664597878E-3</v>
      </c>
      <c r="P340" s="9"/>
      <c r="Q340" s="7">
        <v>6263.25</v>
      </c>
      <c r="R340" s="8">
        <f>IFERROR(Q340/Q444, "NA")</f>
        <v>7.7745263357494598E-3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-6263.25</v>
      </c>
      <c r="X340" s="8">
        <f>IFERROR(W340/W444, "NA")</f>
        <v>0.1132014190911462</v>
      </c>
      <c r="Y340" s="9"/>
      <c r="Z340" s="7">
        <v>5817.81</v>
      </c>
      <c r="AA340" s="8">
        <f>IFERROR(Z340/Z444, "NA")</f>
        <v>7.8814962489192741E-3</v>
      </c>
      <c r="AB340" s="9"/>
      <c r="AC340" s="10">
        <f t="shared" si="87"/>
        <v>-445.4399999999996</v>
      </c>
      <c r="AD340" s="8">
        <f>IFERROR(AC340/AC444, "NA")</f>
        <v>-6.6038874338447346E-3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9.824924246434337E-3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0.15688817200704799</v>
      </c>
      <c r="J341" s="9"/>
      <c r="K341" s="7">
        <v>957.58</v>
      </c>
      <c r="L341" s="8">
        <f>IFERROR(K341/K444, "NA")</f>
        <v>9.9519291826880209E-3</v>
      </c>
      <c r="M341" s="9"/>
      <c r="N341" s="10">
        <f t="shared" si="85"/>
        <v>-74.409999999999968</v>
      </c>
      <c r="O341" s="8">
        <f>IFERROR(N341/N444, "NA")</f>
        <v>-8.4389764806485183E-3</v>
      </c>
      <c r="P341" s="9"/>
      <c r="Q341" s="7">
        <v>7186.25</v>
      </c>
      <c r="R341" s="8">
        <f>IFERROR(Q341/Q444, "NA")</f>
        <v>8.9202394731616261E-3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-7186.25</v>
      </c>
      <c r="X341" s="8">
        <f>IFERROR(W341/W444, "NA")</f>
        <v>0.1298836383576816</v>
      </c>
      <c r="Y341" s="9"/>
      <c r="Z341" s="7">
        <v>6703.06</v>
      </c>
      <c r="AA341" s="8">
        <f>IFERROR(Z341/Z444, "NA")</f>
        <v>9.080761015963194E-3</v>
      </c>
      <c r="AB341" s="9"/>
      <c r="AC341" s="10">
        <f t="shared" si="87"/>
        <v>-483.1899999999996</v>
      </c>
      <c r="AD341" s="8">
        <f>IFERROR(AC341/AC444, "NA")</f>
        <v>-7.1635514753040528E-3</v>
      </c>
    </row>
    <row r="342" spans="1:30" ht="16.5" customHeight="1" x14ac:dyDescent="0.45">
      <c r="A342" s="13" t="s">
        <v>312</v>
      </c>
      <c r="B342" s="14">
        <f>IFERROR(B337+B338+B339+B340+B341, "NA")</f>
        <v>5415.42</v>
      </c>
      <c r="C342" s="15">
        <f>IFERROR(B342/B444, "NA")</f>
        <v>5.1556789564458409E-2</v>
      </c>
      <c r="D342" s="2"/>
      <c r="E342" s="14">
        <f>IFERROR(E337+E338+E339+E340+E341, "NA")</f>
        <v>5733.79</v>
      </c>
      <c r="F342" s="15">
        <f>IFERROR(E342/E444, "NA")</f>
        <v>5.1370759864438585E-2</v>
      </c>
      <c r="G342" s="2"/>
      <c r="H342" s="14">
        <f t="shared" si="84"/>
        <v>318.36999999999989</v>
      </c>
      <c r="I342" s="15">
        <f>IFERROR(H342/H444, "NA")</f>
        <v>-4.8400166011186012E-2</v>
      </c>
      <c r="J342" s="2"/>
      <c r="K342" s="14">
        <f>IFERROR(K337+K338+K339+K340+K341, "NA")</f>
        <v>4892.72</v>
      </c>
      <c r="L342" s="15">
        <f>IFERROR(K342/K444, "NA")</f>
        <v>5.0849018307317757E-2</v>
      </c>
      <c r="M342" s="2"/>
      <c r="N342" s="14">
        <f t="shared" si="85"/>
        <v>-522.69999999999982</v>
      </c>
      <c r="O342" s="15">
        <f>IFERROR(N342/N444, "NA")</f>
        <v>-5.9280379067799774E-2</v>
      </c>
      <c r="P342" s="2"/>
      <c r="Q342" s="14">
        <f>IFERROR(Q337+Q338+Q339+Q340+Q341, "NA")</f>
        <v>35021.130000000005</v>
      </c>
      <c r="R342" s="15">
        <f>IFERROR(Q342/Q444, "NA")</f>
        <v>4.3471472078027464E-2</v>
      </c>
      <c r="S342" s="2"/>
      <c r="T342" s="14">
        <f>IFERROR(T337+T338+T339+T340+T341, "NA")</f>
        <v>37065.449999999997</v>
      </c>
      <c r="U342" s="15">
        <f>IFERROR(T342/T444, "NA")</f>
        <v>4.3052295795474281E-2</v>
      </c>
      <c r="V342" s="2"/>
      <c r="W342" s="14">
        <f t="shared" si="86"/>
        <v>2044.3199999999924</v>
      </c>
      <c r="X342" s="15">
        <f>IFERROR(W342/W444, "NA")</f>
        <v>-3.6948856436580232E-2</v>
      </c>
      <c r="Y342" s="2"/>
      <c r="Z342" s="14">
        <f>IFERROR(Z337+Z338+Z339+Z340+Z341, "NA")</f>
        <v>32708.340000000004</v>
      </c>
      <c r="AA342" s="15">
        <f>IFERROR(Z342/Z444, "NA")</f>
        <v>4.4310601243144114E-2</v>
      </c>
      <c r="AB342" s="2"/>
      <c r="AC342" s="14">
        <f t="shared" si="87"/>
        <v>-2312.7900000000009</v>
      </c>
      <c r="AD342" s="15">
        <f>IFERROR(AC342/AC444, "NA")</f>
        <v>-3.4288354925740352E-2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24992.780000000002</v>
      </c>
      <c r="C343" s="15">
        <f>IFERROR(B343/B444, "NA")</f>
        <v>0.23794045505072645</v>
      </c>
      <c r="D343" s="2"/>
      <c r="E343" s="14">
        <f>IFERROR(E328+E329+E330+E331+E332+E333+E334+E335+E337+E338+E339+E340+E341, "NA")</f>
        <v>25215.79</v>
      </c>
      <c r="F343" s="15">
        <f>IFERROR(E343/E444, "NA")</f>
        <v>0.22591589382975516</v>
      </c>
      <c r="G343" s="2"/>
      <c r="H343" s="14">
        <f t="shared" si="84"/>
        <v>223.0099999999984</v>
      </c>
      <c r="I343" s="15">
        <f>IFERROR(H343/H444, "NA")</f>
        <v>-3.3903071967065108E-2</v>
      </c>
      <c r="J343" s="2"/>
      <c r="K343" s="14">
        <f>IFERROR(K328+K329+K330+K331+K332+K333+K334+K335+K337+K338+K339+K340+K341, "NA")</f>
        <v>23934.23</v>
      </c>
      <c r="L343" s="15">
        <f>IFERROR(K343/K444, "NA")</f>
        <v>0.24874345955655622</v>
      </c>
      <c r="M343" s="2"/>
      <c r="N343" s="14">
        <f t="shared" si="85"/>
        <v>-1058.5500000000029</v>
      </c>
      <c r="O343" s="15">
        <f>IFERROR(N343/N444, "NA")</f>
        <v>-0.12005212409072057</v>
      </c>
      <c r="P343" s="2"/>
      <c r="Q343" s="14">
        <f>IFERROR(Q328+Q329+Q330+Q331+Q332+Q333+Q334+Q335+Q337+Q338+Q339+Q340+Q341, "NA")</f>
        <v>181330.29</v>
      </c>
      <c r="R343" s="15">
        <f>IFERROR(Q343/Q444, "NA")</f>
        <v>0.22508396041577247</v>
      </c>
      <c r="S343" s="2"/>
      <c r="T343" s="14">
        <f>IFERROR(T328+T329+T330+T331+T332+T333+T334+T335+T337+T338+T339+T340+T341, "NA")</f>
        <v>182481.45</v>
      </c>
      <c r="U343" s="15">
        <f>IFERROR(T343/T444, "NA")</f>
        <v>0.21195602272701536</v>
      </c>
      <c r="V343" s="2"/>
      <c r="W343" s="14">
        <f t="shared" si="86"/>
        <v>1151.1600000000035</v>
      </c>
      <c r="X343" s="15">
        <f>IFERROR(W343/W444, "NA")</f>
        <v>-2.0805962655324993E-2</v>
      </c>
      <c r="Y343" s="2"/>
      <c r="Z343" s="14">
        <f>IFERROR(Z328+Z329+Z330+Z331+Z332+Z333+Z334+Z335+Z337+Z338+Z339+Z340+Z341, "NA")</f>
        <v>176600.08</v>
      </c>
      <c r="AA343" s="15">
        <f>IFERROR(Z343/Z444, "NA")</f>
        <v>0.23924343835203341</v>
      </c>
      <c r="AB343" s="2"/>
      <c r="AC343" s="14">
        <f t="shared" si="87"/>
        <v>-4730.210000000021</v>
      </c>
      <c r="AD343" s="15">
        <f>IFERROR(AC343/AC444, "NA")</f>
        <v>-7.0127905842418431E-2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24992.780000000002</v>
      </c>
      <c r="C344" s="15">
        <f>IFERROR(B344/B444, "NA")</f>
        <v>0.23794045505072645</v>
      </c>
      <c r="D344" s="2"/>
      <c r="E344" s="14">
        <f>IFERROR(E328+E329+E330+E331+E332+E333+E334+E335+E337+E338+E339+E340+E341, "NA")</f>
        <v>25215.79</v>
      </c>
      <c r="F344" s="15">
        <f>IFERROR(E344/E444, "NA")</f>
        <v>0.22591589382975516</v>
      </c>
      <c r="G344" s="2"/>
      <c r="H344" s="14">
        <f t="shared" si="84"/>
        <v>223.0099999999984</v>
      </c>
      <c r="I344" s="15">
        <f>IFERROR(H344/H444, "NA")</f>
        <v>-3.3903071967065108E-2</v>
      </c>
      <c r="J344" s="2"/>
      <c r="K344" s="14">
        <f>IFERROR(K328+K329+K330+K331+K332+K333+K334+K335+K337+K338+K339+K340+K341, "NA")</f>
        <v>23934.23</v>
      </c>
      <c r="L344" s="15">
        <f>IFERROR(K344/K444, "NA")</f>
        <v>0.24874345955655622</v>
      </c>
      <c r="M344" s="2"/>
      <c r="N344" s="14">
        <f t="shared" si="85"/>
        <v>-1058.5500000000029</v>
      </c>
      <c r="O344" s="15">
        <f>IFERROR(N344/N444, "NA")</f>
        <v>-0.12005212409072057</v>
      </c>
      <c r="P344" s="2"/>
      <c r="Q344" s="14">
        <f>IFERROR(Q328+Q329+Q330+Q331+Q332+Q333+Q334+Q335+Q337+Q338+Q339+Q340+Q341, "NA")</f>
        <v>181330.29</v>
      </c>
      <c r="R344" s="15">
        <f>IFERROR(Q344/Q444, "NA")</f>
        <v>0.22508396041577247</v>
      </c>
      <c r="S344" s="2"/>
      <c r="T344" s="14">
        <f>IFERROR(T328+T329+T330+T331+T332+T333+T334+T335+T337+T338+T339+T340+T341, "NA")</f>
        <v>182481.45</v>
      </c>
      <c r="U344" s="15">
        <f>IFERROR(T344/T444, "NA")</f>
        <v>0.21195602272701536</v>
      </c>
      <c r="V344" s="2"/>
      <c r="W344" s="14">
        <f t="shared" si="86"/>
        <v>1151.1600000000035</v>
      </c>
      <c r="X344" s="15">
        <f>IFERROR(W344/W444, "NA")</f>
        <v>-2.0805962655324993E-2</v>
      </c>
      <c r="Y344" s="2"/>
      <c r="Z344" s="14">
        <f>IFERROR(Z328+Z329+Z330+Z331+Z332+Z333+Z334+Z335+Z337+Z338+Z339+Z340+Z341, "NA")</f>
        <v>176600.08</v>
      </c>
      <c r="AA344" s="15">
        <f>IFERROR(Z344/Z444, "NA")</f>
        <v>0.23924343835203341</v>
      </c>
      <c r="AB344" s="2"/>
      <c r="AC344" s="14">
        <f t="shared" si="87"/>
        <v>-4730.210000000021</v>
      </c>
      <c r="AD344" s="15">
        <f>IFERROR(AC344/AC444, "NA")</f>
        <v>-7.0127905842418431E-2</v>
      </c>
    </row>
    <row r="345" spans="1:30" ht="16.5" customHeight="1" x14ac:dyDescent="0.45">
      <c r="A345" s="22" t="s">
        <v>315</v>
      </c>
      <c r="B345" s="23">
        <f>IFERROR(B198-B325-B344, "NA")</f>
        <v>-9513.7600000000166</v>
      </c>
      <c r="C345" s="24">
        <f>IFERROR(B345/B444, "NA")</f>
        <v>-9.0574493259389419E-2</v>
      </c>
      <c r="D345" s="25"/>
      <c r="E345" s="23">
        <f>IFERROR(E198-E325-E344, "NA")</f>
        <v>7206.0100000000093</v>
      </c>
      <c r="F345" s="24">
        <f>IFERROR(E345/E444, "NA")</f>
        <v>6.4560824392024041E-2</v>
      </c>
      <c r="G345" s="25"/>
      <c r="H345" s="23">
        <f>IFERROR(B345-E345, "NA")</f>
        <v>-16719.770000000026</v>
      </c>
      <c r="I345" s="24">
        <f>IFERROR(H345/H444, "NA")</f>
        <v>2.5418212886542357</v>
      </c>
      <c r="J345" s="25"/>
      <c r="K345" s="23">
        <f>IFERROR(K198-K325-K344, "NA")</f>
        <v>-5646.2400000000052</v>
      </c>
      <c r="L345" s="24">
        <f>IFERROR(K345/K444, "NA")</f>
        <v>-5.8680194478226852E-2</v>
      </c>
      <c r="M345" s="25"/>
      <c r="N345" s="23">
        <f>IFERROR(B345-K345, "NA")</f>
        <v>-3867.5200000000114</v>
      </c>
      <c r="O345" s="24">
        <f>IFERROR(N345/N444, "NA")</f>
        <v>-0.43862263564625548</v>
      </c>
      <c r="P345" s="25"/>
      <c r="Q345" s="23">
        <f>IFERROR(Q198-Q325-Q344, "NA")</f>
        <v>-40933.250000000058</v>
      </c>
      <c r="R345" s="24">
        <f>IFERROR(Q345/Q444, "NA")</f>
        <v>-5.0810143317417795E-2</v>
      </c>
      <c r="S345" s="25"/>
      <c r="T345" s="23">
        <f>IFERROR(T198-T325-T344, "NA")</f>
        <v>49649.819999999949</v>
      </c>
      <c r="U345" s="24">
        <f>IFERROR(T345/T444, "NA")</f>
        <v>5.7669304887221197E-2</v>
      </c>
      <c r="V345" s="25"/>
      <c r="W345" s="23">
        <f>IFERROR(Q345-T345, "NA")</f>
        <v>-90583.07</v>
      </c>
      <c r="X345" s="24">
        <f>IFERROR(W345/W444, "NA")</f>
        <v>1.637190287731231</v>
      </c>
      <c r="Y345" s="25"/>
      <c r="Z345" s="23">
        <f>IFERROR(Z198-Z325-Z344, "NA")</f>
        <v>-27013.739999999932</v>
      </c>
      <c r="AA345" s="24">
        <f>IFERROR(Z345/Z444, "NA")</f>
        <v>-3.6596019890522379E-2</v>
      </c>
      <c r="AB345" s="25"/>
      <c r="AC345" s="23">
        <f>IFERROR(Q345-Z345, "NA")</f>
        <v>-13919.510000000126</v>
      </c>
      <c r="AD345" s="24">
        <f>IFERROR(AC345/AC444, "NA")</f>
        <v>-0.20636421779426417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-9513.7600000000166</v>
      </c>
      <c r="C404" s="24">
        <f>IFERROR(B404/B444, "NA")</f>
        <v>-9.0574493259389419E-2</v>
      </c>
      <c r="D404" s="25"/>
      <c r="E404" s="23">
        <f>IFERROR(E345-E403, "NA")</f>
        <v>7206.0100000000093</v>
      </c>
      <c r="F404" s="24">
        <f>IFERROR(E404/E444, "NA")</f>
        <v>6.4560824392024041E-2</v>
      </c>
      <c r="G404" s="25"/>
      <c r="H404" s="23">
        <f>IFERROR(B404-E404, "NA")</f>
        <v>-16719.770000000026</v>
      </c>
      <c r="I404" s="24">
        <f>IFERROR(H404/H444, "NA")</f>
        <v>2.5418212886542357</v>
      </c>
      <c r="J404" s="25"/>
      <c r="K404" s="23">
        <f>IFERROR(K345-K403, "NA")</f>
        <v>-5646.2400000000052</v>
      </c>
      <c r="L404" s="24">
        <f>IFERROR(K404/K444, "NA")</f>
        <v>-5.8680194478226852E-2</v>
      </c>
      <c r="M404" s="25"/>
      <c r="N404" s="23">
        <f>IFERROR(B404-K404, "NA")</f>
        <v>-3867.5200000000114</v>
      </c>
      <c r="O404" s="24">
        <f>IFERROR(N404/N444, "NA")</f>
        <v>-0.43862263564625548</v>
      </c>
      <c r="P404" s="25"/>
      <c r="Q404" s="23">
        <f>IFERROR(Q345-Q403, "NA")</f>
        <v>-40933.250000000058</v>
      </c>
      <c r="R404" s="24">
        <f>IFERROR(Q404/Q444, "NA")</f>
        <v>-5.0810143317417795E-2</v>
      </c>
      <c r="S404" s="25"/>
      <c r="T404" s="23">
        <f>IFERROR(T345-T403, "NA")</f>
        <v>49649.819999999949</v>
      </c>
      <c r="U404" s="24">
        <f>IFERROR(T404/T444, "NA")</f>
        <v>5.7669304887221197E-2</v>
      </c>
      <c r="V404" s="25"/>
      <c r="W404" s="23">
        <f>IFERROR(Q404-T404, "NA")</f>
        <v>-90583.07</v>
      </c>
      <c r="X404" s="24">
        <f>IFERROR(W404/W444, "NA")</f>
        <v>1.637190287731231</v>
      </c>
      <c r="Y404" s="25"/>
      <c r="Z404" s="23">
        <f>IFERROR(Z345-Z403, "NA")</f>
        <v>-27013.739999999932</v>
      </c>
      <c r="AA404" s="24">
        <f>IFERROR(Z404/Z444, "NA")</f>
        <v>-3.6596019890522379E-2</v>
      </c>
      <c r="AB404" s="25"/>
      <c r="AC404" s="23">
        <f>IFERROR(Q404-Z404, "NA")</f>
        <v>-13919.510000000126</v>
      </c>
      <c r="AD404" s="24">
        <f>IFERROR(AC404/AC444, "NA")</f>
        <v>-0.20636421779426417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670</v>
      </c>
      <c r="L408" s="8">
        <f>IFERROR(K408/K444, "NA")</f>
        <v>6.9631702337151716E-3</v>
      </c>
      <c r="M408" s="9"/>
      <c r="N408" s="10">
        <f t="shared" si="101"/>
        <v>670</v>
      </c>
      <c r="O408" s="8">
        <f>IFERROR(N408/N444, "NA")</f>
        <v>7.5985946002345248E-2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1892</v>
      </c>
      <c r="AA408" s="8">
        <f>IFERROR(Z408/Z444, "NA")</f>
        <v>2.5631278613353248E-3</v>
      </c>
      <c r="AB408" s="9"/>
      <c r="AC408" s="10">
        <f t="shared" si="103"/>
        <v>1892</v>
      </c>
      <c r="AD408" s="8">
        <f>IFERROR(AC408/AC444, "NA")</f>
        <v>2.8049916991815391E-2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10092.83</v>
      </c>
      <c r="C410" s="8">
        <f>IFERROR(B410/B444, "NA")</f>
        <v>9.6087452574288371E-2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-10092.83</v>
      </c>
      <c r="I410" s="8">
        <f>IFERROR(H410/H444, "NA")</f>
        <v>1.5343614270272912</v>
      </c>
      <c r="J410" s="9"/>
      <c r="K410" s="7">
        <v>9542.9</v>
      </c>
      <c r="L410" s="8">
        <f>IFERROR(K410/K444, "NA")</f>
        <v>9.9177368990030615E-2</v>
      </c>
      <c r="M410" s="9"/>
      <c r="N410" s="10">
        <f t="shared" si="101"/>
        <v>-549.93000000000029</v>
      </c>
      <c r="O410" s="8">
        <f>IFERROR(N410/N444, "NA")</f>
        <v>-6.2368584007566778E-2</v>
      </c>
      <c r="P410" s="9"/>
      <c r="Q410" s="7">
        <v>69090.16</v>
      </c>
      <c r="R410" s="8">
        <f>IFERROR(Q410/Q444, "NA")</f>
        <v>8.5761109401851096E-2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-69090.16</v>
      </c>
      <c r="X410" s="8">
        <f>IFERROR(W410/W444, "NA")</f>
        <v>1.2487293589165922</v>
      </c>
      <c r="Y410" s="9"/>
      <c r="Z410" s="7">
        <v>66800.289999999994</v>
      </c>
      <c r="AA410" s="8">
        <f>IFERROR(Z410/Z444, "NA")</f>
        <v>9.0495604885982794E-2</v>
      </c>
      <c r="AB410" s="9"/>
      <c r="AC410" s="10">
        <f t="shared" si="103"/>
        <v>-2289.8700000000099</v>
      </c>
      <c r="AD410" s="8">
        <f>IFERROR(AC410/AC444, "NA")</f>
        <v>-3.3948553605733928E-2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-64.2</v>
      </c>
      <c r="C416" s="8">
        <f>IFERROR(B416/B444, "NA")</f>
        <v>-6.1120760532668375E-4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64.2</v>
      </c>
      <c r="I416" s="8">
        <f>IFERROR(H416/H444, "NA")</f>
        <v>-9.759998297321177E-3</v>
      </c>
      <c r="J416" s="9"/>
      <c r="K416" s="7">
        <v>-65.849999999999994</v>
      </c>
      <c r="L416" s="8">
        <f>IFERROR(K416/K444, "NA")</f>
        <v>-6.8436531326887171E-4</v>
      </c>
      <c r="M416" s="9"/>
      <c r="N416" s="10">
        <f t="shared" si="101"/>
        <v>-1.6499999999999915</v>
      </c>
      <c r="O416" s="8">
        <f>IFERROR(N416/N444, "NA")</f>
        <v>-1.8712956851323732E-4</v>
      </c>
      <c r="P416" s="9"/>
      <c r="Q416" s="7">
        <v>46.57</v>
      </c>
      <c r="R416" s="8">
        <f>IFERROR(Q416/Q444, "NA")</f>
        <v>5.7806999793374421E-5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-46.57</v>
      </c>
      <c r="X416" s="8">
        <f>IFERROR(W416/W444, "NA")</f>
        <v>8.4170200567990712E-4</v>
      </c>
      <c r="Y416" s="9"/>
      <c r="Z416" s="7">
        <v>-409.47</v>
      </c>
      <c r="AA416" s="8">
        <f>IFERROR(Z416/Z444, "NA")</f>
        <v>-5.5471668360516674E-4</v>
      </c>
      <c r="AB416" s="9"/>
      <c r="AC416" s="10">
        <f t="shared" si="103"/>
        <v>-456.04</v>
      </c>
      <c r="AD416" s="8">
        <f>IFERROR(AC416/AC444, "NA")</f>
        <v>-6.7610381315790129E-3</v>
      </c>
    </row>
    <row r="417" spans="1:30" ht="16.5" customHeight="1" x14ac:dyDescent="0.45">
      <c r="A417" s="6" t="s">
        <v>382</v>
      </c>
      <c r="B417" s="7">
        <v>-125.64</v>
      </c>
      <c r="C417" s="8">
        <f>IFERROR(B417/B444, "NA")</f>
        <v>-1.1961389958449306E-3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125.64</v>
      </c>
      <c r="I417" s="8">
        <f>IFERROR(H417/H444, "NA")</f>
        <v>-1.9100407882794899E-2</v>
      </c>
      <c r="J417" s="9"/>
      <c r="K417" s="7">
        <v>-18.600000000000001</v>
      </c>
      <c r="L417" s="8">
        <f>IFERROR(K417/K444, "NA")</f>
        <v>-1.9330591992104806E-4</v>
      </c>
      <c r="M417" s="9"/>
      <c r="N417" s="10">
        <f t="shared" si="101"/>
        <v>107.03999999999999</v>
      </c>
      <c r="O417" s="8">
        <f>IFERROR(N417/N444, "NA")</f>
        <v>1.213960546282244E-2</v>
      </c>
      <c r="P417" s="9"/>
      <c r="Q417" s="7">
        <v>-272.66000000000003</v>
      </c>
      <c r="R417" s="8">
        <f>IFERROR(Q417/Q444, "NA")</f>
        <v>-3.3845086028905886E-4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272.66000000000003</v>
      </c>
      <c r="X417" s="8">
        <f>IFERROR(W417/W444, "NA")</f>
        <v>-4.9280324000146765E-3</v>
      </c>
      <c r="Y417" s="9"/>
      <c r="Z417" s="7">
        <v>-18.600000000000001</v>
      </c>
      <c r="AA417" s="8">
        <f>IFERROR(Z417/Z444, "NA")</f>
        <v>-2.5197768615664397E-5</v>
      </c>
      <c r="AB417" s="9"/>
      <c r="AC417" s="10">
        <f t="shared" si="103"/>
        <v>254.06000000000003</v>
      </c>
      <c r="AD417" s="8">
        <f>IFERROR(AC417/AC444, "NA")</f>
        <v>3.7665760628650207E-3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3.3163514823197013E-5</v>
      </c>
      <c r="AB424" s="9"/>
      <c r="AC424" s="10">
        <f t="shared" si="103"/>
        <v>24.48</v>
      </c>
      <c r="AD424" s="8">
        <f>IFERROR(AC424/AC444, "NA")</f>
        <v>3.6292915854103637E-4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9902.99</v>
      </c>
      <c r="C428" s="15">
        <f>IFERROR(B428/B444, "NA")</f>
        <v>9.4280105973116757E-2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-9902.99</v>
      </c>
      <c r="I428" s="15">
        <f>IFERROR(H428/H444, "NA")</f>
        <v>1.5055010208471751</v>
      </c>
      <c r="J428" s="2"/>
      <c r="K428" s="14">
        <f>IFERROR(K407+K408+K409+K410+K411+K412+K413+K414+K415+K416+K417+K418+K419+K420+K421+K422+K423+K424+K425+K426+K427, "NA")</f>
        <v>10128.449999999999</v>
      </c>
      <c r="L428" s="15">
        <f>IFERROR(K428/K444, "NA")</f>
        <v>0.10526286799055586</v>
      </c>
      <c r="M428" s="2"/>
      <c r="N428" s="14">
        <f t="shared" si="101"/>
        <v>225.45999999999913</v>
      </c>
      <c r="O428" s="15">
        <f>IFERROR(N428/N444, "NA")</f>
        <v>2.55698378890876E-2</v>
      </c>
      <c r="P428" s="2"/>
      <c r="Q428" s="14">
        <f>IFERROR(Q407+Q408+Q409+Q410+Q411+Q412+Q413+Q414+Q415+Q416+Q417+Q418+Q419+Q420+Q421+Q422+Q423+Q424+Q425+Q426+Q427, "NA")</f>
        <v>68864.070000000007</v>
      </c>
      <c r="R428" s="15">
        <f>IFERROR(Q428/Q444, "NA")</f>
        <v>8.5480465541355424E-2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-68864.070000000007</v>
      </c>
      <c r="X428" s="15">
        <f>IFERROR(W428/W444, "NA")</f>
        <v>1.2446430285222574</v>
      </c>
      <c r="Y428" s="2"/>
      <c r="Z428" s="14">
        <f>IFERROR(Z407+Z408+Z409+Z410+Z411+Z412+Z413+Z414+Z415+Z416+Z417+Z418+Z419+Z420+Z421+Z422+Z423+Z424+Z425+Z426+Z427, "NA")</f>
        <v>68288.699999999983</v>
      </c>
      <c r="AA428" s="15">
        <f>IFERROR(Z428/Z444, "NA")</f>
        <v>9.2511981809920471E-2</v>
      </c>
      <c r="AB428" s="2"/>
      <c r="AC428" s="14">
        <f t="shared" si="103"/>
        <v>-575.37000000002445</v>
      </c>
      <c r="AD428" s="15">
        <f>IFERROR(AC428/AC444, "NA")</f>
        <v>-8.5301695240917064E-3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9902.99</v>
      </c>
      <c r="C429" s="15">
        <f>IFERROR(B429/B444, "NA")</f>
        <v>9.4280105973116757E-2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-9902.99</v>
      </c>
      <c r="I429" s="15">
        <f>IFERROR(H429/H444, "NA")</f>
        <v>1.5055010208471751</v>
      </c>
      <c r="J429" s="2"/>
      <c r="K429" s="14">
        <f>IFERROR(K407+K408+K409+K410+K411+K412+K413+K414+K415+K416+K417+K418+K419+K420+K421+K422+K423+K424+K425+K426+K427, "NA")</f>
        <v>10128.449999999999</v>
      </c>
      <c r="L429" s="15">
        <f>IFERROR(K429/K444, "NA")</f>
        <v>0.10526286799055586</v>
      </c>
      <c r="M429" s="2"/>
      <c r="N429" s="14">
        <f t="shared" si="101"/>
        <v>225.45999999999913</v>
      </c>
      <c r="O429" s="15">
        <f>IFERROR(N429/N444, "NA")</f>
        <v>2.55698378890876E-2</v>
      </c>
      <c r="P429" s="2"/>
      <c r="Q429" s="14">
        <f>IFERROR(Q407+Q408+Q409+Q410+Q411+Q412+Q413+Q414+Q415+Q416+Q417+Q418+Q419+Q420+Q421+Q422+Q423+Q424+Q425+Q426+Q427, "NA")</f>
        <v>68864.070000000007</v>
      </c>
      <c r="R429" s="15">
        <f>IFERROR(Q429/Q444, "NA")</f>
        <v>8.5480465541355424E-2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-68864.070000000007</v>
      </c>
      <c r="X429" s="15">
        <f>IFERROR(W429/W444, "NA")</f>
        <v>1.2446430285222574</v>
      </c>
      <c r="Y429" s="2"/>
      <c r="Z429" s="14">
        <f>IFERROR(Z407+Z408+Z409+Z410+Z411+Z412+Z413+Z414+Z415+Z416+Z417+Z418+Z419+Z420+Z421+Z422+Z423+Z424+Z425+Z426+Z427, "NA")</f>
        <v>68288.699999999983</v>
      </c>
      <c r="AA429" s="15">
        <f>IFERROR(Z429/Z444, "NA")</f>
        <v>9.2511981809920471E-2</v>
      </c>
      <c r="AB429" s="2"/>
      <c r="AC429" s="14">
        <f t="shared" si="103"/>
        <v>-575.37000000002445</v>
      </c>
      <c r="AD429" s="15">
        <f>IFERROR(AC429/AC444, "NA")</f>
        <v>-8.5301695240917064E-3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-19416.750000000015</v>
      </c>
      <c r="C443" s="24">
        <f>IFERROR(B443/B444, "NA")</f>
        <v>-0.18485459923250616</v>
      </c>
      <c r="D443" s="25"/>
      <c r="E443" s="23">
        <f>IFERROR(E404-E429-E442, "NA")</f>
        <v>7206.0100000000093</v>
      </c>
      <c r="F443" s="24">
        <f>IFERROR(E443/E444, "NA")</f>
        <v>6.4560824392024041E-2</v>
      </c>
      <c r="G443" s="25"/>
      <c r="H443" s="23">
        <f>IFERROR(B443-E443, "NA")</f>
        <v>-26622.760000000024</v>
      </c>
      <c r="I443" s="24">
        <f>IFERROR(H443/H444, "NA")</f>
        <v>4.0473223095014106</v>
      </c>
      <c r="J443" s="25"/>
      <c r="K443" s="23">
        <f>IFERROR(K404-K429-K442, "NA")</f>
        <v>-15774.690000000004</v>
      </c>
      <c r="L443" s="24">
        <f>IFERROR(K443/K444, "NA")</f>
        <v>-0.16394306246878271</v>
      </c>
      <c r="M443" s="25"/>
      <c r="N443" s="23">
        <f>IFERROR(B443-K443, "NA")</f>
        <v>-3642.0600000000104</v>
      </c>
      <c r="O443" s="24">
        <f>IFERROR(N443/N444, "NA")</f>
        <v>-0.41305279775716763</v>
      </c>
      <c r="P443" s="25"/>
      <c r="Q443" s="23">
        <f>IFERROR(Q404-Q429-Q442, "NA")</f>
        <v>-109797.32000000007</v>
      </c>
      <c r="R443" s="24">
        <f>IFERROR(Q443/Q444, "NA")</f>
        <v>-0.13629060885877323</v>
      </c>
      <c r="S443" s="25"/>
      <c r="T443" s="23">
        <f>IFERROR(T404-T429-T442, "NA")</f>
        <v>49649.819999999949</v>
      </c>
      <c r="U443" s="24">
        <f>IFERROR(T443/T444, "NA")</f>
        <v>5.7669304887221197E-2</v>
      </c>
      <c r="V443" s="25"/>
      <c r="W443" s="23">
        <f>IFERROR(Q443-T443, "NA")</f>
        <v>-159447.14000000001</v>
      </c>
      <c r="X443" s="24">
        <f>IFERROR(W443/W444, "NA")</f>
        <v>2.8818333162534886</v>
      </c>
      <c r="Y443" s="25"/>
      <c r="Z443" s="23">
        <f>IFERROR(Z404-Z429-Z442, "NA")</f>
        <v>-95302.439999999915</v>
      </c>
      <c r="AA443" s="24">
        <f>IFERROR(Z443/Z444, "NA")</f>
        <v>-0.12910800170044284</v>
      </c>
      <c r="AB443" s="25"/>
      <c r="AC443" s="23">
        <f>IFERROR(Q443-Z443, "NA")</f>
        <v>-14494.88000000015</v>
      </c>
      <c r="AD443" s="24">
        <f>IFERROR(AC443/AC444, "NA")</f>
        <v>-0.21489438731835586</v>
      </c>
    </row>
    <row r="444" spans="1:30" ht="15.75" hidden="1" x14ac:dyDescent="0.45">
      <c r="A444" s="26" t="s">
        <v>117</v>
      </c>
      <c r="B444" s="7">
        <v>105037.96</v>
      </c>
      <c r="C444" s="27"/>
      <c r="D444" s="9"/>
      <c r="E444" s="7">
        <v>111615.83</v>
      </c>
      <c r="F444" s="27"/>
      <c r="G444" s="9"/>
      <c r="H444" s="10">
        <f>IFERROR(B444-E444, "NA")</f>
        <v>-6577.8699999999953</v>
      </c>
      <c r="I444" s="27"/>
      <c r="J444" s="9"/>
      <c r="K444" s="7">
        <v>96220.54</v>
      </c>
      <c r="L444" s="27"/>
      <c r="M444" s="9"/>
      <c r="N444" s="10">
        <f>IFERROR(B444-K444, "NA")</f>
        <v>8817.4200000000128</v>
      </c>
      <c r="O444" s="27"/>
      <c r="P444" s="9"/>
      <c r="Q444" s="7">
        <v>805611.78</v>
      </c>
      <c r="R444" s="27"/>
      <c r="S444" s="9"/>
      <c r="T444" s="7">
        <v>860940.15</v>
      </c>
      <c r="U444" s="27"/>
      <c r="V444" s="9"/>
      <c r="W444" s="10">
        <f>IFERROR(Q444-T444, "NA")</f>
        <v>-55328.369999999995</v>
      </c>
      <c r="X444" s="27"/>
      <c r="Y444" s="9"/>
      <c r="Z444" s="7">
        <v>738160.6</v>
      </c>
      <c r="AA444" s="27"/>
      <c r="AB444" s="9"/>
      <c r="AC444" s="10">
        <f>IFERROR(Q444-Z444, "NA")</f>
        <v>67451.180000000051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2026-04-07T01:55:56Z</dcterms:created>
  <dcterms:modified xsi:type="dcterms:W3CDTF">2026-04-07T01:56:38Z</dcterms:modified>
</cp:coreProperties>
</file>