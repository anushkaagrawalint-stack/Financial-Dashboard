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Consolidated" sheetId="1" r:id="rId1"/>
    <sheet name="1 - RASA Worldwide" sheetId="2" r:id="rId2"/>
    <sheet name="2 - RASA - Ballpark" sheetId="3" r:id="rId3"/>
    <sheet name="4 - RASA - MVT" sheetId="4" r:id="rId4"/>
    <sheet name="5 - RASA - National Landin" sheetId="5" r:id="rId5"/>
    <sheet name="6 - RASA - Mosaic" sheetId="6" r:id="rId6"/>
    <sheet name="7 - RASA - Rockville" sheetId="7" r:id="rId7"/>
  </sheets>
  <definedNames>
    <definedName name="_xlnm.Print_Titles" localSheetId="0">Consolidated!$1:$5</definedName>
    <definedName name="_xlnm.Print_Titles" localSheetId="1">'1 - RASA Worldwide'!$1:$5</definedName>
    <definedName name="_xlnm.Print_Titles" localSheetId="2">'2 - RASA - Ballpark'!$1:$5</definedName>
    <definedName name="_xlnm.Print_Titles" localSheetId="3">'4 - RASA - MVT'!$1:$5</definedName>
    <definedName name="_xlnm.Print_Titles" localSheetId="4">'5 - RASA - National Landin'!$1:$5</definedName>
    <definedName name="_xlnm.Print_Titles" localSheetId="5">'6 - RASA - Mosaic'!$1:$5</definedName>
    <definedName name="_xlnm.Print_Titles" localSheetId="6">'7 - RASA - Rockville'!$1:$5</definedName>
  </definedNames>
  <calcPr fullCalcOnLoad="1"/>
</workbook>
</file>

<file path=xl/sharedStrings.xml><?xml version="1.0" encoding="utf-8"?>
<sst xmlns="http://schemas.openxmlformats.org/spreadsheetml/2006/main">
  <si>
    <t>P&amp;L - Per. &amp; YTD vs Budget and PY</t>
  </si>
  <si>
    <t>01/25/2026</t>
  </si>
  <si>
    <t>Consolidated</t>
  </si>
  <si>
    <t/>
  </si>
  <si>
    <t>Actual</t>
  </si>
  <si>
    <t>Budget</t>
  </si>
  <si>
    <t>Variance</t>
  </si>
  <si>
    <t>Prior Year</t>
  </si>
  <si>
    <t>YTD Actual</t>
  </si>
  <si>
    <t>YTD Budget</t>
  </si>
  <si>
    <t>YTD Prior</t>
  </si>
  <si>
    <t>Sales</t>
  </si>
  <si>
    <t>Single Plate In-House Sales</t>
  </si>
  <si>
    <t>Food</t>
  </si>
  <si>
    <t>N/A Beverage</t>
  </si>
  <si>
    <t>Beer</t>
  </si>
  <si>
    <t>Liquor</t>
  </si>
  <si>
    <t>Wine</t>
  </si>
  <si>
    <t>Retail</t>
  </si>
  <si>
    <t>DNU_Wow Bao Sales</t>
  </si>
  <si>
    <t>Total Single Plate In-House Sales</t>
  </si>
  <si>
    <t>DNU_Digital Sales</t>
  </si>
  <si>
    <t>Takeout Sales</t>
  </si>
  <si>
    <t>Takeout Sales - RASA Website</t>
  </si>
  <si>
    <t>Takeout Sales - RASA App</t>
  </si>
  <si>
    <t>Takeout Sales - DoorDash</t>
  </si>
  <si>
    <t>Takeout Sales - GrubHub</t>
  </si>
  <si>
    <t>Takeout Sales - Uber Eats</t>
  </si>
  <si>
    <t>Takeout Sales - Ritual</t>
  </si>
  <si>
    <t>Takeout Sales - Too Good To Go</t>
  </si>
  <si>
    <t>Total Takeout Sales</t>
  </si>
  <si>
    <t>Delivery Sales</t>
  </si>
  <si>
    <t>Delivery Sales - Hungry Marketplace</t>
  </si>
  <si>
    <t>Delivery Sales - DoorDash</t>
  </si>
  <si>
    <t>Delivery Sales - Google</t>
  </si>
  <si>
    <t>Delivery Sales - GrubHub</t>
  </si>
  <si>
    <t>Delivery Sales - Uber Eats</t>
  </si>
  <si>
    <t>Delivery Sales - RASA App</t>
  </si>
  <si>
    <t>DNU_Delivery Sales - RASA Website</t>
  </si>
  <si>
    <t>Delivery Sales - RASA Website</t>
  </si>
  <si>
    <t>Total Delivery Sales</t>
  </si>
  <si>
    <t>Catering Sales</t>
  </si>
  <si>
    <t>Catering Sales - RASA Website</t>
  </si>
  <si>
    <t>DNU_RASA Owned Catering Sales</t>
  </si>
  <si>
    <t>Catering Sales - Other 3rd Party</t>
  </si>
  <si>
    <t>Catering Sales - Cater Cow</t>
  </si>
  <si>
    <t>Catering Sales - EZ Cater</t>
  </si>
  <si>
    <t>Catering Sales - Food Fleet</t>
  </si>
  <si>
    <t>Catering Sales - Hungry Marketplace</t>
  </si>
  <si>
    <t>Catering Sales - Territory Foods</t>
  </si>
  <si>
    <t>Catering Sales - WCK</t>
  </si>
  <si>
    <t>Catering Sales - Foodworks</t>
  </si>
  <si>
    <t>Catering Sales - Foodee</t>
  </si>
  <si>
    <t>Catering Sales - Sharebite</t>
  </si>
  <si>
    <t>Catering Sales - Cater 2 Me</t>
  </si>
  <si>
    <t>Catering Sales - ZeroCater</t>
  </si>
  <si>
    <t>Catering Sales - Homemade in DC</t>
  </si>
  <si>
    <t>Catering Sales - Budeli</t>
  </si>
  <si>
    <t>Catering Sales - Club Feast</t>
  </si>
  <si>
    <t>Total Catering Sales - Other 3rd Party</t>
  </si>
  <si>
    <t>Total Catering Sales</t>
  </si>
  <si>
    <t>Offsites</t>
  </si>
  <si>
    <t>Offsites - Fooda</t>
  </si>
  <si>
    <t>Offsites - Aramark</t>
  </si>
  <si>
    <t>Offsites - Compass</t>
  </si>
  <si>
    <t>Offsites - Eurest</t>
  </si>
  <si>
    <t>Offsites - Taher</t>
  </si>
  <si>
    <t>Offsites - Metz Corp</t>
  </si>
  <si>
    <t>Offsites - Guest Services</t>
  </si>
  <si>
    <t>Offsites - Cureate</t>
  </si>
  <si>
    <t>Total Offsites</t>
  </si>
  <si>
    <t>Delivery Fee Income</t>
  </si>
  <si>
    <t>Delivery Service Charge</t>
  </si>
  <si>
    <t>Delivery Fee - Online Ordering</t>
  </si>
  <si>
    <t>Delivery Fee - Cater Cow</t>
  </si>
  <si>
    <t>Delivery Fee - Delivery by DoorDash (WL)</t>
  </si>
  <si>
    <t>Delivery Fee - EZ Cater</t>
  </si>
  <si>
    <t>Delivery Fee - GrubHub</t>
  </si>
  <si>
    <t>Delivery Fee - Sharebite</t>
  </si>
  <si>
    <t>Delivery Fee - Fooda</t>
  </si>
  <si>
    <t>Delivery Fee - Uber Eats</t>
  </si>
  <si>
    <t>Delivery Fee - Cater 2 Me</t>
  </si>
  <si>
    <t>Delivery Fee - ZeroCater</t>
  </si>
  <si>
    <t>Delivery Fee - Compass</t>
  </si>
  <si>
    <t>Total Delivery Fee Income</t>
  </si>
  <si>
    <t>Sales Adjustments</t>
  </si>
  <si>
    <t>Open App Sales Adjustments</t>
  </si>
  <si>
    <t>Open Tickets</t>
  </si>
  <si>
    <t>Toast Order Processing Fees</t>
  </si>
  <si>
    <t>Discounts / Refunds</t>
  </si>
  <si>
    <t>Squad Discount</t>
  </si>
  <si>
    <t>Squad Meals</t>
  </si>
  <si>
    <t>Free Meal Cards (This Ones on Us)</t>
  </si>
  <si>
    <t>Open App Loyalty</t>
  </si>
  <si>
    <t>Magic Fund</t>
  </si>
  <si>
    <t>Manager Comps</t>
  </si>
  <si>
    <t>Open App Promos</t>
  </si>
  <si>
    <t>SLT Comps</t>
  </si>
  <si>
    <t>Open App Store Credits</t>
  </si>
  <si>
    <t>LSM Comps</t>
  </si>
  <si>
    <t>Meridian Resident Online Order</t>
  </si>
  <si>
    <t>Catering Comps</t>
  </si>
  <si>
    <t>Veg Society 10% Off</t>
  </si>
  <si>
    <t>Partnerships</t>
  </si>
  <si>
    <t>Discounts / Refunds Given Other</t>
  </si>
  <si>
    <t>Doordash Service Charge</t>
  </si>
  <si>
    <t>RASA Tab 50/100</t>
  </si>
  <si>
    <t>COVID-19</t>
  </si>
  <si>
    <t>50% Off Bowl Card</t>
  </si>
  <si>
    <t>50% off Bowl Card - NL</t>
  </si>
  <si>
    <t>HBD3</t>
  </si>
  <si>
    <t>Veg Society Online Order 10% Off</t>
  </si>
  <si>
    <t>Yale Steam Condos Online Order</t>
  </si>
  <si>
    <t>Total Discounts / Refunds</t>
  </si>
  <si>
    <t>Other Income_WCK</t>
  </si>
  <si>
    <t>Other Income_OTP</t>
  </si>
  <si>
    <t>Other Income_To Good To Go</t>
  </si>
  <si>
    <t>Total Sales</t>
  </si>
  <si>
    <t>Toast Order Processing Fee Pass-Through</t>
  </si>
  <si>
    <t>Cost of Goods Sold</t>
  </si>
  <si>
    <t>Food &amp; Beverage Costs</t>
  </si>
  <si>
    <t>Food Costs</t>
  </si>
  <si>
    <t>COGS - Produce</t>
  </si>
  <si>
    <t>COGS - Grocery Dry &amp; Canned</t>
  </si>
  <si>
    <t>COGS - Poultry</t>
  </si>
  <si>
    <t>COGS - Dairy</t>
  </si>
  <si>
    <t>COGS - Frozen</t>
  </si>
  <si>
    <t>COGS - Meat</t>
  </si>
  <si>
    <t>COGS - Seafood</t>
  </si>
  <si>
    <t>COGS - Spices</t>
  </si>
  <si>
    <t>COGS - Prepped Food</t>
  </si>
  <si>
    <t>COGS - Wow Bao</t>
  </si>
  <si>
    <t>COGS - Distribution</t>
  </si>
  <si>
    <t>Total Food Costs</t>
  </si>
  <si>
    <t>Beverage Costs</t>
  </si>
  <si>
    <t>COGS - N/A Beverage</t>
  </si>
  <si>
    <t>COGS - Beer</t>
  </si>
  <si>
    <t>COGS - Liquor</t>
  </si>
  <si>
    <t>COGS - Wine</t>
  </si>
  <si>
    <t>Total Beverage Costs</t>
  </si>
  <si>
    <t>Total Food &amp; Beverage Costs</t>
  </si>
  <si>
    <t>Other Costs</t>
  </si>
  <si>
    <t>Paper Costs</t>
  </si>
  <si>
    <t>COGS - Paper Supplies</t>
  </si>
  <si>
    <t>COGS - Catering Supplies</t>
  </si>
  <si>
    <t>COGS - Event Supplies</t>
  </si>
  <si>
    <t>COGS - Wow Bao Supplies</t>
  </si>
  <si>
    <t>Total Paper Costs</t>
  </si>
  <si>
    <t>Waste Costs</t>
  </si>
  <si>
    <t>Waste - Food</t>
  </si>
  <si>
    <t>Waste - N/A Beverage</t>
  </si>
  <si>
    <t>Waste - Beer</t>
  </si>
  <si>
    <t>Waste - Liquor</t>
  </si>
  <si>
    <t>Waste - Wine</t>
  </si>
  <si>
    <t>Total Waste Costs</t>
  </si>
  <si>
    <t>COGS - Freight, Delivery, &amp; Sales Tax</t>
  </si>
  <si>
    <t>COGS - Fuel Surcharge</t>
  </si>
  <si>
    <t>COGS - Credit for Discounts</t>
  </si>
  <si>
    <t>Total Other Costs</t>
  </si>
  <si>
    <t>Total Cost of Goods Sold</t>
  </si>
  <si>
    <t>Gross Profit</t>
  </si>
  <si>
    <t>Payroll Expenses</t>
  </si>
  <si>
    <t>Salaries &amp; Wages</t>
  </si>
  <si>
    <t>Management</t>
  </si>
  <si>
    <t>Culinary</t>
  </si>
  <si>
    <t>Hourly</t>
  </si>
  <si>
    <t>Overtime</t>
  </si>
  <si>
    <t>Total Salaries &amp; Wages</t>
  </si>
  <si>
    <t>Salaries &amp; Wages Adjustment</t>
  </si>
  <si>
    <t>Bonus</t>
  </si>
  <si>
    <t>Payroll Taxes</t>
  </si>
  <si>
    <t>FICA Tax Expense</t>
  </si>
  <si>
    <t>FUTA Tax Expense</t>
  </si>
  <si>
    <t>SUTA Tax Expense (VA)</t>
  </si>
  <si>
    <t>SUTA Tax Expense (DC)</t>
  </si>
  <si>
    <t>FL Tax Expense (DC)</t>
  </si>
  <si>
    <t>Other Payroll Taxes</t>
  </si>
  <si>
    <t>Total Payroll Taxes</t>
  </si>
  <si>
    <t>Payroll Processing Fee</t>
  </si>
  <si>
    <t>Health Insurance</t>
  </si>
  <si>
    <t>Total Payroll Expenses</t>
  </si>
  <si>
    <t>Prime Profit</t>
  </si>
  <si>
    <t>Operating Expense</t>
  </si>
  <si>
    <t>Supplies</t>
  </si>
  <si>
    <t>Cleaning &amp; Maintenance Supplies</t>
  </si>
  <si>
    <t>Kitchen Supplies</t>
  </si>
  <si>
    <t>FOH Supplies</t>
  </si>
  <si>
    <t>Towel &amp; Doormat Service</t>
  </si>
  <si>
    <t>Kitchen Smallwares</t>
  </si>
  <si>
    <t>Uniforms</t>
  </si>
  <si>
    <t>Office Supplies</t>
  </si>
  <si>
    <t>Total Supplies</t>
  </si>
  <si>
    <t>Marketing</t>
  </si>
  <si>
    <t>Third-Party Promos</t>
  </si>
  <si>
    <t>DoorDash Promos</t>
  </si>
  <si>
    <t>EZ Cater Promos</t>
  </si>
  <si>
    <t>GrubHub Promos</t>
  </si>
  <si>
    <t>Uber Eats Promos</t>
  </si>
  <si>
    <t>Total Third-Party Promos</t>
  </si>
  <si>
    <t>Free Meal Cards - This Ones On Us</t>
  </si>
  <si>
    <t>To Go Bags</t>
  </si>
  <si>
    <t>Social Media Management</t>
  </si>
  <si>
    <t>Other Marketing Expenses</t>
  </si>
  <si>
    <t>Squad Discounts</t>
  </si>
  <si>
    <t>Squad Meal</t>
  </si>
  <si>
    <t>Toast Takeout Reward</t>
  </si>
  <si>
    <t>Rewards Network</t>
  </si>
  <si>
    <t>Total Marketing</t>
  </si>
  <si>
    <t>Delivery Fees</t>
  </si>
  <si>
    <t>Delivery Driver Expenses</t>
  </si>
  <si>
    <t>DoorDash White Label Fees</t>
  </si>
  <si>
    <t>DeliverThat Fees</t>
  </si>
  <si>
    <t>First Delivery Fees</t>
  </si>
  <si>
    <t>Nash Fees</t>
  </si>
  <si>
    <t>Open App Fees</t>
  </si>
  <si>
    <t>Total Delivery Fees</t>
  </si>
  <si>
    <t>Third-Party Fees</t>
  </si>
  <si>
    <t>Delivery Partner Commissions</t>
  </si>
  <si>
    <t>Cater Cow Commissions</t>
  </si>
  <si>
    <t>DoorDash Commissions</t>
  </si>
  <si>
    <t>EZ Cater Commissions</t>
  </si>
  <si>
    <t>Fooda Commissions</t>
  </si>
  <si>
    <t>Google Commissions</t>
  </si>
  <si>
    <t>GrubHub Commissions</t>
  </si>
  <si>
    <t>Ritual Commissions</t>
  </si>
  <si>
    <t>Too Good To Go Commissions</t>
  </si>
  <si>
    <t>Uber Eats Commissions</t>
  </si>
  <si>
    <t>Foodee Commissions</t>
  </si>
  <si>
    <t>ShareBite Commissions</t>
  </si>
  <si>
    <t>Cater 2 Me Commissions</t>
  </si>
  <si>
    <t>ZeroCater Commissions</t>
  </si>
  <si>
    <t>Aramark Commissions</t>
  </si>
  <si>
    <t>Budeli Commissions</t>
  </si>
  <si>
    <t>Club Feast Commissions</t>
  </si>
  <si>
    <t>Food Fleet Commissions</t>
  </si>
  <si>
    <t>Eurest Commissions</t>
  </si>
  <si>
    <t>Taher Commissions</t>
  </si>
  <si>
    <t>Metz Corp Commissions</t>
  </si>
  <si>
    <t>Guest Services Commissions</t>
  </si>
  <si>
    <t>Foodworks Commissions</t>
  </si>
  <si>
    <t>Total Delivery Partner Commissions</t>
  </si>
  <si>
    <t>Total Third-Party Fees</t>
  </si>
  <si>
    <t>Credit Card Fees</t>
  </si>
  <si>
    <t>Chargebacks</t>
  </si>
  <si>
    <t>Total Credit Card Fees</t>
  </si>
  <si>
    <t>Insurance</t>
  </si>
  <si>
    <t>Workers Compensation Insurance</t>
  </si>
  <si>
    <t>Business Owners Policy</t>
  </si>
  <si>
    <t>Auto Insurance</t>
  </si>
  <si>
    <t>Total Insurance</t>
  </si>
  <si>
    <t>Professional Fees</t>
  </si>
  <si>
    <t>Public Relations</t>
  </si>
  <si>
    <t>Legal Fees</t>
  </si>
  <si>
    <t>Accounting Fees</t>
  </si>
  <si>
    <t>Subcontractors Fees</t>
  </si>
  <si>
    <t>Architect Fees</t>
  </si>
  <si>
    <t>Consultant Fees</t>
  </si>
  <si>
    <t>Photography Fees</t>
  </si>
  <si>
    <t>Organizational cost</t>
  </si>
  <si>
    <t>Total Professional Fees</t>
  </si>
  <si>
    <t>Repairs &amp; Maintenance</t>
  </si>
  <si>
    <t>Scrubber Expense</t>
  </si>
  <si>
    <t>R&amp;M - Hood Cleaning</t>
  </si>
  <si>
    <t>R&amp;M - Pest Control</t>
  </si>
  <si>
    <t>R&amp;M - Building, General</t>
  </si>
  <si>
    <t>R&amp;M - Equipment, General</t>
  </si>
  <si>
    <t>R&amp;M - Refrigeration</t>
  </si>
  <si>
    <t>R&amp;M - HVAC</t>
  </si>
  <si>
    <t>R&amp;M - Preventative Maintenance</t>
  </si>
  <si>
    <t>Total Repairs &amp; Maintenance</t>
  </si>
  <si>
    <t>Other Expenses</t>
  </si>
  <si>
    <t>Recruitment Expense</t>
  </si>
  <si>
    <t>Equipment Rental</t>
  </si>
  <si>
    <t>Meals &amp; Entertainment</t>
  </si>
  <si>
    <t>Travel:Travel Meals</t>
  </si>
  <si>
    <t>Tools</t>
  </si>
  <si>
    <t>Patio Permit Expense</t>
  </si>
  <si>
    <t>Donations</t>
  </si>
  <si>
    <t>Bank Fees</t>
  </si>
  <si>
    <t>Storage Rental</t>
  </si>
  <si>
    <t>Dues &amp; Subscriptions</t>
  </si>
  <si>
    <t>Charitable Contributions</t>
  </si>
  <si>
    <t>Training Costs</t>
  </si>
  <si>
    <t>Employee Incentives (M&amp;E)</t>
  </si>
  <si>
    <t>Menu Printing</t>
  </si>
  <si>
    <t>Ground Transportation (Auto Expense)</t>
  </si>
  <si>
    <t>Parking Fees</t>
  </si>
  <si>
    <t>Transportation</t>
  </si>
  <si>
    <t>Tangible Property Tax</t>
  </si>
  <si>
    <t>GC Guest Recovery</t>
  </si>
  <si>
    <t>Shipping &amp; Delivery Expense</t>
  </si>
  <si>
    <t>Equipment Lease</t>
  </si>
  <si>
    <t>Phone/Internet</t>
  </si>
  <si>
    <t>POS &amp; Technology</t>
  </si>
  <si>
    <t>Cost for Discounts</t>
  </si>
  <si>
    <t>Licenses &amp; Permits</t>
  </si>
  <si>
    <t>Cash Over/Short</t>
  </si>
  <si>
    <t>Total Other Expenses</t>
  </si>
  <si>
    <t>Total Operating Expense</t>
  </si>
  <si>
    <t>Non Controllable Expense</t>
  </si>
  <si>
    <t>Occupancy Cost</t>
  </si>
  <si>
    <t>Rent Expense</t>
  </si>
  <si>
    <t>Common Area Maintenance (CAM)</t>
  </si>
  <si>
    <t>Public Space Rental</t>
  </si>
  <si>
    <t>Insurance - Building</t>
  </si>
  <si>
    <t>Real Estate Tax</t>
  </si>
  <si>
    <t>Rent - 4/4/5</t>
  </si>
  <si>
    <t>Percentage Rent Expense</t>
  </si>
  <si>
    <t>Utilities</t>
  </si>
  <si>
    <t>Electric</t>
  </si>
  <si>
    <t>Gas</t>
  </si>
  <si>
    <t>Water/Sewer</t>
  </si>
  <si>
    <t>Trash</t>
  </si>
  <si>
    <t>Total Utilities</t>
  </si>
  <si>
    <t>Total Occupancy Cost</t>
  </si>
  <si>
    <t>Total Non Controllable Expense</t>
  </si>
  <si>
    <t>Store Level Profit</t>
  </si>
  <si>
    <t>Corporate Overhead &amp; Other</t>
  </si>
  <si>
    <t>Corporate G&amp;A Expenses</t>
  </si>
  <si>
    <t>Corp - Payroll Expenses</t>
  </si>
  <si>
    <t>Corp - Salaries &amp; Wages</t>
  </si>
  <si>
    <t>Corp - Officers' Compensation</t>
  </si>
  <si>
    <t>Corp - MIT Wages</t>
  </si>
  <si>
    <t>Corp - Commission Wages</t>
  </si>
  <si>
    <t>Corp - Payroll Taxes</t>
  </si>
  <si>
    <t>Corp - Payroll Processing Fee</t>
  </si>
  <si>
    <t>Corp - Bonus</t>
  </si>
  <si>
    <t>Corp - Health Insurance</t>
  </si>
  <si>
    <t>Total Corp - Payroll Expenses</t>
  </si>
  <si>
    <t>Corp - Meals, Entertainment, &amp; Travel</t>
  </si>
  <si>
    <t>Corp - Fuel &amp; Gas</t>
  </si>
  <si>
    <t>Corp - Parking Fees</t>
  </si>
  <si>
    <t>Corp - Ground Transportation</t>
  </si>
  <si>
    <t>Corp - M&amp;E</t>
  </si>
  <si>
    <t>Corp - Lodging</t>
  </si>
  <si>
    <t>Corp - Airfare</t>
  </si>
  <si>
    <t>Corp - Travel (New Market)</t>
  </si>
  <si>
    <t>Total Corp - Meals, Entertainment, &amp; Travel</t>
  </si>
  <si>
    <t>Corp - Other G&amp;A Expenses</t>
  </si>
  <si>
    <t>Corp - Dues &amp; Subscriptions</t>
  </si>
  <si>
    <t>Corp - Office Supplies</t>
  </si>
  <si>
    <t>Corp - Other Taxes</t>
  </si>
  <si>
    <t>Corp - Rent Expense</t>
  </si>
  <si>
    <t>Corp - Insurance Expense</t>
  </si>
  <si>
    <t>Corp - Charitable Contributions</t>
  </si>
  <si>
    <t>Corp - Other Employee Incentives</t>
  </si>
  <si>
    <t>Corp - Professional Fees</t>
  </si>
  <si>
    <t>Corp - IT &amp; Technology</t>
  </si>
  <si>
    <t>Corp - R&amp;D</t>
  </si>
  <si>
    <t>Corp - Accounting Fees</t>
  </si>
  <si>
    <t>Corp - Legal Fees</t>
  </si>
  <si>
    <t>Corp - Recruiting Fees</t>
  </si>
  <si>
    <t>Corp - Public Relations</t>
  </si>
  <si>
    <t>Corp - Marketing</t>
  </si>
  <si>
    <t>Corp - Marketing Food Drops</t>
  </si>
  <si>
    <t>Corp - 3rd Party Marketing Fees</t>
  </si>
  <si>
    <t>Corp - DoorDash Marketing Fees</t>
  </si>
  <si>
    <t>Corp - EZ Cater Marketing Fees</t>
  </si>
  <si>
    <t>Corp - GrubHub Marketing Fees</t>
  </si>
  <si>
    <t>Corp - Uber Eats Marketing Fees</t>
  </si>
  <si>
    <t>Total Corp - 3rd Party Marketing Fees</t>
  </si>
  <si>
    <t>Corp - Paid Media</t>
  </si>
  <si>
    <t>Corp - SMS Marketing</t>
  </si>
  <si>
    <t>Total Corp - Marketing</t>
  </si>
  <si>
    <t>Corp - Other Professional Fees</t>
  </si>
  <si>
    <t>Corp - Bank Fees</t>
  </si>
  <si>
    <t>Corp - Licenses &amp; Permits</t>
  </si>
  <si>
    <t>Corp - Management Fee</t>
  </si>
  <si>
    <t>Corp - Investor Advisory Fees</t>
  </si>
  <si>
    <t>Corp - Realty Tax</t>
  </si>
  <si>
    <t>Total Corporate Overhead &amp; Other</t>
  </si>
  <si>
    <t>EBITDA</t>
  </si>
  <si>
    <t>Other Income &amp; Expense</t>
  </si>
  <si>
    <t>Other (Income)/Expense</t>
  </si>
  <si>
    <t>Prior Period Adjustments</t>
  </si>
  <si>
    <t>Penalties &amp; Settlements</t>
  </si>
  <si>
    <t>Depreciation</t>
  </si>
  <si>
    <t>Amortization</t>
  </si>
  <si>
    <t>Other Income_Feed the District</t>
  </si>
  <si>
    <t>Other Income_Feed the fridge</t>
  </si>
  <si>
    <t>Taxable Grant Income</t>
  </si>
  <si>
    <t>Tax Exempt Grant Income</t>
  </si>
  <si>
    <t>Sales Tax Commission Income</t>
  </si>
  <si>
    <t>Sales Tax Adjustments</t>
  </si>
  <si>
    <t>Ramp CC Cashback Rewards</t>
  </si>
  <si>
    <t>Legal Fees - Capital Raise</t>
  </si>
  <si>
    <t>Other Income</t>
  </si>
  <si>
    <t>MVT Bucks Income</t>
  </si>
  <si>
    <t>Unrealized (Gain)/Loss On Investments</t>
  </si>
  <si>
    <t>Dividend Income</t>
  </si>
  <si>
    <t>Store Closing Expense</t>
  </si>
  <si>
    <t>Taxes</t>
  </si>
  <si>
    <t>(Gain)/Loss On Sale/Disposal Of Assets</t>
  </si>
  <si>
    <t>Interest Income</t>
  </si>
  <si>
    <t>Discounts received</t>
  </si>
  <si>
    <t>Total Other (Income)/Expense</t>
  </si>
  <si>
    <t>Total Other Income &amp; Expense</t>
  </si>
  <si>
    <t>Pre-Opening Costs</t>
  </si>
  <si>
    <t>Pre-Opening Expenses</t>
  </si>
  <si>
    <t>Pre-Opening Expenses - Supplies</t>
  </si>
  <si>
    <t>Pre-Opening Expenses - Other</t>
  </si>
  <si>
    <t>Pre-Opening Expenses - Payroll</t>
  </si>
  <si>
    <t>Pre-Opening Expenses - COGS</t>
  </si>
  <si>
    <t>Pre-Opening Expenses - Travel &amp; Meals</t>
  </si>
  <si>
    <t>Pre-Opening Expenses - Legal, Permits, &amp; Design Fees</t>
  </si>
  <si>
    <t>Pre-Opening Expenses - Rent &amp; Utilities</t>
  </si>
  <si>
    <t>Pre-Opening Expenses - Leases &amp; Subscriptions</t>
  </si>
  <si>
    <t>Total Pre-Opening Expenses</t>
  </si>
  <si>
    <t>Total Pre-Opening Costs</t>
  </si>
  <si>
    <t>Net Income</t>
  </si>
  <si>
    <t>Powered by Restaurant365</t>
  </si>
  <si>
    <t>1</t>
  </si>
  <si>
    <t>07/23/2026 08:28 AM PDT</t>
  </si>
  <si>
    <t>1 - RASA Worldwide</t>
  </si>
  <si>
    <t>2 - RASA - Ballpark</t>
  </si>
  <si>
    <t>4 - RASA - MVT</t>
  </si>
  <si>
    <t>5 - RASA - National Landing</t>
  </si>
  <si>
    <t>6 - RASA - Mosaic</t>
  </si>
  <si>
    <t>7 - RASA - Rockville</t>
  </si>
</sst>
</file>

<file path=xl/styles.xml><?xml version="1.0" encoding="utf-8"?>
<styleSheet xmlns="http://schemas.openxmlformats.org/spreadsheetml/2006/main">
  <numFmts count="3">
    <numFmt numFmtId="164" formatCode="#,##0.0%"/>
    <numFmt numFmtId="165" formatCode="#,##0.0%;(#,##0.0%)"/>
    <numFmt numFmtId="166" formatCode="#,##0.0;(#,##0.0)"/>
  </numFmts>
  <fonts count="11">
    <font>
      <sz val="11"/>
      <color theme="1"/>
      <name val="Calibri"/>
      <family val="2"/>
      <scheme val="minor"/>
    </font>
    <font>
      <b/>
      <sz val="26"/>
      <color rgb="FF000000"/>
      <name val="Calibri"/>
      <scheme val="minor"/>
    </font>
    <font>
      <sz val="18"/>
      <color rgb="FF000000"/>
      <name val="Calibri"/>
      <scheme val="minor"/>
    </font>
    <font>
      <sz val="12"/>
      <color rgb="FF000000"/>
      <name val="Calibri"/>
      <scheme val="minor"/>
    </font>
    <font>
      <sz val="12"/>
      <name val="Calibri"/>
      <scheme val="minor"/>
    </font>
    <font>
      <b/>
      <sz val="12"/>
      <color rgb="FF696969"/>
      <name val="Calibri"/>
      <scheme val="minor"/>
    </font>
    <font>
      <b/>
      <sz val="12"/>
      <name val="Calibri"/>
      <scheme val="minor"/>
    </font>
    <font>
      <b/>
      <i/>
      <sz val="8"/>
      <name val="Calibri"/>
      <scheme val="minor"/>
    </font>
    <font>
      <i/>
      <sz val="8"/>
      <name val="Calibri"/>
      <scheme val="minor"/>
    </font>
    <font>
      <b/>
      <sz val="12"/>
      <color rgb="FF000000"/>
      <name val="Calibri"/>
      <scheme val="minor"/>
    </font>
    <font>
      <b/>
      <i/>
      <sz val="8"/>
      <color rgb="FF00000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B9D7F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NumberFormat="1" applyFont="1" applyAlignment="1">
      <alignment horizontal="center" vertical="center"/>
    </xf>
    <xf numFmtId="0" fontId="2" fillId="0" borderId="0" xfId="0" applyNumberFormat="1" applyFont="1" applyAlignment="1">
      <alignment horizontal="center" vertical="center"/>
    </xf>
    <xf numFmtId="0" fontId="3" fillId="0" borderId="0" xfId="0" applyNumberFormat="1" applyFont="1" applyAlignment="1">
      <alignment horizontal="center" vertical="center"/>
    </xf>
    <xf numFmtId="0" fontId="4" fillId="0" borderId="0" xfId="0" applyNumberFormat="1" applyFont="1" applyAlignment="1">
      <alignment horizontal="center" vertical="center" wrapText="1"/>
    </xf>
    <xf numFmtId="4" fontId="5" fillId="2" borderId="0" xfId="0" applyNumberFormat="1" applyFont="1" applyFill="1" applyAlignment="1">
      <alignment horizontal="center" vertical="center" wrapText="1"/>
    </xf>
    <xf numFmtId="164" fontId="5" fillId="2" borderId="0" xfId="0" applyNumberFormat="1" applyFont="1" applyFill="1" applyAlignment="1">
      <alignment horizontal="center" vertical="center" wrapText="1"/>
    </xf>
    <xf numFmtId="0" fontId="6" fillId="0" borderId="0" xfId="0" applyNumberFormat="1" applyFont="1" applyAlignment="1">
      <alignment horizontal="left" vertical="center" wrapText="1"/>
    </xf>
    <xf numFmtId="39" fontId="6" fillId="0" borderId="0" xfId="0" applyNumberFormat="1" applyFont="1" applyAlignment="1">
      <alignment vertical="center"/>
    </xf>
    <xf numFmtId="165" fontId="7" fillId="0" borderId="0" xfId="0" applyNumberFormat="1" applyFont="1" applyAlignment="1">
      <alignment vertical="center"/>
    </xf>
    <xf numFmtId="0" fontId="6" fillId="0" borderId="0" xfId="0" applyNumberFormat="1" applyFont="1" applyAlignment="1">
      <alignment vertical="center"/>
    </xf>
    <xf numFmtId="0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2"/>
    </xf>
    <xf numFmtId="39" fontId="4" fillId="0" borderId="0" xfId="0" applyNumberFormat="1" applyFont="1" applyAlignment="1">
      <alignment vertical="center"/>
    </xf>
    <xf numFmtId="165" fontId="8" fillId="0" borderId="0" xfId="0" applyNumberFormat="1" applyFont="1" applyAlignment="1">
      <alignment horizontal="right" vertical="center"/>
    </xf>
    <xf numFmtId="0" fontId="4" fillId="0" borderId="0" xfId="0" applyNumberFormat="1" applyFont="1" applyAlignment="1">
      <alignment vertical="center"/>
    </xf>
    <xf numFmtId="39" fontId="4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2"/>
    </xf>
    <xf numFmtId="0" fontId="4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2"/>
    </xf>
    <xf numFmtId="39" fontId="6" fillId="0" borderId="0" xfId="0" applyNumberFormat="1" applyFont="1" applyAlignment="1">
      <alignment horizontal="right" vertical="center"/>
    </xf>
    <xf numFmtId="165" fontId="7" fillId="0" borderId="0" xfId="0" applyNumberFormat="1" applyFont="1" applyAlignment="1">
      <alignment horizontal="right" vertical="center"/>
    </xf>
    <xf numFmtId="0" fontId="6" fillId="0" borderId="0" xfId="0" applyNumberFormat="1" applyFont="1" applyAlignment="1">
      <alignment horizontal="left" vertical="center" wrapText="1" indent="3"/>
    </xf>
    <xf numFmtId="0" fontId="4" fillId="0" borderId="0" xfId="0" applyNumberFormat="1" applyFont="1" applyAlignment="1">
      <alignment horizontal="left" vertical="center" wrapText="1" indent="4"/>
    </xf>
    <xf numFmtId="39" fontId="6" fillId="0" borderId="0" xfId="0" applyNumberFormat="1" applyFont="1" applyAlignment="1">
      <alignment horizontal="left" vertical="center" wrapText="1" indent="3"/>
    </xf>
    <xf numFmtId="39" fontId="6" fillId="0" borderId="0" xfId="0" applyNumberFormat="1" applyFont="1" applyAlignment="1">
      <alignment horizontal="left" vertical="center" wrapText="1" indent="1"/>
    </xf>
    <xf numFmtId="0" fontId="4" fillId="0" borderId="0" xfId="0" applyNumberFormat="1" applyFont="1" applyAlignment="1">
      <alignment horizontal="left" vertical="center" wrapText="1" indent="1"/>
    </xf>
    <xf numFmtId="39" fontId="6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left" vertical="center" wrapText="1"/>
    </xf>
    <xf numFmtId="39" fontId="9" fillId="0" borderId="0" xfId="0" applyNumberFormat="1" applyFont="1" applyAlignment="1">
      <alignment horizontal="right" vertical="center"/>
    </xf>
    <xf numFmtId="165" fontId="10" fillId="0" borderId="0" xfId="0" applyNumberFormat="1" applyFont="1" applyAlignment="1">
      <alignment horizontal="right" vertical="center"/>
    </xf>
    <xf numFmtId="39" fontId="9" fillId="0" borderId="0" xfId="0" applyNumberFormat="1" applyFont="1" applyAlignment="1">
      <alignment vertical="center"/>
    </xf>
    <xf numFmtId="0" fontId="4" fillId="0" borderId="0" xfId="0" applyNumberFormat="1" applyFont="1" applyAlignment="1">
      <alignment horizontal="left" vertical="center" wrapText="1"/>
    </xf>
    <xf numFmtId="166" fontId="8" fillId="0" borderId="0" xfId="0" applyNumberFormat="1" applyFont="1" applyAlignment="1">
      <alignment vertical="center"/>
    </xf>
    <xf numFmtId="0" fontId="4" fillId="0" borderId="0" xfId="0" applyNumberFormat="1" applyFont="1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theme" Target="theme/theme1.xml" /><Relationship Id="rId9" Type="http://schemas.openxmlformats.org/officeDocument/2006/relationships/styles" Target="styles.xml" /><Relationship Id="rId10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2</v>
      </c>
      <c t="s" r="B3" s="3">
        <v>2</v>
      </c>
      <c t="s" r="C3" s="3">
        <v>2</v>
      </c>
      <c t="s" r="D3" s="3">
        <v>2</v>
      </c>
      <c t="s" r="E3" s="3">
        <v>2</v>
      </c>
      <c t="s" r="F3" s="3">
        <v>2</v>
      </c>
      <c t="s" r="G3" s="3">
        <v>2</v>
      </c>
      <c t="s" r="H3" s="3">
        <v>2</v>
      </c>
      <c t="s" r="I3" s="3">
        <v>2</v>
      </c>
      <c t="s" r="J3" s="3">
        <v>2</v>
      </c>
      <c t="s" r="K3" s="3">
        <v>2</v>
      </c>
      <c t="s" r="L3" s="3">
        <v>2</v>
      </c>
      <c t="s" r="M3" s="3">
        <v>2</v>
      </c>
      <c t="s" r="N3" s="3">
        <v>2</v>
      </c>
      <c t="s" r="O3" s="3">
        <v>2</v>
      </c>
      <c t="s" r="P3" s="3">
        <v>2</v>
      </c>
      <c t="s" r="Q3" s="3">
        <v>2</v>
      </c>
      <c t="s" r="R3" s="3">
        <v>2</v>
      </c>
      <c t="s" r="S3" s="3">
        <v>2</v>
      </c>
      <c t="s" r="T3" s="3">
        <v>2</v>
      </c>
      <c t="s" r="U3" s="3">
        <v>2</v>
      </c>
      <c t="s" r="V3" s="3">
        <v>2</v>
      </c>
      <c t="s" r="W3" s="3">
        <v>2</v>
      </c>
      <c t="s" r="X3" s="3">
        <v>2</v>
      </c>
      <c t="s" r="Y3" s="3">
        <v>2</v>
      </c>
      <c t="s" r="Z3" s="3">
        <v>2</v>
      </c>
      <c t="s" r="AA3" s="3">
        <v>2</v>
      </c>
      <c t="s" r="AB3" s="3">
        <v>2</v>
      </c>
      <c t="s" r="AC3" s="3">
        <v>2</v>
      </c>
      <c t="s" r="AD3" s="3">
        <v>2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187139.57000000001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187139.57000000001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174637.37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157993.03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174637.37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157993.03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17034.150000000001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15303.549999999999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17034.150000000001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15303.549999999999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470.5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430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470.5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430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90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1050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90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1050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172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147.5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172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147.5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1.3700000000000001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1.1000000000000001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1.3700000000000001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41982.970000000001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41982.970000000001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16260.110000000001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27940.099999999999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16260.110000000001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27940.099999999999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13102.200000000001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13102.200000000001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4221.6800000000003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3795.5799999999999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4221.6800000000003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3795.5799999999999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611.11000000000001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611.11000000000001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3708.5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2055.46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3708.5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2055.46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4115.1299999999992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4151.0700000000006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4115.1299999999992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4151.0700000000006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91287.050000000003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91287.050000000003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52469.110000000001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46014.040000000001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52469.110000000001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46014.040000000001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3784.0299999999997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4257.7199999999993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3784.0299999999997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4257.7199999999993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43685.979999999996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53487.720000000001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43685.979999999996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53487.720000000001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2627.4400000000001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2627.4400000000001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1657.3899999999999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4101.3500000000004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1657.3899999999999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4101.3500000000004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107369.5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107369.5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11178.740000000002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17587.049999999999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11178.740000000002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17587.049999999999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516.70000000000005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516.70000000000005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56641.070000000007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82076.25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56641.070000000007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82076.25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547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137.13999999999999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547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137.13999999999999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2158.5100000000002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3542.9899999999998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2158.5100000000002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3542.9899999999998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2551.6999999999998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2551.6999999999998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2077.6999999999998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2077.6999999999998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35452.190000000002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35452.190000000002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14517.640000000001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2110.1999999999998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14517.640000000001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2110.1999999999998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13148.34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13489.66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13148.34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13489.66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9882.75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705.40999999999997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705.40999999999997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3367.1500000000001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3367.1500000000001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5452.5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5452.5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8044.1099999999997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8044.1099999999997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1120.72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1470.6500000000001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1120.72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1470.6500000000001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25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5295.4699999999993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7987.380000000001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5295.4699999999993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7987.380000000001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121.45999999999999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121.45999999999999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25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25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988.27999999999997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-12.949999999999999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-19.260000000000002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-12.949999999999999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-19.260000000000002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-673.99000000000001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-673.99000000000001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-22567.190000000002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-22567.190000000002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-5625.04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-6974.0200000000004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-5625.04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-6974.0200000000004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-9843.7700000000004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-8172.2099999999991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-9843.7700000000004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-8172.2099999999991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-129.75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-1527.1099999999999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-129.75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-1527.1099999999999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-4046.5900000000001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-4521.2300000000005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-4046.5900000000001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-4521.2300000000005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-146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-146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-1952.3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-2687.4000000000001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-1952.3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-2687.4000000000001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-73.990000000000009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-1085.6100000000001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-73.990000000000009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-1085.6100000000001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99149.800000000003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99149.800000000003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21690.389999999999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24234.709999999999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21690.389999999999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24234.709999999999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13053.6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13433.780000000001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13053.6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13433.780000000001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12892.84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16481.650000000001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12892.84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16481.650000000001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10177.23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10044.059999999999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10177.23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10044.059999999999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5107.0799999999999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3525.0300000000002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5107.0799999999999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3525.0300000000002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3840.6199999999999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3941.5699999999997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3840.6199999999999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3941.5699999999997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3222.3299999999999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3222.3299999999999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2364.9700000000003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2445.21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2364.9700000000003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2445.21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32085.840000000004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23136.489999999998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32085.840000000004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23136.489999999998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20.079999999999998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20.079999999999998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4785.2200000000003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4785.2200000000003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5303.6599999999999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5312.9199999999992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5303.6599999999999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5312.9199999999992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188.83999999999997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144.79999999999998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188.83999999999997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144.79999999999998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96.879999999999995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937.03999999999996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96.879999999999995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937.03999999999996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47.430000000000007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70.719999999999999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47.430000000000007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70.719999999999999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18407.120000000003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18407.120000000003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13973.880000000001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12635.68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13973.880000000001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12635.68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5306.6000000000004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5224.1899999999996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5306.6000000000004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5224.1899999999996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74.200000000000003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1124.9200000000001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1136.6099999999999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1124.9200000000001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1136.6099999999999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3.5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724.73000000000002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673.38999999999999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724.73000000000002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673.38999999999999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151.55000000000001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194.60000000000002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151.55000000000001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194.60000000000002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-5308.0299999999997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-12423.76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-5308.0299999999997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-12423.76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31832.32</v>
      </c>
      <c r="C178" s="14">
        <f>IFERROR(B178/B446, "NA")</f>
      </c>
      <c r="D178" s="15"/>
      <c r="E178" s="13">
        <v>31370.799999999999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31370.799999999999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31832.32</v>
      </c>
      <c r="R178" s="14">
        <f>IFERROR(Q178/Q446, "NA")</f>
      </c>
      <c r="S178" s="15"/>
      <c r="T178" s="13">
        <v>31370.799999999999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31370.799999999999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84997.820000000007</v>
      </c>
      <c r="C180" s="14">
        <f>IFERROR(B180/B446, "NA")</f>
      </c>
      <c r="D180" s="15"/>
      <c r="E180" s="13">
        <v>85254.440000000002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84105.660000000003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84997.820000000007</v>
      </c>
      <c r="R180" s="14">
        <f>IFERROR(Q180/Q446, "NA")</f>
      </c>
      <c r="S180" s="15"/>
      <c r="T180" s="13">
        <v>85254.440000000002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84105.660000000003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211.09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29.850000000000001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211.09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29.850000000000001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1996</v>
      </c>
      <c r="C184" s="14">
        <f>IFERROR(B184/B446, "NA")</f>
      </c>
      <c r="D184" s="15"/>
      <c r="E184" s="13">
        <v>1995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2950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1996</v>
      </c>
      <c r="R184" s="14">
        <f>IFERROR(Q184/Q446, "NA")</f>
      </c>
      <c r="S184" s="15"/>
      <c r="T184" s="13">
        <v>1995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2950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12444.029999999999</v>
      </c>
      <c r="C186" s="14">
        <f>IFERROR(B186/B446, "NA")</f>
      </c>
      <c r="D186" s="15"/>
      <c r="E186" s="13">
        <v>13485.469999999999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13090.740000000002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12444.029999999999</v>
      </c>
      <c r="R186" s="14">
        <f>IFERROR(Q186/Q446, "NA")</f>
      </c>
      <c r="S186" s="15"/>
      <c r="T186" s="13">
        <v>13485.469999999999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13090.740000000002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1286.8000000000002</v>
      </c>
      <c r="C194" s="14">
        <f>IFERROR(B194/B446, "NA")</f>
      </c>
      <c r="D194" s="15"/>
      <c r="E194" s="13">
        <v>948.97000000000003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1210.48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1286.8000000000002</v>
      </c>
      <c r="R194" s="14">
        <f>IFERROR(Q194/Q446, "NA")</f>
      </c>
      <c r="S194" s="15"/>
      <c r="T194" s="13">
        <v>948.97000000000003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1210.48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1844.5700000000002</v>
      </c>
      <c r="C195" s="14">
        <f>IFERROR(B195/B446, "NA")</f>
      </c>
      <c r="D195" s="15"/>
      <c r="E195" s="13">
        <v>1527.49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1315.6500000000001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1844.5700000000002</v>
      </c>
      <c r="R195" s="14">
        <f>IFERROR(Q195/Q446, "NA")</f>
      </c>
      <c r="S195" s="15"/>
      <c r="T195" s="13">
        <v>1527.49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1315.6500000000001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5143.2099999999991</v>
      </c>
      <c r="C202" s="14">
        <f>IFERROR(B202/B446, "NA")</f>
      </c>
      <c r="D202" s="15"/>
      <c r="E202" s="13">
        <v>4167.0200000000004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4589.2299999999996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5143.2099999999991</v>
      </c>
      <c r="R202" s="14">
        <f>IFERROR(Q202/Q446, "NA")</f>
      </c>
      <c r="S202" s="15"/>
      <c r="T202" s="13">
        <v>4167.0200000000004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4589.2299999999996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2975</v>
      </c>
      <c r="C203" s="14">
        <f>IFERROR(B203/B446, "NA")</f>
      </c>
      <c r="D203" s="15"/>
      <c r="E203" s="13">
        <v>2986.1000000000004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2947.5999999999999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2975</v>
      </c>
      <c r="R203" s="14">
        <f>IFERROR(Q203/Q446, "NA")</f>
      </c>
      <c r="S203" s="15"/>
      <c r="T203" s="13">
        <v>2986.1000000000004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2947.5999999999999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117.34999999999999</v>
      </c>
      <c r="C204" s="14">
        <f>IFERROR(B204/B446, "NA")</f>
      </c>
      <c r="D204" s="15"/>
      <c r="E204" s="13">
        <v>897.42000000000007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143.70000000000002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117.34999999999999</v>
      </c>
      <c r="R204" s="14">
        <f>IFERROR(Q204/Q446, "NA")</f>
      </c>
      <c r="S204" s="15"/>
      <c r="T204" s="13">
        <v>897.42000000000007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143.70000000000002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2091.1100000000001</v>
      </c>
      <c r="C205" s="14">
        <f>IFERROR(B205/B446, "NA")</f>
      </c>
      <c r="D205" s="15"/>
      <c r="E205" s="13">
        <v>1346.1199999999999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1905.0600000000002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2091.1100000000001</v>
      </c>
      <c r="R205" s="14">
        <f>IFERROR(Q205/Q446, "NA")</f>
      </c>
      <c r="S205" s="15"/>
      <c r="T205" s="13">
        <v>1346.1199999999999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1905.0600000000002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288.48000000000002</v>
      </c>
      <c r="C206" s="14">
        <f>IFERROR(B206/B446, "NA")</f>
      </c>
      <c r="D206" s="15"/>
      <c r="E206" s="13">
        <v>448.71000000000004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288.48000000000002</v>
      </c>
      <c r="R206" s="14">
        <f>IFERROR(Q206/Q446, "NA")</f>
      </c>
      <c r="S206" s="15"/>
      <c r="T206" s="13">
        <v>448.71000000000004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388.19999999999999</v>
      </c>
      <c r="C207" s="14">
        <f>IFERROR(B207/B446, "NA")</f>
      </c>
      <c r="D207" s="15"/>
      <c r="E207" s="13">
        <v>500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497.99000000000001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388.19999999999999</v>
      </c>
      <c r="R207" s="14">
        <f>IFERROR(Q207/Q446, "NA")</f>
      </c>
      <c r="S207" s="15"/>
      <c r="T207" s="13">
        <v>500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497.99000000000001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281.90999999999997</v>
      </c>
      <c r="C208" s="14">
        <f>IFERROR(B208/B446, "NA")</f>
      </c>
      <c r="D208" s="15"/>
      <c r="E208" s="13">
        <v>500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728.68999999999994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281.90999999999997</v>
      </c>
      <c r="R208" s="14">
        <f>IFERROR(Q208/Q446, "NA")</f>
      </c>
      <c r="S208" s="15"/>
      <c r="T208" s="13">
        <v>500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728.68999999999994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15110.41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15110.41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7341.5100000000002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12513.740000000002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7341.5100000000002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12513.740000000002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1591.4100000000003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1591.4100000000003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100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100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4260.8699999999999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11015.51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4260.8699999999999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11015.51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308.34000000000003</v>
      </c>
      <c r="C222" s="14">
        <f>IFERROR(B222/B446, "NA")</f>
      </c>
      <c r="D222" s="15"/>
      <c r="E222" s="13">
        <v>500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623.29999999999995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308.34000000000003</v>
      </c>
      <c r="R222" s="14">
        <f>IFERROR(Q222/Q446, "NA")</f>
      </c>
      <c r="S222" s="15"/>
      <c r="T222" s="13">
        <v>500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623.29999999999995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6921.2299999999996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6921.2299999999996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574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1094.27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574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1094.27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217.78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217.78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6433.5699999999997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7369.1199999999999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6433.5699999999997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7369.1199999999999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44.700000000000003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44.700000000000003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29991.739999999998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29991.739999999998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78.709999999999994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78.709999999999994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7629.6700000000001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5756.0999999999995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7629.6700000000001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5756.0999999999995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9700.1299999999992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14325.519999999999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9700.1299999999992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14325.519999999999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3240.21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396.63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3240.21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396.63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661.81000000000006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1209.8800000000001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661.81000000000006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1209.8800000000001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1117.73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1131.6700000000001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1117.73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1131.6700000000001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7808.1500000000005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7358.6499999999996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7808.1500000000005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7358.6499999999996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147.31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36.969999999999999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147.31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36.969999999999999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519.42999999999995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519.42999999999995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2625.2600000000002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2698.27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2625.2600000000002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2698.27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1090.5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1090.5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11223.220000000001</v>
      </c>
      <c r="C266" s="14">
        <f>IFERROR(B266/B446, "NA")</f>
      </c>
      <c r="D266" s="15"/>
      <c r="E266" s="13">
        <v>11635.34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10578.02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11223.220000000001</v>
      </c>
      <c r="R266" s="14">
        <f>IFERROR(Q266/Q446, "NA")</f>
      </c>
      <c r="S266" s="15"/>
      <c r="T266" s="13">
        <v>11635.34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10578.02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1104.02</v>
      </c>
      <c r="C271" s="14">
        <f>IFERROR(B271/B446, "NA")</f>
      </c>
      <c r="D271" s="15"/>
      <c r="E271" s="13">
        <v>1139.0599999999999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1207.1199999999999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1104.02</v>
      </c>
      <c r="R271" s="14">
        <f>IFERROR(Q271/Q446, "NA")</f>
      </c>
      <c r="S271" s="15"/>
      <c r="T271" s="13">
        <v>1139.0599999999999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1207.1199999999999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5084.8199999999997</v>
      </c>
      <c r="C272" s="14">
        <f>IFERROR(B272/B446, "NA")</f>
      </c>
      <c r="D272" s="15"/>
      <c r="E272" s="13">
        <v>5130.2199999999993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4608.8599999999997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5084.8199999999997</v>
      </c>
      <c r="R272" s="14">
        <f>IFERROR(Q272/Q446, "NA")</f>
      </c>
      <c r="S272" s="15"/>
      <c r="T272" s="13">
        <v>5130.2199999999993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4608.8599999999997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199.27000000000001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1067.5899999999999</v>
      </c>
      <c r="R288" s="14">
        <f>IFERROR(Q288/Q446, "NA")</f>
      </c>
      <c r="S288" s="15"/>
      <c r="T288" s="13">
        <v>971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970.52999999999997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839.23000000000002</v>
      </c>
      <c r="C289" s="14">
        <f>IFERROR(B289/B446, "NA")</f>
      </c>
      <c r="D289" s="15"/>
      <c r="E289" s="13">
        <v>843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949.93000000000006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839.23000000000002</v>
      </c>
      <c r="R289" s="14">
        <f>IFERROR(Q289/Q446, "NA")</f>
      </c>
      <c r="S289" s="15"/>
      <c r="T289" s="13">
        <v>843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949.93000000000006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1136.28</v>
      </c>
      <c r="C290" s="14">
        <f>IFERROR(B290/B446, "NA")</f>
      </c>
      <c r="D290" s="15"/>
      <c r="E290" s="13">
        <v>1149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990.90999999999997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1136.28</v>
      </c>
      <c r="R290" s="14">
        <f>IFERROR(Q290/Q446, "NA")</f>
      </c>
      <c r="S290" s="15"/>
      <c r="T290" s="13">
        <v>1149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990.90999999999997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4477.6700000000001</v>
      </c>
      <c r="C291" s="14">
        <f>IFERROR(B291/B446, "NA")</f>
      </c>
      <c r="D291" s="15"/>
      <c r="E291" s="13">
        <v>2337.96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2785.6000000000004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4477.6700000000001</v>
      </c>
      <c r="R291" s="14">
        <f>IFERROR(Q291/Q446, "NA")</f>
      </c>
      <c r="S291" s="15"/>
      <c r="T291" s="13">
        <v>2337.96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2785.6000000000004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7409.0599999999995</v>
      </c>
      <c r="C292" s="14">
        <f>IFERROR(B292/B446, "NA")</f>
      </c>
      <c r="D292" s="15"/>
      <c r="E292" s="13">
        <v>2346.1800000000003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5669.0599999999995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7409.0599999999995</v>
      </c>
      <c r="R292" s="14">
        <f>IFERROR(Q292/Q446, "NA")</f>
      </c>
      <c r="S292" s="15"/>
      <c r="T292" s="13">
        <v>2346.1800000000003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5669.0599999999995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394.79000000000002</v>
      </c>
      <c r="C293" s="14">
        <f>IFERROR(B293/B446, "NA")</f>
      </c>
      <c r="D293" s="15"/>
      <c r="E293" s="13">
        <v>648.04999999999995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394.79000000000002</v>
      </c>
      <c r="R293" s="14">
        <f>IFERROR(Q293/Q446, "NA")</f>
      </c>
      <c r="S293" s="15"/>
      <c r="T293" s="13">
        <v>648.04999999999995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620.75999999999999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369.93000000000001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620.75999999999999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1590.4400000000001</v>
      </c>
      <c r="C295" s="14">
        <f>IFERROR(B295/B446, "NA")</f>
      </c>
      <c r="D295" s="15"/>
      <c r="E295" s="13">
        <v>1784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1703.28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1590.4400000000001</v>
      </c>
      <c r="R295" s="14">
        <f>IFERROR(Q295/Q446, "NA")</f>
      </c>
      <c r="S295" s="15"/>
      <c r="T295" s="13">
        <v>1784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1703.28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2225.0200000000004</v>
      </c>
      <c r="C300" s="14">
        <f>IFERROR(B300/B446, "NA")</f>
      </c>
      <c r="D300" s="15"/>
      <c r="E300" s="13">
        <v>2209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2086.7199999999998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2225.0200000000004</v>
      </c>
      <c r="R300" s="14">
        <f>IFERROR(Q300/Q446, "NA")</f>
      </c>
      <c r="S300" s="15"/>
      <c r="T300" s="13">
        <v>2209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2086.7199999999998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24.07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15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24.07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15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268.53999999999996</v>
      </c>
      <c r="C311" s="14">
        <f>IFERROR(B311/B446, "NA")</f>
      </c>
      <c r="D311" s="15"/>
      <c r="E311" s="13">
        <v>275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31.57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268.53999999999996</v>
      </c>
      <c r="R311" s="14">
        <f>IFERROR(Q311/Q446, "NA")</f>
      </c>
      <c r="S311" s="15"/>
      <c r="T311" s="13">
        <v>275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31.57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1296.5</v>
      </c>
      <c r="C313" s="14">
        <f>IFERROR(B313/B446, "NA")</f>
      </c>
      <c r="D313" s="15"/>
      <c r="E313" s="13">
        <v>175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376.99000000000001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1296.5</v>
      </c>
      <c r="R313" s="14">
        <f>IFERROR(Q313/Q446, "NA")</f>
      </c>
      <c r="S313" s="15"/>
      <c r="T313" s="13">
        <v>175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376.99000000000001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246.59999999999999</v>
      </c>
      <c r="C314" s="14">
        <f>IFERROR(B314/B446, "NA")</f>
      </c>
      <c r="D314" s="15"/>
      <c r="E314" s="13">
        <v>310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295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246.59999999999999</v>
      </c>
      <c r="R314" s="14">
        <f>IFERROR(Q314/Q446, "NA")</f>
      </c>
      <c r="S314" s="15"/>
      <c r="T314" s="13">
        <v>310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295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1690.3699999999999</v>
      </c>
      <c r="C316" s="14">
        <f>IFERROR(B316/B446, "NA")</f>
      </c>
      <c r="D316" s="15"/>
      <c r="E316" s="13">
        <v>1190.8199999999999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1249.6300000000001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1690.3699999999999</v>
      </c>
      <c r="R316" s="14">
        <f>IFERROR(Q316/Q446, "NA")</f>
      </c>
      <c r="S316" s="15"/>
      <c r="T316" s="13">
        <v>1190.8199999999999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1249.6300000000001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1319.75</v>
      </c>
      <c r="C319" s="14">
        <f>IFERROR(B319/B446, "NA")</f>
      </c>
      <c r="D319" s="15"/>
      <c r="E319" s="13">
        <v>1321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1319.75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1319.75</v>
      </c>
      <c r="R319" s="14">
        <f>IFERROR(Q319/Q446, "NA")</f>
      </c>
      <c r="S319" s="15"/>
      <c r="T319" s="13">
        <v>1321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1319.75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1269.8600000000001</v>
      </c>
      <c r="C320" s="14">
        <f>IFERROR(B320/B446, "NA")</f>
      </c>
      <c r="D320" s="15"/>
      <c r="E320" s="13">
        <v>1241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1120.46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1269.8600000000001</v>
      </c>
      <c r="R320" s="14">
        <f>IFERROR(Q320/Q446, "NA")</f>
      </c>
      <c r="S320" s="15"/>
      <c r="T320" s="13">
        <v>1241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1120.46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6956.7199999999993</v>
      </c>
      <c r="C321" s="14">
        <f>IFERROR(B321/B446, "NA")</f>
      </c>
      <c r="D321" s="15"/>
      <c r="E321" s="13">
        <v>5783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5142.4099999999999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6956.7199999999993</v>
      </c>
      <c r="R321" s="14">
        <f>IFERROR(Q321/Q446, "NA")</f>
      </c>
      <c r="S321" s="15"/>
      <c r="T321" s="13">
        <v>5783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5142.4099999999999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5308.0299999999997</v>
      </c>
      <c r="C322" s="14">
        <f>IFERROR(B322/B446, "NA")</f>
      </c>
      <c r="D322" s="15"/>
      <c r="E322" s="13">
        <v>5366.4899999999998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12423.76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5308.0299999999997</v>
      </c>
      <c r="R322" s="14">
        <f>IFERROR(Q322/Q446, "NA")</f>
      </c>
      <c r="S322" s="15"/>
      <c r="T322" s="13">
        <v>5366.4899999999998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12423.76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1694.8300000000002</v>
      </c>
      <c r="C323" s="14">
        <f>IFERROR(B323/B446, "NA")</f>
      </c>
      <c r="D323" s="15"/>
      <c r="E323" s="13">
        <v>1413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1076.0999999999999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1694.8300000000002</v>
      </c>
      <c r="R323" s="14">
        <f>IFERROR(Q323/Q446, "NA")</f>
      </c>
      <c r="S323" s="15"/>
      <c r="T323" s="13">
        <v>1413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1076.0999999999999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0.01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60203.629999999997</v>
      </c>
      <c r="C330" s="14">
        <f>IFERROR(B330/B446, "NA")</f>
      </c>
      <c r="D330" s="15"/>
      <c r="E330" s="13">
        <v>60203.629999999997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52829.580000000002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60203.629999999997</v>
      </c>
      <c r="R330" s="14">
        <f>IFERROR(Q330/Q446, "NA")</f>
      </c>
      <c r="S330" s="15"/>
      <c r="T330" s="13">
        <v>60203.629999999997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52829.580000000002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6433.1300000000001</v>
      </c>
      <c r="C331" s="14">
        <f>IFERROR(B331/B446, "NA")</f>
      </c>
      <c r="D331" s="15"/>
      <c r="E331" s="13">
        <v>6433.1300000000001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6225.6100000000006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6433.1300000000001</v>
      </c>
      <c r="R331" s="14">
        <f>IFERROR(Q331/Q446, "NA")</f>
      </c>
      <c r="S331" s="15"/>
      <c r="T331" s="13">
        <v>6433.1300000000001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6225.6100000000006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195.16</v>
      </c>
      <c r="C333" s="14">
        <f>IFERROR(B333/B446, "NA")</f>
      </c>
      <c r="D333" s="15"/>
      <c r="E333" s="13">
        <v>313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195.16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195.16</v>
      </c>
      <c r="R333" s="14">
        <f>IFERROR(Q333/Q446, "NA")</f>
      </c>
      <c r="S333" s="15"/>
      <c r="T333" s="13">
        <v>313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195.16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5737.8100000000004</v>
      </c>
      <c r="C334" s="14">
        <f>IFERROR(B334/B446, "NA")</f>
      </c>
      <c r="D334" s="15"/>
      <c r="E334" s="13">
        <v>5619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5523.6000000000004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5737.8100000000004</v>
      </c>
      <c r="R334" s="14">
        <f>IFERROR(Q334/Q446, "NA")</f>
      </c>
      <c r="S334" s="15"/>
      <c r="T334" s="13">
        <v>5619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5523.6000000000004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-4635.6899999999996</v>
      </c>
      <c r="C335" s="14">
        <f>IFERROR(B335/B446, "NA")</f>
      </c>
      <c r="D335" s="15"/>
      <c r="E335" s="13">
        <v>-4635.6899999999996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-4067.8699999999999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-4635.6899999999996</v>
      </c>
      <c r="R335" s="14">
        <f>IFERROR(Q335/Q446, "NA")</f>
      </c>
      <c r="S335" s="15"/>
      <c r="T335" s="13">
        <v>-4635.6899999999996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-4067.8699999999999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213.25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1654.8099999999999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213.25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1654.8099999999999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9755.5100000000002</v>
      </c>
      <c r="C339" s="14">
        <f>IFERROR(B339/B446, "NA")</f>
      </c>
      <c r="D339" s="15"/>
      <c r="E339" s="13">
        <v>7905.4300000000003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10556.450000000001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9755.5100000000002</v>
      </c>
      <c r="R339" s="14">
        <f>IFERROR(Q339/Q446, "NA")</f>
      </c>
      <c r="S339" s="15"/>
      <c r="T339" s="13">
        <v>7905.4300000000003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10556.450000000001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2912.2199999999998</v>
      </c>
      <c r="C340" s="14">
        <f>IFERROR(B340/B446, "NA")</f>
      </c>
      <c r="D340" s="15"/>
      <c r="E340" s="13">
        <v>1794.3899999999999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2922.23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2912.2199999999998</v>
      </c>
      <c r="R340" s="14">
        <f>IFERROR(Q340/Q446, "NA")</f>
      </c>
      <c r="S340" s="15"/>
      <c r="T340" s="13">
        <v>1794.3899999999999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2922.23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3318.4500000000003</v>
      </c>
      <c r="C341" s="14">
        <f>IFERROR(B341/B446, "NA")</f>
      </c>
      <c r="D341" s="15"/>
      <c r="E341" s="13">
        <v>2010.52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2909.5599999999999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3318.4500000000003</v>
      </c>
      <c r="R341" s="14">
        <f>IFERROR(Q341/Q446, "NA")</f>
      </c>
      <c r="S341" s="15"/>
      <c r="T341" s="13">
        <v>2010.52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2909.5599999999999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1884.5900000000001</v>
      </c>
      <c r="C342" s="14">
        <f>IFERROR(B342/B446, "NA")</f>
      </c>
      <c r="D342" s="15"/>
      <c r="E342" s="13">
        <v>1460.99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1902.8200000000002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1884.5900000000001</v>
      </c>
      <c r="R342" s="14">
        <f>IFERROR(Q342/Q446, "NA")</f>
      </c>
      <c r="S342" s="15"/>
      <c r="T342" s="13">
        <v>1460.99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1902.8200000000002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35403.839999999997</v>
      </c>
      <c r="C351" s="14">
        <f>IFERROR(B351/B446, "NA")</f>
      </c>
      <c r="D351" s="15"/>
      <c r="E351" s="13">
        <v>36000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60610.540000000001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35403.839999999997</v>
      </c>
      <c r="R351" s="14">
        <f>IFERROR(Q351/Q446, "NA")</f>
      </c>
      <c r="S351" s="15"/>
      <c r="T351" s="13">
        <v>36000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60610.540000000001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4192.9499999999998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4192.9499999999998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3301.1999999999998</v>
      </c>
      <c r="C355" s="14">
        <f>IFERROR(B355/B446, "NA")</f>
      </c>
      <c r="D355" s="15"/>
      <c r="E355" s="13">
        <v>2988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6790.2399999999998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3301.1999999999998</v>
      </c>
      <c r="R355" s="14">
        <f>IFERROR(Q355/Q446, "NA")</f>
      </c>
      <c r="S355" s="15"/>
      <c r="T355" s="13">
        <v>2988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6790.2399999999998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169.59999999999999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233.19999999999999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169.59999999999999</v>
      </c>
      <c r="R356" s="14">
        <f>IFERROR(Q356/Q446, "NA")</f>
      </c>
      <c r="S356" s="15"/>
      <c r="T356" s="13">
        <v>212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233.19999999999999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4500</v>
      </c>
      <c r="C357" s="14">
        <f>IFERROR(B357/B446, "NA")</f>
      </c>
      <c r="D357" s="15"/>
      <c r="E357" s="13">
        <v>4500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4500</v>
      </c>
      <c r="R357" s="14">
        <f>IFERROR(Q357/Q446, "NA")</f>
      </c>
      <c r="S357" s="15"/>
      <c r="T357" s="13">
        <v>4500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6187.5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3319.2399999999998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3469.3499999999999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3319.2399999999998</v>
      </c>
      <c r="R358" s="14">
        <f>IFERROR(Q358/Q446, "NA")</f>
      </c>
      <c r="S358" s="15"/>
      <c r="T358" s="13">
        <v>3680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3469.3499999999999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250.94999999999999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726.27999999999997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250.94999999999999</v>
      </c>
      <c r="R363" s="14">
        <f>IFERROR(Q363/Q446, "NA")</f>
      </c>
      <c r="S363" s="15"/>
      <c r="T363" s="13">
        <v>864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726.27999999999997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811.94000000000005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326.55000000000001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811.94000000000005</v>
      </c>
      <c r="R364" s="14">
        <f>IFERROR(Q364/Q446, "NA")</f>
      </c>
      <c r="S364" s="15"/>
      <c r="T364" s="13">
        <v>150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326.55000000000001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54.630000000000003</v>
      </c>
      <c r="C365" s="14">
        <f>IFERROR(B365/B446, "NA")</f>
      </c>
      <c r="D365" s="15"/>
      <c r="E365" s="13">
        <v>400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45.259999999999998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54.630000000000003</v>
      </c>
      <c r="R365" s="14">
        <f>IFERROR(Q365/Q446, "NA")</f>
      </c>
      <c r="S365" s="15"/>
      <c r="T365" s="13">
        <v>400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45.259999999999998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900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900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450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1667.6099999999999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1667.6099999999999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103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98</v>
      </c>
      <c r="R371" s="14">
        <f>IFERROR(Q371/Q446, "NA")</f>
      </c>
      <c r="S371" s="15"/>
      <c r="T371" s="13">
        <v>100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103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89.599999999999994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110.06999999999999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89.599999999999994</v>
      </c>
      <c r="R372" s="14">
        <f>IFERROR(Q372/Q446, "NA")</f>
      </c>
      <c r="S372" s="15"/>
      <c r="T372" s="13">
        <v>125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110.06999999999999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254.08000000000001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254.08000000000001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667.13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454.88999999999999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667.13</v>
      </c>
      <c r="R374" s="14">
        <f>IFERROR(Q374/Q446, "NA")</f>
      </c>
      <c r="S374" s="15"/>
      <c r="T374" s="13">
        <v>629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454.88999999999999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2114.0999999999999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1897.01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2114.0999999999999</v>
      </c>
      <c r="R375" s="14">
        <f>IFERROR(Q375/Q446, "NA")</f>
      </c>
      <c r="S375" s="15"/>
      <c r="T375" s="13">
        <v>2150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1897.01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205.25999999999999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-2413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7324.1800000000003</v>
      </c>
      <c r="C379" s="14">
        <f>IFERROR(B379/B446, "NA")</f>
      </c>
      <c r="D379" s="15"/>
      <c r="E379" s="13">
        <v>9484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7928.96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7324.1800000000003</v>
      </c>
      <c r="R379" s="14">
        <f>IFERROR(Q379/Q446, "NA")</f>
      </c>
      <c r="S379" s="15"/>
      <c r="T379" s="13">
        <v>9484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7928.96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740.51999999999998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18.41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740.51999999999998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18.41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11800</v>
      </c>
      <c r="R381" s="14">
        <f>IFERROR(Q381/Q446, "NA")</f>
      </c>
      <c r="S381" s="15"/>
      <c r="T381" s="13">
        <v>11800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11500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3547.5</v>
      </c>
      <c r="C382" s="14">
        <f>IFERROR(B382/B446, "NA")</f>
      </c>
      <c r="D382" s="15"/>
      <c r="E382" s="13">
        <v>2500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4000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3547.5</v>
      </c>
      <c r="R382" s="14">
        <f>IFERROR(Q382/Q446, "NA")</f>
      </c>
      <c r="S382" s="15"/>
      <c r="T382" s="13">
        <v>2500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4000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674.15999999999997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505.62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674.15999999999997</v>
      </c>
      <c r="R383" s="14">
        <f>IFERROR(Q383/Q446, "NA")</f>
      </c>
      <c r="S383" s="15"/>
      <c r="T383" s="13">
        <v>506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505.62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2222.3000000000002</v>
      </c>
      <c r="C386" s="14">
        <f>IFERROR(B386/B446, "NA")</f>
      </c>
      <c r="D386" s="15"/>
      <c r="E386" s="13">
        <v>750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2197.23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2222.3000000000002</v>
      </c>
      <c r="R386" s="14">
        <f>IFERROR(Q386/Q446, "NA")</f>
      </c>
      <c r="S386" s="15"/>
      <c r="T386" s="13">
        <v>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2197.23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9422.8700000000008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9422.8700000000008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6900.4200000000001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3194.75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6900.4200000000001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3194.75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3202.3600000000001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12806.200000000001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3202.3600000000001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12806.200000000001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4837.5500000000002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4344.7200000000003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4837.5500000000002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4344.7200000000003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3900.27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3900.27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36.380000000000003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36.380000000000003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10506.25</v>
      </c>
      <c r="C398" s="14">
        <f>IFERROR(B398/B446, "NA")</f>
      </c>
      <c r="D398" s="15"/>
      <c r="E398" s="13">
        <v>7200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1771.4300000000001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10506.25</v>
      </c>
      <c r="R398" s="14">
        <f>IFERROR(Q398/Q446, "NA")</f>
      </c>
      <c r="S398" s="15"/>
      <c r="T398" s="13">
        <v>7200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1771.4300000000001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390.64999999999998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120.16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390.64999999999998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120.16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815.84000000000003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815.84000000000003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14875.330000000002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14875.330000000002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31404.970000000001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27763.239999999998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31404.970000000001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27763.239999999998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268.37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-103.39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-109.72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-103.39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-109.72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24.630000000000003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238.49000000000001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24.630000000000003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238.49000000000001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-20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-20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-505.22000000000003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-505.22000000000003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-16101.01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-0.98999999999999999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-16101.01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-0.98999999999999999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67.079999999999998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47.920000000000002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-2432.9299999999998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-375.5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-2432.9299999999998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-375.5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435052.09999999998</v>
      </c>
      <c r="C446" s="33"/>
      <c r="D446" s="15"/>
      <c r="E446" s="13">
        <v>448708.20000000001</v>
      </c>
      <c r="F446" s="33"/>
      <c r="G446" s="15"/>
      <c r="H446" s="16">
        <f>IFERROR(B446-E446, "NA")</f>
      </c>
      <c r="I446" s="33"/>
      <c r="J446" s="15"/>
      <c r="K446" s="13">
        <v>435555.42999999999</v>
      </c>
      <c r="L446" s="33"/>
      <c r="M446" s="15"/>
      <c r="N446" s="16">
        <f>IFERROR(B446-K446, "NA")</f>
      </c>
      <c r="O446" s="33"/>
      <c r="P446" s="15"/>
      <c r="Q446" s="13">
        <v>435052.09999999998</v>
      </c>
      <c r="R446" s="33"/>
      <c r="S446" s="15"/>
      <c r="T446" s="13">
        <v>448708.20000000001</v>
      </c>
      <c r="U446" s="33"/>
      <c r="V446" s="15"/>
      <c r="W446" s="16">
        <f>IFERROR(Q446-T446, "NA")</f>
      </c>
      <c r="X446" s="33"/>
      <c r="Y446" s="15"/>
      <c r="Z446" s="13">
        <v>435555.42999999999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2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413</v>
      </c>
      <c t="s" r="B3" s="3">
        <v>413</v>
      </c>
      <c t="s" r="C3" s="3">
        <v>413</v>
      </c>
      <c t="s" r="D3" s="3">
        <v>413</v>
      </c>
      <c t="s" r="E3" s="3">
        <v>413</v>
      </c>
      <c t="s" r="F3" s="3">
        <v>413</v>
      </c>
      <c t="s" r="G3" s="3">
        <v>413</v>
      </c>
      <c t="s" r="H3" s="3">
        <v>413</v>
      </c>
      <c t="s" r="I3" s="3">
        <v>413</v>
      </c>
      <c t="s" r="J3" s="3">
        <v>413</v>
      </c>
      <c t="s" r="K3" s="3">
        <v>413</v>
      </c>
      <c t="s" r="L3" s="3">
        <v>413</v>
      </c>
      <c t="s" r="M3" s="3">
        <v>413</v>
      </c>
      <c t="s" r="N3" s="3">
        <v>413</v>
      </c>
      <c t="s" r="O3" s="3">
        <v>413</v>
      </c>
      <c t="s" r="P3" s="3">
        <v>413</v>
      </c>
      <c t="s" r="Q3" s="3">
        <v>413</v>
      </c>
      <c t="s" r="R3" s="3">
        <v>413</v>
      </c>
      <c t="s" r="S3" s="3">
        <v>413</v>
      </c>
      <c t="s" r="T3" s="3">
        <v>413</v>
      </c>
      <c t="s" r="U3" s="3">
        <v>413</v>
      </c>
      <c t="s" r="V3" s="3">
        <v>413</v>
      </c>
      <c t="s" r="W3" s="3">
        <v>413</v>
      </c>
      <c t="s" r="X3" s="3">
        <v>413</v>
      </c>
      <c t="s" r="Y3" s="3">
        <v>413</v>
      </c>
      <c t="s" r="Z3" s="3">
        <v>413</v>
      </c>
      <c t="s" r="AA3" s="3">
        <v>413</v>
      </c>
      <c t="s" r="AB3" s="3">
        <v>413</v>
      </c>
      <c t="s" r="AC3" s="3">
        <v>413</v>
      </c>
      <c t="s" r="AD3" s="3">
        <v>413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idden="1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0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0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idden="1" ht="16.5" customHeight="1">
      <c t="s" r="A11" s="18">
        <v>13</v>
      </c>
      <c r="B11" s="13">
        <v>0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0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0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0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idden="1" ht="16.5" customHeight="1">
      <c t="s" r="A12" s="18">
        <v>14</v>
      </c>
      <c r="B12" s="13">
        <v>0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0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0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0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idden="1" ht="16.5" customHeight="1">
      <c t="s" r="A13" s="18">
        <v>15</v>
      </c>
      <c r="B13" s="13">
        <v>0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0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0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0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idden="1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idden="1" ht="16.5" customHeight="1">
      <c t="s" r="A15" s="18">
        <v>17</v>
      </c>
      <c r="B15" s="13">
        <v>0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0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0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0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idden="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0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0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idden="1" ht="16.5" customHeight="1">
      <c t="s" r="A22" s="18">
        <v>23</v>
      </c>
      <c r="B22" s="13">
        <v>0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0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0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0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idden="1" ht="16.5" customHeight="1">
      <c t="s" r="A23" s="18">
        <v>24</v>
      </c>
      <c r="B23" s="13">
        <v>0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0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idden="1" ht="16.5" customHeight="1">
      <c t="s" r="A24" s="18">
        <v>25</v>
      </c>
      <c r="B24" s="13">
        <v>0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0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0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0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idden="1" ht="16.5" customHeight="1">
      <c t="s" r="A25" s="18">
        <v>26</v>
      </c>
      <c r="B25" s="13">
        <v>0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0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idden="1" ht="16.5" customHeight="1">
      <c t="s" r="A26" s="18">
        <v>27</v>
      </c>
      <c r="B26" s="13">
        <v>0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0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idden="1" ht="16.5" customHeight="1">
      <c t="s" r="A28" s="18">
        <v>29</v>
      </c>
      <c r="B28" s="13">
        <v>0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0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0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0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idden="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0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0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idden="1" ht="16.5" customHeight="1">
      <c t="s" r="A33" s="18">
        <v>33</v>
      </c>
      <c r="B33" s="13">
        <v>0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0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0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0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idden="1" ht="16.5" customHeight="1">
      <c t="s" r="A35" s="18">
        <v>35</v>
      </c>
      <c r="B35" s="13">
        <v>0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0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0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0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idden="1" ht="16.5" customHeight="1">
      <c t="s" r="A36" s="18">
        <v>36</v>
      </c>
      <c r="B36" s="13">
        <v>0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0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0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0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idden="1" ht="16.5" customHeight="1">
      <c t="s" r="A37" s="18">
        <v>37</v>
      </c>
      <c r="B37" s="13">
        <v>0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0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idden="1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0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0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idden="1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0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0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idden="1" ht="16.5" customHeight="1">
      <c t="s" r="A43" s="18">
        <v>42</v>
      </c>
      <c r="B43" s="13">
        <v>0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0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0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0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idden="1" ht="16.5" customHeight="1">
      <c t="s" r="A48" s="23">
        <v>46</v>
      </c>
      <c r="B48" s="13">
        <v>0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0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0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0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idden="1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0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0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idden="1" ht="16.5" customHeight="1">
      <c t="s" r="A65" s="18">
        <v>62</v>
      </c>
      <c r="B65" s="13">
        <v>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idden="1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0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0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idden="1" ht="16.5" customHeight="1">
      <c t="s" r="A77" s="18">
        <v>73</v>
      </c>
      <c r="B77" s="13">
        <v>0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0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0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0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idden="1" ht="16.5" customHeight="1">
      <c t="s" r="A80" s="18">
        <v>76</v>
      </c>
      <c r="B80" s="13">
        <v>0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0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0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0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idden="1" ht="16.5" customHeight="1">
      <c t="s" r="A90" s="12">
        <v>86</v>
      </c>
      <c r="B90" s="13">
        <v>0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0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idden="1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0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0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idden="1" ht="16.5" customHeight="1">
      <c t="s" r="A96" s="18">
        <v>91</v>
      </c>
      <c r="B96" s="13">
        <v>0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0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0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0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idden="1" ht="16.5" customHeight="1">
      <c t="s" r="A98" s="18">
        <v>93</v>
      </c>
      <c r="B98" s="13">
        <v>0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0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0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0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idden="1" ht="16.5" customHeight="1">
      <c t="s" r="A102" s="18">
        <v>97</v>
      </c>
      <c r="B102" s="13">
        <v>0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0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0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0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idden="1" ht="16.5" customHeight="1">
      <c t="s" r="A104" s="18">
        <v>99</v>
      </c>
      <c r="B104" s="13">
        <v>0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0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0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0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idden="1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0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0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idden="1" ht="16.5" customHeight="1">
      <c t="s" r="A130" s="18">
        <v>122</v>
      </c>
      <c r="B130" s="13">
        <v>0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0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0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0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idden="1" ht="16.5" customHeight="1">
      <c t="s" r="A131" s="18">
        <v>123</v>
      </c>
      <c r="B131" s="13">
        <v>0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0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0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0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idden="1" ht="16.5" customHeight="1">
      <c t="s" r="A132" s="18">
        <v>124</v>
      </c>
      <c r="B132" s="13">
        <v>0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0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0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0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idden="1" ht="16.5" customHeight="1">
      <c t="s" r="A133" s="18">
        <v>125</v>
      </c>
      <c r="B133" s="13">
        <v>0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0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0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0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idden="1" ht="16.5" customHeight="1">
      <c t="s" r="A134" s="18">
        <v>126</v>
      </c>
      <c r="B134" s="13">
        <v>0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0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0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0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idden="1" ht="16.5" customHeight="1">
      <c t="s" r="A135" s="18">
        <v>127</v>
      </c>
      <c r="B135" s="13">
        <v>0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0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0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0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idden="1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0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0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idden="1" ht="16.5" customHeight="1">
      <c t="s" r="A137" s="18">
        <v>129</v>
      </c>
      <c r="B137" s="13">
        <v>0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0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0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0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idden="1" ht="16.5" customHeight="1">
      <c t="s" r="A138" s="18">
        <v>130</v>
      </c>
      <c r="B138" s="13">
        <v>0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0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0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0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idden="1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0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0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idden="1" ht="16.5" customHeight="1">
      <c t="s" r="A144" s="18">
        <v>135</v>
      </c>
      <c r="B144" s="13">
        <v>0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0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0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0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idden="1" ht="16.5" customHeight="1">
      <c t="s" r="A145" s="18">
        <v>136</v>
      </c>
      <c r="B145" s="13">
        <v>0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0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0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0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idden="1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0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0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idden="1" ht="16.5" customHeight="1">
      <c t="s" r="A147" s="18">
        <v>138</v>
      </c>
      <c r="B147" s="13">
        <v>0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0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0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0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idden="1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0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0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idden="1" ht="16.5" customHeight="1">
      <c t="s" r="A154" s="18">
        <v>143</v>
      </c>
      <c r="B154" s="13">
        <v>0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0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0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0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idden="1" ht="16.5" customHeight="1">
      <c t="s" r="A155" s="18">
        <v>144</v>
      </c>
      <c r="B155" s="13">
        <v>0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0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0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0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idden="1" ht="16.5" customHeight="1">
      <c t="s" r="A161" s="18">
        <v>149</v>
      </c>
      <c r="B161" s="13">
        <v>0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0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0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0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idden="1" ht="16.5" customHeight="1">
      <c t="s" r="A167" s="12">
        <v>155</v>
      </c>
      <c r="B167" s="13">
        <v>0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0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0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0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idden="1" ht="16.5" customHeight="1">
      <c t="s" r="A168" s="12">
        <v>156</v>
      </c>
      <c r="B168" s="13">
        <v>0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0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0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0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idden="1" ht="16.5" customHeight="1">
      <c t="s" r="A169" s="12">
        <v>157</v>
      </c>
      <c r="B169" s="13">
        <v>0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0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0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0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idden="1" ht="16.5" customHeight="1">
      <c t="s" r="A178" s="18">
        <v>163</v>
      </c>
      <c r="B178" s="13">
        <v>0</v>
      </c>
      <c r="C178" s="14">
        <f>IFERROR(B178/B446, "NA")</f>
      </c>
      <c r="D178" s="15"/>
      <c r="E178" s="13">
        <v>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0</v>
      </c>
      <c r="R178" s="14">
        <f>IFERROR(Q178/Q446, "NA")</f>
      </c>
      <c r="S178" s="15"/>
      <c r="T178" s="13">
        <v>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idden="1" ht="16.5" customHeight="1">
      <c t="s" r="A180" s="18">
        <v>165</v>
      </c>
      <c r="B180" s="13">
        <v>0</v>
      </c>
      <c r="C180" s="14">
        <f>IFERROR(B180/B446, "NA")</f>
      </c>
      <c r="D180" s="15"/>
      <c r="E180" s="13">
        <v>0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0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0</v>
      </c>
      <c r="R180" s="14">
        <f>IFERROR(Q180/Q446, "NA")</f>
      </c>
      <c r="S180" s="15"/>
      <c r="T180" s="13">
        <v>0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0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idden="1" ht="16.5" customHeight="1">
      <c t="s" r="A184" s="12">
        <v>169</v>
      </c>
      <c r="B184" s="13">
        <v>0</v>
      </c>
      <c r="C184" s="14">
        <f>IFERROR(B184/B446, "NA")</f>
      </c>
      <c r="D184" s="15"/>
      <c r="E184" s="13">
        <v>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0</v>
      </c>
      <c r="R184" s="14">
        <f>IFERROR(Q184/Q446, "NA")</f>
      </c>
      <c r="S184" s="15"/>
      <c r="T184" s="13">
        <v>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idden="1" ht="16.5" customHeight="1">
      <c t="s" r="A186" s="18">
        <v>170</v>
      </c>
      <c r="B186" s="13">
        <v>0</v>
      </c>
      <c r="C186" s="14">
        <f>IFERROR(B186/B446, "NA")</f>
      </c>
      <c r="D186" s="15"/>
      <c r="E186" s="13">
        <v>0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0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0</v>
      </c>
      <c r="R186" s="14">
        <f>IFERROR(Q186/Q446, "NA")</f>
      </c>
      <c r="S186" s="15"/>
      <c r="T186" s="13">
        <v>0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0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idden="1" ht="16.5" customHeight="1">
      <c t="s" r="A194" s="12">
        <v>178</v>
      </c>
      <c r="B194" s="13">
        <v>0</v>
      </c>
      <c r="C194" s="14">
        <f>IFERROR(B194/B446, "NA")</f>
      </c>
      <c r="D194" s="15"/>
      <c r="E194" s="13">
        <v>0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0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0</v>
      </c>
      <c r="R194" s="14">
        <f>IFERROR(Q194/Q446, "NA")</f>
      </c>
      <c r="S194" s="15"/>
      <c r="T194" s="13">
        <v>0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0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idden="1" ht="16.5" customHeight="1">
      <c t="s" r="A202" s="12">
        <v>184</v>
      </c>
      <c r="B202" s="13">
        <v>0</v>
      </c>
      <c r="C202" s="14">
        <f>IFERROR(B202/B446, "NA")</f>
      </c>
      <c r="D202" s="15"/>
      <c r="E202" s="13">
        <v>0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0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0</v>
      </c>
      <c r="R202" s="14">
        <f>IFERROR(Q202/Q446, "NA")</f>
      </c>
      <c r="S202" s="15"/>
      <c r="T202" s="13">
        <v>0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0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idden="1" ht="16.5" customHeight="1">
      <c t="s" r="A203" s="12">
        <v>185</v>
      </c>
      <c r="B203" s="13">
        <v>0</v>
      </c>
      <c r="C203" s="14">
        <f>IFERROR(B203/B446, "NA")</f>
      </c>
      <c r="D203" s="15"/>
      <c r="E203" s="13">
        <v>0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0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0</v>
      </c>
      <c r="R203" s="14">
        <f>IFERROR(Q203/Q446, "NA")</f>
      </c>
      <c r="S203" s="15"/>
      <c r="T203" s="13">
        <v>0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0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idden="1" ht="16.5" customHeight="1">
      <c t="s" r="A204" s="12">
        <v>186</v>
      </c>
      <c r="B204" s="13">
        <v>0</v>
      </c>
      <c r="C204" s="14">
        <f>IFERROR(B204/B446, "NA")</f>
      </c>
      <c r="D204" s="15"/>
      <c r="E204" s="13">
        <v>0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0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0</v>
      </c>
      <c r="R204" s="14">
        <f>IFERROR(Q204/Q446, "NA")</f>
      </c>
      <c r="S204" s="15"/>
      <c r="T204" s="13">
        <v>0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0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idden="1" ht="16.5" customHeight="1">
      <c t="s" r="A205" s="12">
        <v>187</v>
      </c>
      <c r="B205" s="13">
        <v>0</v>
      </c>
      <c r="C205" s="14">
        <f>IFERROR(B205/B446, "NA")</f>
      </c>
      <c r="D205" s="15"/>
      <c r="E205" s="13">
        <v>0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0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0</v>
      </c>
      <c r="R205" s="14">
        <f>IFERROR(Q205/Q446, "NA")</f>
      </c>
      <c r="S205" s="15"/>
      <c r="T205" s="13">
        <v>0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0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idden="1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0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0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idden="1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0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0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idden="1" ht="16.5" customHeight="1">
      <c t="s" r="A208" s="12">
        <v>190</v>
      </c>
      <c r="B208" s="13">
        <v>0</v>
      </c>
      <c r="C208" s="14">
        <f>IFERROR(B208/B446, "NA")</f>
      </c>
      <c r="D208" s="15"/>
      <c r="E208" s="13">
        <v>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0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0</v>
      </c>
      <c r="R208" s="14">
        <f>IFERROR(Q208/Q446, "NA")</f>
      </c>
      <c r="S208" s="15"/>
      <c r="T208" s="13">
        <v>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0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idden="1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0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0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idden="1" ht="16.5" customHeight="1">
      <c t="s" r="A214" s="18">
        <v>194</v>
      </c>
      <c r="B214" s="13">
        <v>0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0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0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0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idden="1" ht="16.5" customHeight="1">
      <c t="s" r="A217" s="18">
        <v>197</v>
      </c>
      <c r="B217" s="13">
        <v>0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0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0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0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idden="1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idden="1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0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0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idden="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0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0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idden="1" ht="16.5" customHeight="1">
      <c t="s" r="A234" s="12">
        <v>213</v>
      </c>
      <c r="B234" s="13">
        <v>0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0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0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0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idden="1" ht="16.5" customHeight="1">
      <c t="s" r="A235" s="12">
        <v>214</v>
      </c>
      <c r="B235" s="13">
        <v>0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0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idden="1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0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0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idden="1" ht="16.5" customHeight="1">
      <c t="s" r="A242" s="18">
        <v>219</v>
      </c>
      <c r="B242" s="13">
        <v>0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0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0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0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idden="1" ht="16.5" customHeight="1">
      <c t="s" r="A243" s="18">
        <v>220</v>
      </c>
      <c r="B243" s="13">
        <v>0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0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0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0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idden="1" ht="16.5" customHeight="1">
      <c t="s" r="A244" s="18">
        <v>221</v>
      </c>
      <c r="B244" s="13">
        <v>0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0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idden="1" ht="16.5" customHeight="1">
      <c t="s" r="A246" s="18">
        <v>223</v>
      </c>
      <c r="B246" s="13">
        <v>0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0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0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0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idden="1" ht="16.5" customHeight="1">
      <c t="s" r="A248" s="18">
        <v>225</v>
      </c>
      <c r="B248" s="13">
        <v>0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0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0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0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idden="1" ht="16.5" customHeight="1">
      <c t="s" r="A249" s="18">
        <v>226</v>
      </c>
      <c r="B249" s="13">
        <v>0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0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0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0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idden="1" ht="16.5" customHeight="1">
      <c t="s" r="A266" s="12">
        <v>242</v>
      </c>
      <c r="B266" s="13">
        <v>0</v>
      </c>
      <c r="C266" s="14">
        <f>IFERROR(B266/B446, "NA")</f>
      </c>
      <c r="D266" s="15"/>
      <c r="E266" s="13">
        <v>0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0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0</v>
      </c>
      <c r="R266" s="14">
        <f>IFERROR(Q266/Q446, "NA")</f>
      </c>
      <c r="S266" s="15"/>
      <c r="T266" s="13">
        <v>0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0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idden="1" ht="16.5" customHeight="1">
      <c t="s" r="A271" s="12">
        <v>246</v>
      </c>
      <c r="B271" s="13">
        <v>0</v>
      </c>
      <c r="C271" s="14">
        <f>IFERROR(B271/B446, "NA")</f>
      </c>
      <c r="D271" s="15"/>
      <c r="E271" s="13">
        <v>0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0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0</v>
      </c>
      <c r="R271" s="14">
        <f>IFERROR(Q271/Q446, "NA")</f>
      </c>
      <c r="S271" s="15"/>
      <c r="T271" s="13">
        <v>0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0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idden="1" ht="16.5" customHeight="1">
      <c t="s" r="A272" s="12">
        <v>247</v>
      </c>
      <c r="B272" s="13">
        <v>0</v>
      </c>
      <c r="C272" s="14">
        <f>IFERROR(B272/B446, "NA")</f>
      </c>
      <c r="D272" s="15"/>
      <c r="E272" s="13">
        <v>0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0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0</v>
      </c>
      <c r="R272" s="14">
        <f>IFERROR(Q272/Q446, "NA")</f>
      </c>
      <c r="S272" s="15"/>
      <c r="T272" s="13">
        <v>0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0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idden="1" ht="16.5" customHeight="1">
      <c t="s" r="A289" s="12">
        <v>262</v>
      </c>
      <c r="B289" s="13">
        <v>0</v>
      </c>
      <c r="C289" s="14">
        <f>IFERROR(B289/B446, "NA")</f>
      </c>
      <c r="D289" s="15"/>
      <c r="E289" s="13">
        <v>0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0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0</v>
      </c>
      <c r="R289" s="14">
        <f>IFERROR(Q289/Q446, "NA")</f>
      </c>
      <c r="S289" s="15"/>
      <c r="T289" s="13">
        <v>0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0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idden="1" ht="16.5" customHeight="1">
      <c t="s" r="A290" s="12">
        <v>263</v>
      </c>
      <c r="B290" s="13">
        <v>0</v>
      </c>
      <c r="C290" s="14">
        <f>IFERROR(B290/B446, "NA")</f>
      </c>
      <c r="D290" s="15"/>
      <c r="E290" s="13">
        <v>0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0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0</v>
      </c>
      <c r="R290" s="14">
        <f>IFERROR(Q290/Q446, "NA")</f>
      </c>
      <c r="S290" s="15"/>
      <c r="T290" s="13">
        <v>0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0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idden="1" ht="16.5" customHeight="1">
      <c t="s" r="A291" s="12">
        <v>264</v>
      </c>
      <c r="B291" s="13">
        <v>0</v>
      </c>
      <c r="C291" s="14">
        <f>IFERROR(B291/B446, "NA")</f>
      </c>
      <c r="D291" s="15"/>
      <c r="E291" s="13">
        <v>0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0</v>
      </c>
      <c r="R291" s="14">
        <f>IFERROR(Q291/Q446, "NA")</f>
      </c>
      <c r="S291" s="15"/>
      <c r="T291" s="13">
        <v>0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idden="1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0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0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idden="1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0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0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idden="1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0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0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idden="1" ht="16.5" customHeight="1">
      <c t="s" r="A295" s="12">
        <v>268</v>
      </c>
      <c r="B295" s="13">
        <v>0</v>
      </c>
      <c r="C295" s="14">
        <f>IFERROR(B295/B446, "NA")</f>
      </c>
      <c r="D295" s="15"/>
      <c r="E295" s="13">
        <v>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0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0</v>
      </c>
      <c r="R295" s="14">
        <f>IFERROR(Q295/Q446, "NA")</f>
      </c>
      <c r="S295" s="15"/>
      <c r="T295" s="13">
        <v>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0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idden="1" ht="16.5" customHeight="1">
      <c t="s" r="A300" s="12">
        <v>272</v>
      </c>
      <c r="B300" s="13">
        <v>0</v>
      </c>
      <c r="C300" s="14">
        <f>IFERROR(B300/B446, "NA")</f>
      </c>
      <c r="D300" s="15"/>
      <c r="E300" s="13">
        <v>0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0</v>
      </c>
      <c r="R300" s="14">
        <f>IFERROR(Q300/Q446, "NA")</f>
      </c>
      <c r="S300" s="15"/>
      <c r="T300" s="13">
        <v>0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idden="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0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0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idden="1" ht="16.5" customHeight="1">
      <c t="s" r="A313" s="12">
        <v>285</v>
      </c>
      <c r="B313" s="13">
        <v>0</v>
      </c>
      <c r="C313" s="14">
        <f>IFERROR(B313/B446, "NA")</f>
      </c>
      <c r="D313" s="15"/>
      <c r="E313" s="13">
        <v>0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0</v>
      </c>
      <c r="R313" s="14">
        <f>IFERROR(Q313/Q446, "NA")</f>
      </c>
      <c r="S313" s="15"/>
      <c r="T313" s="13">
        <v>0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idden="1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idden="1" ht="16.5" customHeight="1">
      <c t="s" r="A320" s="12">
        <v>292</v>
      </c>
      <c r="B320" s="13">
        <v>0</v>
      </c>
      <c r="C320" s="14">
        <f>IFERROR(B320/B446, "NA")</f>
      </c>
      <c r="D320" s="15"/>
      <c r="E320" s="13">
        <v>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0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0</v>
      </c>
      <c r="R320" s="14">
        <f>IFERROR(Q320/Q446, "NA")</f>
      </c>
      <c r="S320" s="15"/>
      <c r="T320" s="13">
        <v>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0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idden="1" ht="16.5" customHeight="1">
      <c t="s" r="A321" s="12">
        <v>293</v>
      </c>
      <c r="B321" s="13">
        <v>0</v>
      </c>
      <c r="C321" s="14">
        <f>IFERROR(B321/B446, "NA")</f>
      </c>
      <c r="D321" s="15"/>
      <c r="E321" s="13">
        <v>0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0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0</v>
      </c>
      <c r="R321" s="14">
        <f>IFERROR(Q321/Q446, "NA")</f>
      </c>
      <c r="S321" s="15"/>
      <c r="T321" s="13">
        <v>0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0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idden="1" ht="16.5" customHeight="1">
      <c t="s" r="A322" s="12">
        <v>294</v>
      </c>
      <c r="B322" s="13">
        <v>0</v>
      </c>
      <c r="C322" s="14">
        <f>IFERROR(B322/B446, "NA")</f>
      </c>
      <c r="D322" s="15"/>
      <c r="E322" s="13">
        <v>0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0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0</v>
      </c>
      <c r="R322" s="14">
        <f>IFERROR(Q322/Q446, "NA")</f>
      </c>
      <c r="S322" s="15"/>
      <c r="T322" s="13">
        <v>0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0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idden="1" ht="16.5" customHeight="1">
      <c t="s" r="A323" s="12">
        <v>295</v>
      </c>
      <c r="B323" s="13">
        <v>0</v>
      </c>
      <c r="C323" s="14">
        <f>IFERROR(B323/B446, "NA")</f>
      </c>
      <c r="D323" s="15"/>
      <c r="E323" s="13">
        <v>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0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0</v>
      </c>
      <c r="R323" s="14">
        <f>IFERROR(Q323/Q446, "NA")</f>
      </c>
      <c r="S323" s="15"/>
      <c r="T323" s="13">
        <v>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0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idden="1" ht="16.5" customHeight="1">
      <c t="s" r="A330" s="12">
        <v>301</v>
      </c>
      <c r="B330" s="13">
        <v>0</v>
      </c>
      <c r="C330" s="14">
        <f>IFERROR(B330/B446, "NA")</f>
      </c>
      <c r="D330" s="15"/>
      <c r="E330" s="13">
        <v>0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0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0</v>
      </c>
      <c r="R330" s="14">
        <f>IFERROR(Q330/Q446, "NA")</f>
      </c>
      <c r="S330" s="15"/>
      <c r="T330" s="13">
        <v>0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0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idden="1" ht="16.5" customHeight="1">
      <c t="s" r="A331" s="12">
        <v>302</v>
      </c>
      <c r="B331" s="13">
        <v>0</v>
      </c>
      <c r="C331" s="14">
        <f>IFERROR(B331/B446, "NA")</f>
      </c>
      <c r="D331" s="15"/>
      <c r="E331" s="13">
        <v>0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0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0</v>
      </c>
      <c r="R331" s="14">
        <f>IFERROR(Q331/Q446, "NA")</f>
      </c>
      <c r="S331" s="15"/>
      <c r="T331" s="13">
        <v>0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0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idden="1" ht="16.5" customHeight="1">
      <c t="s" r="A334" s="12">
        <v>305</v>
      </c>
      <c r="B334" s="13">
        <v>0</v>
      </c>
      <c r="C334" s="14">
        <f>IFERROR(B334/B446, "NA")</f>
      </c>
      <c r="D334" s="15"/>
      <c r="E334" s="13">
        <v>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0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0</v>
      </c>
      <c r="R334" s="14">
        <f>IFERROR(Q334/Q446, "NA")</f>
      </c>
      <c r="S334" s="15"/>
      <c r="T334" s="13">
        <v>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0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idden="1" ht="16.5" customHeight="1">
      <c t="s" r="A335" s="12">
        <v>306</v>
      </c>
      <c r="B335" s="13">
        <v>0</v>
      </c>
      <c r="C335" s="14">
        <f>IFERROR(B335/B446, "NA")</f>
      </c>
      <c r="D335" s="15"/>
      <c r="E335" s="13">
        <v>0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0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0</v>
      </c>
      <c r="R335" s="14">
        <f>IFERROR(Q335/Q446, "NA")</f>
      </c>
      <c r="S335" s="15"/>
      <c r="T335" s="13">
        <v>0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0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idden="1" ht="16.5" customHeight="1">
      <c t="s" r="A339" s="18">
        <v>309</v>
      </c>
      <c r="B339" s="13">
        <v>0</v>
      </c>
      <c r="C339" s="14">
        <f>IFERROR(B339/B446, "NA")</f>
      </c>
      <c r="D339" s="15"/>
      <c r="E339" s="13">
        <v>0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0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0</v>
      </c>
      <c r="R339" s="14">
        <f>IFERROR(Q339/Q446, "NA")</f>
      </c>
      <c r="S339" s="15"/>
      <c r="T339" s="13">
        <v>0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0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idden="1" ht="16.5" customHeight="1">
      <c t="s" r="A340" s="18">
        <v>310</v>
      </c>
      <c r="B340" s="13">
        <v>0</v>
      </c>
      <c r="C340" s="14">
        <f>IFERROR(B340/B446, "NA")</f>
      </c>
      <c r="D340" s="15"/>
      <c r="E340" s="13">
        <v>0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0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0</v>
      </c>
      <c r="R340" s="14">
        <f>IFERROR(Q340/Q446, "NA")</f>
      </c>
      <c r="S340" s="15"/>
      <c r="T340" s="13">
        <v>0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0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idden="1" ht="16.5" customHeight="1">
      <c t="s" r="A341" s="18">
        <v>311</v>
      </c>
      <c r="B341" s="13">
        <v>0</v>
      </c>
      <c r="C341" s="14">
        <f>IFERROR(B341/B446, "NA")</f>
      </c>
      <c r="D341" s="15"/>
      <c r="E341" s="13">
        <v>0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0</v>
      </c>
      <c r="R341" s="14">
        <f>IFERROR(Q341/Q446, "NA")</f>
      </c>
      <c r="S341" s="15"/>
      <c r="T341" s="13">
        <v>0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t="16.5" customHeight="1">
      <c t="s" r="A351" s="12">
        <v>320</v>
      </c>
      <c r="B351" s="13">
        <v>35403.839999999997</v>
      </c>
      <c r="C351" s="14">
        <f>IFERROR(B351/B446, "NA")</f>
      </c>
      <c r="D351" s="15"/>
      <c r="E351" s="13">
        <v>36000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60610.540000000001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35403.839999999997</v>
      </c>
      <c r="R351" s="14">
        <f>IFERROR(Q351/Q446, "NA")</f>
      </c>
      <c r="S351" s="15"/>
      <c r="T351" s="13">
        <v>36000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60610.540000000001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4192.9499999999998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4192.9499999999998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t="16.5" customHeight="1">
      <c t="s" r="A355" s="12">
        <v>324</v>
      </c>
      <c r="B355" s="13">
        <v>3301.1999999999998</v>
      </c>
      <c r="C355" s="14">
        <f>IFERROR(B355/B446, "NA")</f>
      </c>
      <c r="D355" s="15"/>
      <c r="E355" s="13">
        <v>2988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6790.2399999999998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3301.1999999999998</v>
      </c>
      <c r="R355" s="14">
        <f>IFERROR(Q355/Q446, "NA")</f>
      </c>
      <c r="S355" s="15"/>
      <c r="T355" s="13">
        <v>2988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6790.2399999999998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t="16.5" customHeight="1">
      <c t="s" r="A356" s="12">
        <v>325</v>
      </c>
      <c r="B356" s="13">
        <v>169.59999999999999</v>
      </c>
      <c r="C356" s="14">
        <f>IFERROR(B356/B446, "NA")</f>
      </c>
      <c r="D356" s="15"/>
      <c r="E356" s="13">
        <v>212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233.19999999999999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169.59999999999999</v>
      </c>
      <c r="R356" s="14">
        <f>IFERROR(Q356/Q446, "NA")</f>
      </c>
      <c r="S356" s="15"/>
      <c r="T356" s="13">
        <v>212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233.19999999999999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t="16.5" customHeight="1">
      <c t="s" r="A357" s="12">
        <v>326</v>
      </c>
      <c r="B357" s="13">
        <v>4500</v>
      </c>
      <c r="C357" s="14">
        <f>IFERROR(B357/B446, "NA")</f>
      </c>
      <c r="D357" s="15"/>
      <c r="E357" s="13">
        <v>4500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6187.5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4500</v>
      </c>
      <c r="R357" s="14">
        <f>IFERROR(Q357/Q446, "NA")</f>
      </c>
      <c r="S357" s="15"/>
      <c r="T357" s="13">
        <v>4500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6187.5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t="16.5" customHeight="1">
      <c t="s" r="A358" s="12">
        <v>327</v>
      </c>
      <c r="B358" s="13">
        <v>3319.2399999999998</v>
      </c>
      <c r="C358" s="14">
        <f>IFERROR(B358/B446, "NA")</f>
      </c>
      <c r="D358" s="15"/>
      <c r="E358" s="13">
        <v>3680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3469.3499999999999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3319.2399999999998</v>
      </c>
      <c r="R358" s="14">
        <f>IFERROR(Q358/Q446, "NA")</f>
      </c>
      <c r="S358" s="15"/>
      <c r="T358" s="13">
        <v>3680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3469.3499999999999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t="16.5" customHeight="1">
      <c t="s" r="A363" s="12">
        <v>331</v>
      </c>
      <c r="B363" s="13">
        <v>250.94999999999999</v>
      </c>
      <c r="C363" s="14">
        <f>IFERROR(B363/B446, "NA")</f>
      </c>
      <c r="D363" s="15"/>
      <c r="E363" s="13">
        <v>864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726.27999999999997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250.94999999999999</v>
      </c>
      <c r="R363" s="14">
        <f>IFERROR(Q363/Q446, "NA")</f>
      </c>
      <c r="S363" s="15"/>
      <c r="T363" s="13">
        <v>864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726.27999999999997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t="16.5" customHeight="1">
      <c t="s" r="A364" s="12">
        <v>332</v>
      </c>
      <c r="B364" s="13">
        <v>811.94000000000005</v>
      </c>
      <c r="C364" s="14">
        <f>IFERROR(B364/B446, "NA")</f>
      </c>
      <c r="D364" s="15"/>
      <c r="E364" s="13">
        <v>150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326.55000000000001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811.94000000000005</v>
      </c>
      <c r="R364" s="14">
        <f>IFERROR(Q364/Q446, "NA")</f>
      </c>
      <c r="S364" s="15"/>
      <c r="T364" s="13">
        <v>150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326.55000000000001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t="16.5" customHeight="1">
      <c t="s" r="A365" s="12">
        <v>333</v>
      </c>
      <c r="B365" s="13">
        <v>54.630000000000003</v>
      </c>
      <c r="C365" s="14">
        <f>IFERROR(B365/B446, "NA")</f>
      </c>
      <c r="D365" s="15"/>
      <c r="E365" s="13">
        <v>400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45.259999999999998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54.630000000000003</v>
      </c>
      <c r="R365" s="14">
        <f>IFERROR(Q365/Q446, "NA")</f>
      </c>
      <c r="S365" s="15"/>
      <c r="T365" s="13">
        <v>400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45.259999999999998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900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900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450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450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t="16.5" customHeight="1">
      <c t="s" r="A368" s="12">
        <v>336</v>
      </c>
      <c r="B368" s="13">
        <v>1667.6099999999999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1667.6099999999999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t="16.5" customHeight="1">
      <c t="s" r="A371" s="26">
        <v>339</v>
      </c>
      <c r="B371" s="13">
        <v>98</v>
      </c>
      <c r="C371" s="14">
        <f>IFERROR(B371/B446, "NA")</f>
      </c>
      <c r="D371" s="15"/>
      <c r="E371" s="13">
        <v>100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103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98</v>
      </c>
      <c r="R371" s="14">
        <f>IFERROR(Q371/Q446, "NA")</f>
      </c>
      <c r="S371" s="15"/>
      <c r="T371" s="13">
        <v>100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103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t="16.5" customHeight="1">
      <c t="s" r="A372" s="26">
        <v>340</v>
      </c>
      <c r="B372" s="13">
        <v>89.599999999999994</v>
      </c>
      <c r="C372" s="14">
        <f>IFERROR(B372/B446, "NA")</f>
      </c>
      <c r="D372" s="15"/>
      <c r="E372" s="13">
        <v>125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110.06999999999999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89.599999999999994</v>
      </c>
      <c r="R372" s="14">
        <f>IFERROR(Q372/Q446, "NA")</f>
      </c>
      <c r="S372" s="15"/>
      <c r="T372" s="13">
        <v>125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110.06999999999999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t="16.5" customHeight="1">
      <c t="s" r="A373" s="26">
        <v>341</v>
      </c>
      <c r="B373" s="13">
        <v>254.08000000000001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254.08000000000001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t="16.5" customHeight="1">
      <c t="s" r="A374" s="26">
        <v>342</v>
      </c>
      <c r="B374" s="13">
        <v>667.13</v>
      </c>
      <c r="C374" s="14">
        <f>IFERROR(B374/B446, "NA")</f>
      </c>
      <c r="D374" s="15"/>
      <c r="E374" s="13">
        <v>629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454.88999999999999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667.13</v>
      </c>
      <c r="R374" s="14">
        <f>IFERROR(Q374/Q446, "NA")</f>
      </c>
      <c r="S374" s="15"/>
      <c r="T374" s="13">
        <v>629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454.88999999999999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t="16.5" customHeight="1">
      <c t="s" r="A375" s="26">
        <v>343</v>
      </c>
      <c r="B375" s="13">
        <v>2114.0999999999999</v>
      </c>
      <c r="C375" s="14">
        <f>IFERROR(B375/B446, "NA")</f>
      </c>
      <c r="D375" s="15"/>
      <c r="E375" s="13">
        <v>2150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1897.01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2114.0999999999999</v>
      </c>
      <c r="R375" s="14">
        <f>IFERROR(Q375/Q446, "NA")</f>
      </c>
      <c r="S375" s="15"/>
      <c r="T375" s="13">
        <v>2150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1897.01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205.25999999999999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205.25999999999999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-2413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-2413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t="16.5" customHeight="1">
      <c t="s" r="A379" s="26">
        <v>347</v>
      </c>
      <c r="B379" s="13">
        <v>7324.1800000000003</v>
      </c>
      <c r="C379" s="14">
        <f>IFERROR(B379/B446, "NA")</f>
      </c>
      <c r="D379" s="15"/>
      <c r="E379" s="13">
        <v>9484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7928.96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7324.1800000000003</v>
      </c>
      <c r="R379" s="14">
        <f>IFERROR(Q379/Q446, "NA")</f>
      </c>
      <c r="S379" s="15"/>
      <c r="T379" s="13">
        <v>9484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7928.96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t="16.5" customHeight="1">
      <c t="s" r="A380" s="26">
        <v>348</v>
      </c>
      <c r="B380" s="13">
        <v>740.51999999999998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18.41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740.51999999999998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18.41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t="16.5" customHeight="1">
      <c t="s" r="A381" s="26">
        <v>349</v>
      </c>
      <c r="B381" s="13">
        <v>11800</v>
      </c>
      <c r="C381" s="14">
        <f>IFERROR(B381/B446, "NA")</f>
      </c>
      <c r="D381" s="15"/>
      <c r="E381" s="13">
        <v>11800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11500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11800</v>
      </c>
      <c r="R381" s="14">
        <f>IFERROR(Q381/Q446, "NA")</f>
      </c>
      <c r="S381" s="15"/>
      <c r="T381" s="13">
        <v>11800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11500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t="16.5" customHeight="1">
      <c t="s" r="A382" s="26">
        <v>350</v>
      </c>
      <c r="B382" s="13">
        <v>3547.5</v>
      </c>
      <c r="C382" s="14">
        <f>IFERROR(B382/B446, "NA")</f>
      </c>
      <c r="D382" s="15"/>
      <c r="E382" s="13">
        <v>2500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4000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3547.5</v>
      </c>
      <c r="R382" s="14">
        <f>IFERROR(Q382/Q446, "NA")</f>
      </c>
      <c r="S382" s="15"/>
      <c r="T382" s="13">
        <v>2500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4000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t="16.5" customHeight="1">
      <c t="s" r="A383" s="26">
        <v>351</v>
      </c>
      <c r="B383" s="13">
        <v>674.15999999999997</v>
      </c>
      <c r="C383" s="14">
        <f>IFERROR(B383/B446, "NA")</f>
      </c>
      <c r="D383" s="15"/>
      <c r="E383" s="13">
        <v>506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505.62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674.15999999999997</v>
      </c>
      <c r="R383" s="14">
        <f>IFERROR(Q383/Q446, "NA")</f>
      </c>
      <c r="S383" s="15"/>
      <c r="T383" s="13">
        <v>506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505.62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t="16.5" customHeight="1">
      <c t="s" r="A386" s="12">
        <v>353</v>
      </c>
      <c r="B386" s="13">
        <v>2222.3000000000002</v>
      </c>
      <c r="C386" s="14">
        <f>IFERROR(B386/B446, "NA")</f>
      </c>
      <c r="D386" s="15"/>
      <c r="E386" s="13">
        <v>750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2197.23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2222.3000000000002</v>
      </c>
      <c r="R386" s="14">
        <f>IFERROR(Q386/Q446, "NA")</f>
      </c>
      <c r="S386" s="15"/>
      <c r="T386" s="13">
        <v>750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2197.23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9422.8700000000008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9422.8700000000008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t="16.5" customHeight="1">
      <c t="s" r="A390" s="18">
        <v>356</v>
      </c>
      <c r="B390" s="13">
        <v>6900.4200000000001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3194.75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6900.4200000000001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3194.75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t="16.5" customHeight="1">
      <c t="s" r="A391" s="18">
        <v>357</v>
      </c>
      <c r="B391" s="13">
        <v>3202.3600000000001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12806.200000000001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3202.3600000000001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12806.200000000001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t="16.5" customHeight="1">
      <c t="s" r="A393" s="18">
        <v>359</v>
      </c>
      <c r="B393" s="13">
        <v>4837.5500000000002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4344.7200000000003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4837.5500000000002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4344.7200000000003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3900.27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3900.27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t="16.5" customHeight="1">
      <c t="s" r="A396" s="12">
        <v>362</v>
      </c>
      <c r="B396" s="13">
        <v>36.380000000000003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36.380000000000003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t="16.5" customHeight="1">
      <c t="s" r="A398" s="26">
        <v>364</v>
      </c>
      <c r="B398" s="13">
        <v>10506.25</v>
      </c>
      <c r="C398" s="14">
        <f>IFERROR(B398/B446, "NA")</f>
      </c>
      <c r="D398" s="15"/>
      <c r="E398" s="13">
        <v>7200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1771.4300000000001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10506.25</v>
      </c>
      <c r="R398" s="14">
        <f>IFERROR(Q398/Q446, "NA")</f>
      </c>
      <c r="S398" s="15"/>
      <c r="T398" s="13">
        <v>7200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1771.4300000000001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t="16.5" customHeight="1">
      <c t="s" r="A399" s="26">
        <v>365</v>
      </c>
      <c r="B399" s="13">
        <v>390.64999999999998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120.16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390.64999999999998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120.16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t="16.5" customHeight="1">
      <c t="s" r="A400" s="26">
        <v>366</v>
      </c>
      <c r="B400" s="13">
        <v>815.84000000000003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815.84000000000003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-13500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-13500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59.700000000000003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184.88999999999999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59.700000000000003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184.88999999999999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t="16.5" customHeight="1">
      <c t="s" r="A412" s="12">
        <v>377</v>
      </c>
      <c r="B412" s="13">
        <v>268.37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268.37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idden="1" ht="16.5" customHeight="1">
      <c t="s" r="A418" s="12">
        <v>383</v>
      </c>
      <c r="B418" s="13">
        <v>0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0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0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0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t="16.5" customHeight="1">
      <c t="s" r="A423" s="12">
        <v>388</v>
      </c>
      <c r="B423" s="13">
        <v>-505.22000000000003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-505.22000000000003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t="16.5" customHeight="1">
      <c t="s" r="A424" s="12">
        <v>389</v>
      </c>
      <c r="B424" s="13">
        <v>-16101.01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-0.98999999999999999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-16101.01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-0.98999999999999999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-2316.9499999999998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-232.44999999999999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-2316.9499999999998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-232.44999999999999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0</v>
      </c>
      <c r="C446" s="33"/>
      <c r="D446" s="15"/>
      <c r="E446" s="13">
        <v>0</v>
      </c>
      <c r="F446" s="33"/>
      <c r="G446" s="15"/>
      <c r="H446" s="16">
        <f>IFERROR(B446-E446, "NA")</f>
      </c>
      <c r="I446" s="33"/>
      <c r="J446" s="15"/>
      <c r="K446" s="13">
        <v>0</v>
      </c>
      <c r="L446" s="33"/>
      <c r="M446" s="15"/>
      <c r="N446" s="16">
        <f>IFERROR(B446-K446, "NA")</f>
      </c>
      <c r="O446" s="33"/>
      <c r="P446" s="15"/>
      <c r="Q446" s="13">
        <v>0</v>
      </c>
      <c r="R446" s="33"/>
      <c r="S446" s="15"/>
      <c r="T446" s="13">
        <v>0</v>
      </c>
      <c r="U446" s="33"/>
      <c r="V446" s="15"/>
      <c r="W446" s="16">
        <f>IFERROR(Q446-T446, "NA")</f>
      </c>
      <c r="X446" s="33"/>
      <c r="Y446" s="15"/>
      <c r="Z446" s="13">
        <v>0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3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414</v>
      </c>
      <c t="s" r="B3" s="3">
        <v>414</v>
      </c>
      <c t="s" r="C3" s="3">
        <v>414</v>
      </c>
      <c t="s" r="D3" s="3">
        <v>414</v>
      </c>
      <c t="s" r="E3" s="3">
        <v>414</v>
      </c>
      <c t="s" r="F3" s="3">
        <v>414</v>
      </c>
      <c t="s" r="G3" s="3">
        <v>414</v>
      </c>
      <c t="s" r="H3" s="3">
        <v>414</v>
      </c>
      <c t="s" r="I3" s="3">
        <v>414</v>
      </c>
      <c t="s" r="J3" s="3">
        <v>414</v>
      </c>
      <c t="s" r="K3" s="3">
        <v>414</v>
      </c>
      <c t="s" r="L3" s="3">
        <v>414</v>
      </c>
      <c t="s" r="M3" s="3">
        <v>414</v>
      </c>
      <c t="s" r="N3" s="3">
        <v>414</v>
      </c>
      <c t="s" r="O3" s="3">
        <v>414</v>
      </c>
      <c t="s" r="P3" s="3">
        <v>414</v>
      </c>
      <c t="s" r="Q3" s="3">
        <v>414</v>
      </c>
      <c t="s" r="R3" s="3">
        <v>414</v>
      </c>
      <c t="s" r="S3" s="3">
        <v>414</v>
      </c>
      <c t="s" r="T3" s="3">
        <v>414</v>
      </c>
      <c t="s" r="U3" s="3">
        <v>414</v>
      </c>
      <c t="s" r="V3" s="3">
        <v>414</v>
      </c>
      <c t="s" r="W3" s="3">
        <v>414</v>
      </c>
      <c t="s" r="X3" s="3">
        <v>414</v>
      </c>
      <c t="s" r="Y3" s="3">
        <v>414</v>
      </c>
      <c t="s" r="Z3" s="3">
        <v>414</v>
      </c>
      <c t="s" r="AA3" s="3">
        <v>414</v>
      </c>
      <c t="s" r="AB3" s="3">
        <v>414</v>
      </c>
      <c t="s" r="AC3" s="3">
        <v>414</v>
      </c>
      <c t="s" r="AD3" s="3">
        <v>414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30099.59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30099.59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27442.709999999999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25301.990000000002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27442.709999999999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25301.990000000002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2687.8000000000002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2320.75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2687.8000000000002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2320.75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143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80.5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143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80.5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25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115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115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41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36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41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36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1.04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1.04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6557.6499999999996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6557.6499999999996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1859.1500000000001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5251.3000000000002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1859.1500000000001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5251.3000000000002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2340.77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2340.77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656.98000000000002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410.38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656.98000000000002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410.38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177.72999999999999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177.72999999999999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455.07999999999998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455.07999999999998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802.65999999999997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802.65999999999997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802.65999999999997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802.65999999999997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12459.530000000001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12459.530000000001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5094.0900000000001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4694.3599999999997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5094.0900000000001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4694.3599999999997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235.53999999999999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449.80000000000001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235.53999999999999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449.80000000000001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7954.3000000000002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9420.3600000000006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7954.3000000000002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9420.3600000000006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427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427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93.75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461.10000000000002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93.75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461.10000000000002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13115.290000000001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13115.290000000001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2107.5700000000002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3178.6599999999999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2107.5700000000002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3178.6599999999999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516.70000000000005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516.70000000000005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1123.71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13179.700000000001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1123.71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13179.700000000001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t="16.5" customHeight="1">
      <c t="s" r="A50" s="23">
        <v>48</v>
      </c>
      <c r="B50" s="13">
        <v>547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137.13999999999999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547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137.13999999999999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2285.3499999999999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2285.3499999999999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t="16.5" customHeight="1">
      <c t="s" r="A57" s="23">
        <v>55</v>
      </c>
      <c r="B57" s="13">
        <v>2077.6999999999998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2077.6999999999998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6688.8000000000002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6688.8000000000002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5560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5560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400.22000000000003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400.22000000000003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2260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2260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t="16.5" customHeight="1">
      <c t="s" r="A70" s="18">
        <v>67</v>
      </c>
      <c r="B70" s="13">
        <v>5452.5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5452.5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524.61000000000001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524.61000000000001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203.03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287.38999999999999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203.03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287.38999999999999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25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25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111.02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1251.1900000000001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111.02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1251.1900000000001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t="16.5" customHeight="1">
      <c t="s" r="A86" s="18">
        <v>82</v>
      </c>
      <c r="B86" s="13">
        <v>25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25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-2.27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-2.27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12.99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12.99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-3869.0100000000002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-3869.0100000000002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-1246.6600000000001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-1226.9000000000001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-1246.6600000000001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-1226.9000000000001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-1586.54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-1660.1400000000001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-1586.54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-1660.1400000000001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-6.1299999999999999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-95.620000000000005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-6.1299999999999999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-95.620000000000005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-861.13999999999999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-810.75999999999999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-861.13999999999999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-810.75999999999999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-35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-35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-541.39999999999998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-467.26999999999998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-541.39999999999998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-467.26999999999998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-40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-235.87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-40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-235.87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14426.82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14426.82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3293.4899999999998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3558.1599999999999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3293.4899999999998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3558.1599999999999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1862.8499999999999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1847.1600000000001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1862.8499999999999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1847.1600000000001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2122.3600000000001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2455.98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2122.3600000000001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2455.98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1583.8399999999999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1301.8499999999999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1583.8399999999999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1301.8499999999999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768.04999999999995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511.36000000000001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768.04999999999995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511.36000000000001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665.63999999999999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471.14999999999998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665.63999999999999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471.14999999999998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637.15999999999997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637.15999999999997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329.10000000000002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548.14999999999998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329.10000000000002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548.14999999999998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4992.8500000000004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3251.8299999999999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4992.8500000000004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3251.8299999999999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786.91999999999996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786.91999999999996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841.02999999999997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528.91999999999996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841.02999999999997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528.91999999999996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83.920000000000002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39.549999999999997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83.920000000000002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39.549999999999997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78.140000000000001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78.140000000000001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3.0099999999999998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27.719999999999999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3.0099999999999998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27.719999999999999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2623.0599999999999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2623.0599999999999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2184.6900000000001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1944.4000000000001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2184.6900000000001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1944.4000000000001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1696.3399999999999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766.42999999999995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1696.3399999999999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766.42999999999995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t="16.5" customHeight="1">
      <c t="s" r="A156" s="18">
        <v>145</v>
      </c>
      <c r="B156" s="13">
        <v>74.200000000000003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74.200000000000003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316.52999999999997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320.69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316.52999999999997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320.69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59.579999999999998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86.090000000000003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59.579999999999998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86.090000000000003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18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32.600000000000001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18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32.600000000000001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-1070.46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-2049.2800000000002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-1070.46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-2049.2800000000002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5076.9200000000001</v>
      </c>
      <c r="C178" s="14">
        <f>IFERROR(B178/B446, "NA")</f>
      </c>
      <c r="D178" s="15"/>
      <c r="E178" s="13">
        <v>4615.3999999999996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4615.3999999999996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5076.9200000000001</v>
      </c>
      <c r="R178" s="14">
        <f>IFERROR(Q178/Q446, "NA")</f>
      </c>
      <c r="S178" s="15"/>
      <c r="T178" s="13">
        <v>4615.3999999999996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4615.3999999999996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15489.83</v>
      </c>
      <c r="C180" s="14">
        <f>IFERROR(B180/B446, "NA")</f>
      </c>
      <c r="D180" s="15"/>
      <c r="E180" s="13">
        <v>13443.17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13398.610000000001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15489.83</v>
      </c>
      <c r="R180" s="14">
        <f>IFERROR(Q180/Q446, "NA")</f>
      </c>
      <c r="S180" s="15"/>
      <c r="T180" s="13">
        <v>13443.17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13398.610000000001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194.40000000000001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194.40000000000001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165</v>
      </c>
      <c r="C184" s="14">
        <f>IFERROR(B184/B446, "NA")</f>
      </c>
      <c r="D184" s="15"/>
      <c r="E184" s="13">
        <v>165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300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165</v>
      </c>
      <c r="R184" s="14">
        <f>IFERROR(Q184/Q446, "NA")</f>
      </c>
      <c r="S184" s="15"/>
      <c r="T184" s="13">
        <v>165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300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2511.3499999999999</v>
      </c>
      <c r="C186" s="14">
        <f>IFERROR(B186/B446, "NA")</f>
      </c>
      <c r="D186" s="15"/>
      <c r="E186" s="13">
        <v>3047.3400000000001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2965.7800000000002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2511.3499999999999</v>
      </c>
      <c r="R186" s="14">
        <f>IFERROR(Q186/Q446, "NA")</f>
      </c>
      <c r="S186" s="15"/>
      <c r="T186" s="13">
        <v>3047.3400000000001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2965.7800000000002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301.04000000000002</v>
      </c>
      <c r="C194" s="14">
        <f>IFERROR(B194/B446, "NA")</f>
      </c>
      <c r="D194" s="15"/>
      <c r="E194" s="13">
        <v>145.78999999999999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224.72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301.04000000000002</v>
      </c>
      <c r="R194" s="14">
        <f>IFERROR(Q194/Q446, "NA")</f>
      </c>
      <c r="S194" s="15"/>
      <c r="T194" s="13">
        <v>145.78999999999999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224.72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3.5699999999999998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-172.78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3.5699999999999998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-172.78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456.44</v>
      </c>
      <c r="C202" s="14">
        <f>IFERROR(B202/B446, "NA")</f>
      </c>
      <c r="D202" s="15"/>
      <c r="E202" s="13">
        <v>524.61000000000001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555.36000000000001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456.44</v>
      </c>
      <c r="R202" s="14">
        <f>IFERROR(Q202/Q446, "NA")</f>
      </c>
      <c r="S202" s="15"/>
      <c r="T202" s="13">
        <v>524.61000000000001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555.36000000000001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401.66000000000003</v>
      </c>
      <c r="C203" s="14">
        <f>IFERROR(B203/B446, "NA")</f>
      </c>
      <c r="D203" s="15"/>
      <c r="E203" s="13">
        <v>590.19000000000005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382.83999999999997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401.66000000000003</v>
      </c>
      <c r="R203" s="14">
        <f>IFERROR(Q203/Q446, "NA")</f>
      </c>
      <c r="S203" s="15"/>
      <c r="T203" s="13">
        <v>590.19000000000005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382.83999999999997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21.48</v>
      </c>
      <c r="C204" s="14">
        <f>IFERROR(B204/B446, "NA")</f>
      </c>
      <c r="D204" s="15"/>
      <c r="E204" s="13">
        <v>131.15000000000001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26.620000000000001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21.48</v>
      </c>
      <c r="R204" s="14">
        <f>IFERROR(Q204/Q446, "NA")</f>
      </c>
      <c r="S204" s="15"/>
      <c r="T204" s="13">
        <v>131.15000000000001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26.620000000000001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330.16000000000003</v>
      </c>
      <c r="C205" s="14">
        <f>IFERROR(B205/B446, "NA")</f>
      </c>
      <c r="D205" s="15"/>
      <c r="E205" s="13">
        <v>196.72999999999999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288.63999999999999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330.16000000000003</v>
      </c>
      <c r="R205" s="14">
        <f>IFERROR(Q205/Q446, "NA")</f>
      </c>
      <c r="S205" s="15"/>
      <c r="T205" s="13">
        <v>196.72999999999999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288.63999999999999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65.579999999999998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65.579999999999998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99.590000000000003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99.590000000000003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20.859999999999999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166.86000000000001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20.859999999999999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166.86000000000001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1901.72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1901.72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708.51999999999998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1097.23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708.51999999999998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1097.23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idden="1" ht="16.5" customHeight="1">
      <c t="s" r="A215" s="18">
        <v>195</v>
      </c>
      <c r="B215" s="13">
        <v>0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0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834.76999999999998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2009.1700000000001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834.76999999999998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2009.1700000000001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66.670000000000002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97.469999999999999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66.670000000000002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97.469999999999999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524.61000000000001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524.61000000000001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126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142.88999999999999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126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142.88999999999999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164.43000000000001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1248.1199999999999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164.43000000000001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1248.1199999999999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4.4699999999999998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4.4699999999999998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3541.1300000000001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3541.1300000000001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78.709999999999994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78.709999999999994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597.82000000000005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488.91000000000003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597.82000000000005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488.91000000000003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183.19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2137.8800000000001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183.19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2137.8800000000001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1087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1087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47.200000000000003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111.2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47.200000000000003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111.2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186.25999999999999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186.25999999999999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186.25999999999999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186.25999999999999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1371.1600000000001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1297.0899999999999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1371.1600000000001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1297.0899999999999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114.02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114.02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t="16.5" customHeight="1">
      <c t="s" r="A253" s="18">
        <v>230</v>
      </c>
      <c r="B253" s="13">
        <v>519.42999999999995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519.42999999999995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80.049999999999997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80.049999999999997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t="16.5" customHeight="1">
      <c t="s" r="A260" s="18">
        <v>237</v>
      </c>
      <c r="B260" s="13">
        <v>1090.5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1090.5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1629.9000000000001</v>
      </c>
      <c r="C266" s="14">
        <f>IFERROR(B266/B446, "NA")</f>
      </c>
      <c r="D266" s="15"/>
      <c r="E266" s="13">
        <v>1770.5599999999999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1674.1400000000001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1629.9000000000001</v>
      </c>
      <c r="R266" s="14">
        <f>IFERROR(Q266/Q446, "NA")</f>
      </c>
      <c r="S266" s="15"/>
      <c r="T266" s="13">
        <v>1770.5599999999999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1674.1400000000001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267</v>
      </c>
      <c r="C271" s="14">
        <f>IFERROR(B271/B446, "NA")</f>
      </c>
      <c r="D271" s="15"/>
      <c r="E271" s="13">
        <v>236.72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218.47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267</v>
      </c>
      <c r="R271" s="14">
        <f>IFERROR(Q271/Q446, "NA")</f>
      </c>
      <c r="S271" s="15"/>
      <c r="T271" s="13">
        <v>236.72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218.47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1142.46</v>
      </c>
      <c r="C272" s="14">
        <f>IFERROR(B272/B446, "NA")</f>
      </c>
      <c r="D272" s="15"/>
      <c r="E272" s="13">
        <v>1078.3299999999999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1218.2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1142.46</v>
      </c>
      <c r="R272" s="14">
        <f>IFERROR(Q272/Q446, "NA")</f>
      </c>
      <c r="S272" s="15"/>
      <c r="T272" s="13">
        <v>1078.3299999999999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1218.2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t="16.5" customHeight="1">
      <c t="s" r="A288" s="12">
        <v>261</v>
      </c>
      <c r="B288" s="13">
        <v>1067.5899999999999</v>
      </c>
      <c r="C288" s="14">
        <f>IFERROR(B288/B446, "NA")</f>
      </c>
      <c r="D288" s="15"/>
      <c r="E288" s="13">
        <v>971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970.52999999999997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1067.5899999999999</v>
      </c>
      <c r="R288" s="14">
        <f>IFERROR(Q288/Q446, "NA")</f>
      </c>
      <c r="S288" s="15"/>
      <c r="T288" s="13">
        <v>971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970.52999999999997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260.13</v>
      </c>
      <c r="C289" s="14">
        <f>IFERROR(B289/B446, "NA")</f>
      </c>
      <c r="D289" s="15"/>
      <c r="E289" s="13">
        <v>263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371.94999999999999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260.13</v>
      </c>
      <c r="R289" s="14">
        <f>IFERROR(Q289/Q446, "NA")</f>
      </c>
      <c r="S289" s="15"/>
      <c r="T289" s="13">
        <v>263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371.94999999999999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237.03</v>
      </c>
      <c r="C290" s="14">
        <f>IFERROR(B290/B446, "NA")</f>
      </c>
      <c r="D290" s="15"/>
      <c r="E290" s="13">
        <v>224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208.25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237.03</v>
      </c>
      <c r="R290" s="14">
        <f>IFERROR(Q290/Q446, "NA")</f>
      </c>
      <c r="S290" s="15"/>
      <c r="T290" s="13">
        <v>224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208.25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305.02999999999997</v>
      </c>
      <c r="C291" s="14">
        <f>IFERROR(B291/B446, "NA")</f>
      </c>
      <c r="D291" s="15"/>
      <c r="E291" s="13">
        <v>262.31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233.16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305.02999999999997</v>
      </c>
      <c r="R291" s="14">
        <f>IFERROR(Q291/Q446, "NA")</f>
      </c>
      <c r="S291" s="15"/>
      <c r="T291" s="13">
        <v>262.31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233.16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2316.3899999999999</v>
      </c>
      <c r="C292" s="14">
        <f>IFERROR(B292/B446, "NA")</f>
      </c>
      <c r="D292" s="15"/>
      <c r="E292" s="13">
        <v>262.31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1005.33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2316.3899999999999</v>
      </c>
      <c r="R292" s="14">
        <f>IFERROR(Q292/Q446, "NA")</f>
      </c>
      <c r="S292" s="15"/>
      <c r="T292" s="13">
        <v>262.31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1005.33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196.72999999999999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196.72999999999999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98.359999999999999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98.359999999999999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350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408.31999999999999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299.99000000000001</v>
      </c>
      <c r="R295" s="14">
        <f>IFERROR(Q295/Q446, "NA")</f>
      </c>
      <c r="S295" s="15"/>
      <c r="T295" s="13">
        <v>350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408.31999999999999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496.08999999999997</v>
      </c>
      <c r="C300" s="14">
        <f>IFERROR(B300/B446, "NA")</f>
      </c>
      <c r="D300" s="15"/>
      <c r="E300" s="13">
        <v>489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516.35000000000002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496.08999999999997</v>
      </c>
      <c r="R300" s="14">
        <f>IFERROR(Q300/Q446, "NA")</f>
      </c>
      <c r="S300" s="15"/>
      <c r="T300" s="13">
        <v>489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516.35000000000002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15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15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734.44000000000005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734.44000000000005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8.5999999999999996</v>
      </c>
      <c r="C314" s="14">
        <f>IFERROR(B314/B446, "NA")</f>
      </c>
      <c r="D314" s="15"/>
      <c r="E314" s="13">
        <v>25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15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8.5999999999999996</v>
      </c>
      <c r="R314" s="14">
        <f>IFERROR(Q314/Q446, "NA")</f>
      </c>
      <c r="S314" s="15"/>
      <c r="T314" s="13">
        <v>25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15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414.56999999999999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414.56999999999999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414.56999999999999</v>
      </c>
      <c r="R319" s="14">
        <f>IFERROR(Q319/Q446, "NA")</f>
      </c>
      <c r="S319" s="15"/>
      <c r="T319" s="13">
        <v>415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414.56999999999999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149.65000000000001</v>
      </c>
      <c r="C320" s="14">
        <f>IFERROR(B320/B446, "NA")</f>
      </c>
      <c r="D320" s="15"/>
      <c r="E320" s="13">
        <v>150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149.53999999999999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149.65000000000001</v>
      </c>
      <c r="R320" s="14">
        <f>IFERROR(Q320/Q446, "NA")</f>
      </c>
      <c r="S320" s="15"/>
      <c r="T320" s="13">
        <v>150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149.53999999999999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2427.79</v>
      </c>
      <c r="C321" s="14">
        <f>IFERROR(B321/B446, "NA")</f>
      </c>
      <c r="D321" s="15"/>
      <c r="E321" s="13">
        <v>1242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1005.86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2427.79</v>
      </c>
      <c r="R321" s="14">
        <f>IFERROR(Q321/Q446, "NA")</f>
      </c>
      <c r="S321" s="15"/>
      <c r="T321" s="13">
        <v>1242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1005.86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1070.46</v>
      </c>
      <c r="C322" s="14">
        <f>IFERROR(B322/B446, "NA")</f>
      </c>
      <c r="D322" s="15"/>
      <c r="E322" s="13">
        <v>918.07000000000005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2049.2800000000002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1070.46</v>
      </c>
      <c r="R322" s="14">
        <f>IFERROR(Q322/Q446, "NA")</f>
      </c>
      <c r="S322" s="15"/>
      <c r="T322" s="13">
        <v>918.07000000000005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2049.2800000000002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162.28999999999999</v>
      </c>
      <c r="C323" s="14">
        <f>IFERROR(B323/B446, "NA")</f>
      </c>
      <c r="D323" s="15"/>
      <c r="E323" s="13">
        <v>250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162.27000000000001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162.28999999999999</v>
      </c>
      <c r="R323" s="14">
        <f>IFERROR(Q323/Q446, "NA")</f>
      </c>
      <c r="S323" s="15"/>
      <c r="T323" s="13">
        <v>250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162.27000000000001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4735.6999999999998</v>
      </c>
      <c r="C330" s="14">
        <f>IFERROR(B330/B446, "NA")</f>
      </c>
      <c r="D330" s="15"/>
      <c r="E330" s="13">
        <v>4735.6999999999998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4597.7600000000002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4735.6999999999998</v>
      </c>
      <c r="R330" s="14">
        <f>IFERROR(Q330/Q446, "NA")</f>
      </c>
      <c r="S330" s="15"/>
      <c r="T330" s="13">
        <v>4735.6999999999998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4597.7600000000002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1736.5999999999999</v>
      </c>
      <c r="C331" s="14">
        <f>IFERROR(B331/B446, "NA")</f>
      </c>
      <c r="D331" s="15"/>
      <c r="E331" s="13">
        <v>1736.5999999999999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1686.02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1736.5999999999999</v>
      </c>
      <c r="R331" s="14">
        <f>IFERROR(Q331/Q446, "NA")</f>
      </c>
      <c r="S331" s="15"/>
      <c r="T331" s="13">
        <v>1736.5999999999999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1686.02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1881.98</v>
      </c>
      <c r="C334" s="14">
        <f>IFERROR(B334/B446, "NA")</f>
      </c>
      <c r="D334" s="15"/>
      <c r="E334" s="13">
        <v>1914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1913.97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1881.98</v>
      </c>
      <c r="R334" s="14">
        <f>IFERROR(Q334/Q446, "NA")</f>
      </c>
      <c r="S334" s="15"/>
      <c r="T334" s="13">
        <v>1914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1913.97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-364.64999999999998</v>
      </c>
      <c r="C335" s="14">
        <f>IFERROR(B335/B446, "NA")</f>
      </c>
      <c r="D335" s="15"/>
      <c r="E335" s="13">
        <v>-364.64999999999998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-354.02999999999997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-364.64999999999998</v>
      </c>
      <c r="R335" s="14">
        <f>IFERROR(Q335/Q446, "NA")</f>
      </c>
      <c r="S335" s="15"/>
      <c r="T335" s="13">
        <v>-364.64999999999998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-354.02999999999997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2535.52</v>
      </c>
      <c r="C339" s="14">
        <f>IFERROR(B339/B446, "NA")</f>
      </c>
      <c r="D339" s="15"/>
      <c r="E339" s="13">
        <v>1901.72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2627.23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2535.52</v>
      </c>
      <c r="R339" s="14">
        <f>IFERROR(Q339/Q446, "NA")</f>
      </c>
      <c r="S339" s="15"/>
      <c r="T339" s="13">
        <v>1901.72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2627.23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393.81</v>
      </c>
      <c r="C340" s="14">
        <f>IFERROR(B340/B446, "NA")</f>
      </c>
      <c r="D340" s="15"/>
      <c r="E340" s="13">
        <v>262.31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275.69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393.81</v>
      </c>
      <c r="R340" s="14">
        <f>IFERROR(Q340/Q446, "NA")</f>
      </c>
      <c r="S340" s="15"/>
      <c r="T340" s="13">
        <v>262.31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275.69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475.55000000000001</v>
      </c>
      <c r="C341" s="14">
        <f>IFERROR(B341/B446, "NA")</f>
      </c>
      <c r="D341" s="15"/>
      <c r="E341" s="13">
        <v>262.31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408.42000000000002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475.55000000000001</v>
      </c>
      <c r="R341" s="14">
        <f>IFERROR(Q341/Q446, "NA")</f>
      </c>
      <c r="S341" s="15"/>
      <c r="T341" s="13">
        <v>262.31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408.42000000000002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3867.6599999999999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3867.6599999999999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4735.6300000000001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3786.6399999999999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4735.6300000000001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3786.6399999999999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-1.8899999999999999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72.640000000000001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-1.8899999999999999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72.640000000000001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t="16.5" customHeight="1">
      <c t="s" r="A426" s="12">
        <v>391</v>
      </c>
      <c r="B426" s="13">
        <v>67.079999999999998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47.920000000000002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67.079999999999998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47.920000000000002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t="16.5" customHeight="1">
      <c t="s" r="A428" s="12">
        <v>393</v>
      </c>
      <c r="B428" s="13">
        <v>-115.98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-143.05000000000001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-115.98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-143.05000000000001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67886.600000000006</v>
      </c>
      <c r="C446" s="33"/>
      <c r="D446" s="15"/>
      <c r="E446" s="13">
        <v>65576.460000000006</v>
      </c>
      <c r="F446" s="33"/>
      <c r="G446" s="15"/>
      <c r="H446" s="16">
        <f>IFERROR(B446-E446, "NA")</f>
      </c>
      <c r="I446" s="33"/>
      <c r="J446" s="15"/>
      <c r="K446" s="13">
        <v>63821.370000000003</v>
      </c>
      <c r="L446" s="33"/>
      <c r="M446" s="15"/>
      <c r="N446" s="16">
        <f>IFERROR(B446-K446, "NA")</f>
      </c>
      <c r="O446" s="33"/>
      <c r="P446" s="15"/>
      <c r="Q446" s="13">
        <v>67886.600000000006</v>
      </c>
      <c r="R446" s="33"/>
      <c r="S446" s="15"/>
      <c r="T446" s="13">
        <v>65576.460000000006</v>
      </c>
      <c r="U446" s="33"/>
      <c r="V446" s="15"/>
      <c r="W446" s="16">
        <f>IFERROR(Q446-T446, "NA")</f>
      </c>
      <c r="X446" s="33"/>
      <c r="Y446" s="15"/>
      <c r="Z446" s="13">
        <v>63821.370000000003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4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415</v>
      </c>
      <c t="s" r="B3" s="3">
        <v>415</v>
      </c>
      <c t="s" r="C3" s="3">
        <v>415</v>
      </c>
      <c t="s" r="D3" s="3">
        <v>415</v>
      </c>
      <c t="s" r="E3" s="3">
        <v>415</v>
      </c>
      <c t="s" r="F3" s="3">
        <v>415</v>
      </c>
      <c t="s" r="G3" s="3">
        <v>415</v>
      </c>
      <c t="s" r="H3" s="3">
        <v>415</v>
      </c>
      <c t="s" r="I3" s="3">
        <v>415</v>
      </c>
      <c t="s" r="J3" s="3">
        <v>415</v>
      </c>
      <c t="s" r="K3" s="3">
        <v>415</v>
      </c>
      <c t="s" r="L3" s="3">
        <v>415</v>
      </c>
      <c t="s" r="M3" s="3">
        <v>415</v>
      </c>
      <c t="s" r="N3" s="3">
        <v>415</v>
      </c>
      <c t="s" r="O3" s="3">
        <v>415</v>
      </c>
      <c t="s" r="P3" s="3">
        <v>415</v>
      </c>
      <c t="s" r="Q3" s="3">
        <v>415</v>
      </c>
      <c t="s" r="R3" s="3">
        <v>415</v>
      </c>
      <c t="s" r="S3" s="3">
        <v>415</v>
      </c>
      <c t="s" r="T3" s="3">
        <v>415</v>
      </c>
      <c t="s" r="U3" s="3">
        <v>415</v>
      </c>
      <c t="s" r="V3" s="3">
        <v>415</v>
      </c>
      <c t="s" r="W3" s="3">
        <v>415</v>
      </c>
      <c t="s" r="X3" s="3">
        <v>415</v>
      </c>
      <c t="s" r="Y3" s="3">
        <v>415</v>
      </c>
      <c t="s" r="Z3" s="3">
        <v>415</v>
      </c>
      <c t="s" r="AA3" s="3">
        <v>415</v>
      </c>
      <c t="s" r="AB3" s="3">
        <v>415</v>
      </c>
      <c t="s" r="AC3" s="3">
        <v>415</v>
      </c>
      <c t="s" r="AD3" s="3">
        <v>415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39807.050000000003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39807.050000000003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38720.620000000003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29365.450000000001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38720.620000000003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29365.450000000001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3861.25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2381.5500000000002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3861.25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2381.5500000000002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112.5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132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112.5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132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20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195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20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195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45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45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21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0.20999999999999999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0.20999999999999999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11799.950000000001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11799.950000000001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4089.3499999999999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5501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4089.3499999999999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5501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2788.5599999999999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2788.5599999999999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1013.77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954.14999999999998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1013.77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954.14999999999998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203.16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203.16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1624.6400000000001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2055.46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1624.6400000000001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2055.46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874.53999999999996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826.62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874.53999999999996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826.62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31561.299999999999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31561.299999999999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18523.139999999999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18228.43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18523.139999999999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18228.43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1265.3499999999999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920.37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1265.3499999999999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920.37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17461.439999999999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15905.620000000001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17461.439999999999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15905.620000000001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982.34000000000003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982.34000000000003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904.59000000000003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1332.5999999999999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904.59000000000003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1332.5999999999999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48479.300000000003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48479.300000000003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1867.8800000000001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5918.8999999999996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1867.8800000000001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5918.8999999999996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25636.150000000001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33810.669999999998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25636.150000000001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33810.669999999998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t="16.5" customHeight="1">
      <c t="s" r="A51" s="23">
        <v>49</v>
      </c>
      <c r="B51" s="13">
        <v>2158.5100000000002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3542.9899999999998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2158.5100000000002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3542.9899999999998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12368.620000000001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12368.620000000001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1513.1300000000001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1513.1300000000001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9418.2299999999996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7204.2200000000003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9418.2299999999996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7204.2200000000003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9882.75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9882.75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3980.6999999999998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3980.6999999999998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268.81999999999999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689.75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268.81999999999999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689.75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2364.4899999999998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3166.1700000000001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2364.4899999999998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3166.1700000000001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988.27999999999997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988.27999999999997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-205.44999999999999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-205.44999999999999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-5828.8900000000003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-5828.8900000000003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-803.54999999999995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-1513.95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-803.54999999999995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-1513.95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-2123.5700000000002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-1611.74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-2123.5700000000002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-1611.74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-17.59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-378.66000000000003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-17.59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-378.66000000000003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-1171.04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-1375.8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-1171.04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-1375.8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-86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-86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-265.31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-549.76999999999998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-265.31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-549.76999999999998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30566.130000000001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30566.130000000001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6474.6099999999997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7016.7299999999996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6474.6099999999997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7016.7299999999996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4233.7600000000002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3799.3099999999999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4233.7600000000002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3799.3099999999999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3976.29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5064.3699999999999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3976.29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5064.3699999999999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2982.0300000000002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2881.02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2982.0300000000002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2881.02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1267.3099999999999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952.42999999999995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1267.3099999999999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952.42999999999995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1292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1655.1099999999999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1292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1655.1099999999999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918.41999999999996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918.41999999999996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521.16999999999996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592.38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521.16999999999996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592.38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9127.0400000000009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6974.1999999999998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9127.0400000000009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6974.1999999999998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1279.51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1279.51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1387.52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2027.8800000000001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1387.52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2027.8800000000001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34.859999999999999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30.129999999999999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34.859999999999999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30.129999999999999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1.6000000000000001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712.75999999999999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1.6000000000000001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712.75999999999999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-2.8399999999999999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17.02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-2.8399999999999999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17.02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5828.8900000000003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5828.8900000000003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3827.3899999999999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3362.6199999999999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3827.3899999999999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3362.6199999999999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1471.3599999999999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2273.4400000000001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1471.3599999999999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2273.4400000000001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180.56999999999999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57.18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180.56999999999999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57.18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161.59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116.67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161.59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116.67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51.619999999999997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47.600000000000001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51.619999999999997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47.600000000000001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-1006.21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-1992.47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-1006.21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-1992.47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10076.92</v>
      </c>
      <c r="C178" s="14">
        <f>IFERROR(B178/B446, "NA")</f>
      </c>
      <c r="D178" s="15"/>
      <c r="E178" s="13">
        <v>10076.92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10076.92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10076.92</v>
      </c>
      <c r="R178" s="14">
        <f>IFERROR(Q178/Q446, "NA")</f>
      </c>
      <c r="S178" s="15"/>
      <c r="T178" s="13">
        <v>10076.92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10076.92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21539.150000000001</v>
      </c>
      <c r="C180" s="14">
        <f>IFERROR(B180/B446, "NA")</f>
      </c>
      <c r="D180" s="15"/>
      <c r="E180" s="13">
        <v>22178.209999999999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21868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21539.150000000001</v>
      </c>
      <c r="R180" s="14">
        <f>IFERROR(Q180/Q446, "NA")</f>
      </c>
      <c r="S180" s="15"/>
      <c r="T180" s="13">
        <v>22178.209999999999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21868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4.7300000000000004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13.99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4.7300000000000004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13.99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863</v>
      </c>
      <c r="C184" s="14">
        <f>IFERROR(B184/B446, "NA")</f>
      </c>
      <c r="D184" s="15"/>
      <c r="E184" s="13">
        <v>862.5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1150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863</v>
      </c>
      <c r="R184" s="14">
        <f>IFERROR(Q184/Q446, "NA")</f>
      </c>
      <c r="S184" s="15"/>
      <c r="T184" s="13">
        <v>862.5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1150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3828.96</v>
      </c>
      <c r="C186" s="14">
        <f>IFERROR(B186/B446, "NA")</f>
      </c>
      <c r="D186" s="15"/>
      <c r="E186" s="13">
        <v>3488.1399999999999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3375.8899999999999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3828.96</v>
      </c>
      <c r="R186" s="14">
        <f>IFERROR(Q186/Q446, "NA")</f>
      </c>
      <c r="S186" s="15"/>
      <c r="T186" s="13">
        <v>3488.1399999999999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3375.8899999999999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250.16</v>
      </c>
      <c r="C194" s="14">
        <f>IFERROR(B194/B446, "NA")</f>
      </c>
      <c r="D194" s="15"/>
      <c r="E194" s="13">
        <v>264.94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250.16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250.16</v>
      </c>
      <c r="R194" s="14">
        <f>IFERROR(Q194/Q446, "NA")</f>
      </c>
      <c r="S194" s="15"/>
      <c r="T194" s="13">
        <v>264.94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250.16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239.37</v>
      </c>
      <c r="C195" s="14">
        <f>IFERROR(B195/B446, "NA")</f>
      </c>
      <c r="D195" s="15"/>
      <c r="E195" s="13">
        <v>426.5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381.85000000000002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239.37</v>
      </c>
      <c r="R195" s="14">
        <f>IFERROR(Q195/Q446, "NA")</f>
      </c>
      <c r="S195" s="15"/>
      <c r="T195" s="13">
        <v>426.5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381.85000000000002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2010.0599999999999</v>
      </c>
      <c r="C202" s="14">
        <f>IFERROR(B202/B446, "NA")</f>
      </c>
      <c r="D202" s="15"/>
      <c r="E202" s="13">
        <v>1279.51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1089.9300000000001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2010.0599999999999</v>
      </c>
      <c r="R202" s="14">
        <f>IFERROR(Q202/Q446, "NA")</f>
      </c>
      <c r="S202" s="15"/>
      <c r="T202" s="13">
        <v>1279.51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1089.9300000000001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844.22000000000003</v>
      </c>
      <c r="C203" s="14">
        <f>IFERROR(B203/B446, "NA")</f>
      </c>
      <c r="D203" s="15"/>
      <c r="E203" s="13">
        <v>853.00999999999999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1136.79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844.22000000000003</v>
      </c>
      <c r="R203" s="14">
        <f>IFERROR(Q203/Q446, "NA")</f>
      </c>
      <c r="S203" s="15"/>
      <c r="T203" s="13">
        <v>853.00999999999999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1136.79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24.18</v>
      </c>
      <c r="C204" s="14">
        <f>IFERROR(B204/B446, "NA")</f>
      </c>
      <c r="D204" s="15"/>
      <c r="E204" s="13">
        <v>284.33999999999997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62.030000000000001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24.18</v>
      </c>
      <c r="R204" s="14">
        <f>IFERROR(Q204/Q446, "NA")</f>
      </c>
      <c r="S204" s="15"/>
      <c r="T204" s="13">
        <v>284.33999999999997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62.030000000000001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607.88</v>
      </c>
      <c r="C205" s="14">
        <f>IFERROR(B205/B446, "NA")</f>
      </c>
      <c r="D205" s="15"/>
      <c r="E205" s="13">
        <v>426.5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698.20000000000005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607.88</v>
      </c>
      <c r="R205" s="14">
        <f>IFERROR(Q205/Q446, "NA")</f>
      </c>
      <c r="S205" s="15"/>
      <c r="T205" s="13">
        <v>426.5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698.20000000000005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222.80000000000001</v>
      </c>
      <c r="C206" s="14">
        <f>IFERROR(B206/B446, "NA")</f>
      </c>
      <c r="D206" s="15"/>
      <c r="E206" s="13">
        <v>142.16999999999999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222.80000000000001</v>
      </c>
      <c r="R206" s="14">
        <f>IFERROR(Q206/Q446, "NA")</f>
      </c>
      <c r="S206" s="15"/>
      <c r="T206" s="13">
        <v>142.16999999999999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99.599999999999994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40.82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204.93000000000001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40.82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204.93000000000001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5402.3900000000003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5402.3900000000003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2393.1300000000001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4746.7399999999998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2393.1300000000001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4746.7399999999998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719.66999999999996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719.66999999999996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t="16.5" customHeight="1">
      <c t="s" r="A216" s="18">
        <v>196</v>
      </c>
      <c r="B216" s="13">
        <v>100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100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2047.77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3124.8299999999999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2047.77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3124.8299999999999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91.670000000000002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107.16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91.670000000000002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107.16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3127.6999999999998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3127.6999999999998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333.70999999999998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333.70999999999998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t="16.5" customHeight="1">
      <c t="s" r="A233" s="12">
        <v>212</v>
      </c>
      <c r="B233" s="13">
        <v>217.78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217.78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2655.7800000000002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2506.9200000000001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2655.7800000000002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2506.9200000000001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16.390000000000001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16.390000000000001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12084.280000000001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12084.280000000001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2718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2296.3600000000001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2718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2296.3600000000001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4321.2200000000003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5749.5799999999999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4321.2200000000003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5749.5799999999999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317.63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317.63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225.06999999999999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262.47000000000003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225.06999999999999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262.47000000000003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202.94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191.81999999999999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202.94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191.81999999999999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3118.0100000000002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2681.23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3118.0100000000002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2681.23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1883.6500000000001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1442.24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1883.6500000000001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1442.24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3281.29</v>
      </c>
      <c r="C266" s="14">
        <f>IFERROR(B266/B446, "NA")</f>
      </c>
      <c r="D266" s="15"/>
      <c r="E266" s="13">
        <v>3412.0300000000002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2904.6900000000001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3281.29</v>
      </c>
      <c r="R266" s="14">
        <f>IFERROR(Q266/Q446, "NA")</f>
      </c>
      <c r="S266" s="15"/>
      <c r="T266" s="13">
        <v>3412.0300000000002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2904.6900000000001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241.5</v>
      </c>
      <c r="C271" s="14">
        <f>IFERROR(B271/B446, "NA")</f>
      </c>
      <c r="D271" s="15"/>
      <c r="E271" s="13">
        <v>236.63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229.69999999999999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241.5</v>
      </c>
      <c r="R271" s="14">
        <f>IFERROR(Q271/Q446, "NA")</f>
      </c>
      <c r="S271" s="15"/>
      <c r="T271" s="13">
        <v>236.63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229.69999999999999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1068.3</v>
      </c>
      <c r="C272" s="14">
        <f>IFERROR(B272/B446, "NA")</f>
      </c>
      <c r="D272" s="15"/>
      <c r="E272" s="13">
        <v>1068.3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852.79999999999995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1068.3</v>
      </c>
      <c r="R272" s="14">
        <f>IFERROR(Q272/Q446, "NA")</f>
      </c>
      <c r="S272" s="15"/>
      <c r="T272" s="13">
        <v>1068.3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852.79999999999995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t="16.5" customHeight="1">
      <c t="s" r="A273" s="12">
        <v>248</v>
      </c>
      <c r="B273" s="13">
        <v>199.27000000000001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199.27000000000001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145.75</v>
      </c>
      <c r="C289" s="14">
        <f>IFERROR(B289/B446, "NA")</f>
      </c>
      <c r="D289" s="15"/>
      <c r="E289" s="13">
        <v>146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144.65000000000001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145.75</v>
      </c>
      <c r="R289" s="14">
        <f>IFERROR(Q289/Q446, "NA")</f>
      </c>
      <c r="S289" s="15"/>
      <c r="T289" s="13">
        <v>146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144.65000000000001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247.30000000000001</v>
      </c>
      <c r="C290" s="14">
        <f>IFERROR(B290/B446, "NA")</f>
      </c>
      <c r="D290" s="15"/>
      <c r="E290" s="13">
        <v>247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218.06999999999999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247.30000000000001</v>
      </c>
      <c r="R290" s="14">
        <f>IFERROR(Q290/Q446, "NA")</f>
      </c>
      <c r="S290" s="15"/>
      <c r="T290" s="13">
        <v>247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218.06999999999999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958.40999999999997</v>
      </c>
      <c r="C291" s="14">
        <f>IFERROR(B291/B446, "NA")</f>
      </c>
      <c r="D291" s="15"/>
      <c r="E291" s="13">
        <v>853.00999999999999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1265.3800000000001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958.40999999999997</v>
      </c>
      <c r="R291" s="14">
        <f>IFERROR(Q291/Q446, "NA")</f>
      </c>
      <c r="S291" s="15"/>
      <c r="T291" s="13">
        <v>853.00999999999999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1265.3800000000001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2494.6799999999998</v>
      </c>
      <c r="C292" s="14">
        <f>IFERROR(B292/B446, "NA")</f>
      </c>
      <c r="D292" s="15"/>
      <c r="E292" s="13">
        <v>710.84000000000003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2918.9400000000001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2494.6799999999998</v>
      </c>
      <c r="R292" s="14">
        <f>IFERROR(Q292/Q446, "NA")</f>
      </c>
      <c r="S292" s="15"/>
      <c r="T292" s="13">
        <v>710.84000000000003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2918.9400000000001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394.79000000000002</v>
      </c>
      <c r="C293" s="14">
        <f>IFERROR(B293/B446, "NA")</f>
      </c>
      <c r="D293" s="15"/>
      <c r="E293" s="13">
        <v>142.16999999999999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394.79000000000002</v>
      </c>
      <c r="R293" s="14">
        <f>IFERROR(Q293/Q446, "NA")</f>
      </c>
      <c r="S293" s="15"/>
      <c r="T293" s="13">
        <v>142.16999999999999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213.25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213.25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311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299.99000000000001</v>
      </c>
      <c r="R295" s="14">
        <f>IFERROR(Q295/Q446, "NA")</f>
      </c>
      <c r="S295" s="15"/>
      <c r="T295" s="13">
        <v>311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324.99000000000001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525.57000000000005</v>
      </c>
      <c r="C300" s="14">
        <f>IFERROR(B300/B446, "NA")</f>
      </c>
      <c r="D300" s="15"/>
      <c r="E300" s="13">
        <v>517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907.11000000000001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525.57000000000005</v>
      </c>
      <c r="R300" s="14">
        <f>IFERROR(Q300/Q446, "NA")</f>
      </c>
      <c r="S300" s="15"/>
      <c r="T300" s="13">
        <v>517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907.11000000000001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0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284.83999999999997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171.31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284.83999999999997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171.31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228</v>
      </c>
      <c r="C314" s="14">
        <f>IFERROR(B314/B446, "NA")</f>
      </c>
      <c r="D314" s="15"/>
      <c r="E314" s="13">
        <v>250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248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228</v>
      </c>
      <c r="R314" s="14">
        <f>IFERROR(Q314/Q446, "NA")</f>
      </c>
      <c r="S314" s="15"/>
      <c r="T314" s="13">
        <v>250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248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idden="1" ht="16.5" customHeight="1">
      <c t="s" r="A316" s="12">
        <v>288</v>
      </c>
      <c r="B316" s="13">
        <v>0</v>
      </c>
      <c r="C316" s="14">
        <f>IFERROR(B316/B446, "NA")</f>
      </c>
      <c r="D316" s="15"/>
      <c r="E316" s="13">
        <v>0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0</v>
      </c>
      <c r="R316" s="14">
        <f>IFERROR(Q316/Q446, "NA")</f>
      </c>
      <c r="S316" s="15"/>
      <c r="T316" s="13">
        <v>0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323.94</v>
      </c>
      <c r="C320" s="14">
        <f>IFERROR(B320/B446, "NA")</f>
      </c>
      <c r="D320" s="15"/>
      <c r="E320" s="13">
        <v>314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315.81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323.94</v>
      </c>
      <c r="R320" s="14">
        <f>IFERROR(Q320/Q446, "NA")</f>
      </c>
      <c r="S320" s="15"/>
      <c r="T320" s="13">
        <v>314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315.81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1088.6600000000001</v>
      </c>
      <c r="C321" s="14">
        <f>IFERROR(B321/B446, "NA")</f>
      </c>
      <c r="D321" s="15"/>
      <c r="E321" s="13">
        <v>1101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968.34000000000003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1088.6600000000001</v>
      </c>
      <c r="R321" s="14">
        <f>IFERROR(Q321/Q446, "NA")</f>
      </c>
      <c r="S321" s="15"/>
      <c r="T321" s="13">
        <v>1101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968.34000000000003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1006.21</v>
      </c>
      <c r="C322" s="14">
        <f>IFERROR(B322/B446, "NA")</f>
      </c>
      <c r="D322" s="15"/>
      <c r="E322" s="13">
        <v>1279.51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1992.47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1006.21</v>
      </c>
      <c r="R322" s="14">
        <f>IFERROR(Q322/Q446, "NA")</f>
      </c>
      <c r="S322" s="15"/>
      <c r="T322" s="13">
        <v>1279.51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1992.47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237.44999999999999</v>
      </c>
      <c r="C323" s="14">
        <f>IFERROR(B323/B446, "NA")</f>
      </c>
      <c r="D323" s="15"/>
      <c r="E323" s="13">
        <v>191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159.94999999999999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237.44999999999999</v>
      </c>
      <c r="R323" s="14">
        <f>IFERROR(Q323/Q446, "NA")</f>
      </c>
      <c r="S323" s="15"/>
      <c r="T323" s="13">
        <v>191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159.94999999999999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10440.49</v>
      </c>
      <c r="C330" s="14">
        <f>IFERROR(B330/B446, "NA")</f>
      </c>
      <c r="D330" s="15"/>
      <c r="E330" s="13">
        <v>10440.49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10136.4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10440.49</v>
      </c>
      <c r="R330" s="14">
        <f>IFERROR(Q330/Q446, "NA")</f>
      </c>
      <c r="S330" s="15"/>
      <c r="T330" s="13">
        <v>10440.49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10136.4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728.64999999999998</v>
      </c>
      <c r="C331" s="14">
        <f>IFERROR(B331/B446, "NA")</f>
      </c>
      <c r="D331" s="15"/>
      <c r="E331" s="13">
        <v>728.64999999999998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728.64999999999998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728.64999999999998</v>
      </c>
      <c r="R331" s="14">
        <f>IFERROR(Q331/Q446, "NA")</f>
      </c>
      <c r="S331" s="15"/>
      <c r="T331" s="13">
        <v>728.64999999999998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728.64999999999998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15.16</v>
      </c>
      <c r="C333" s="14">
        <f>IFERROR(B333/B446, "NA")</f>
      </c>
      <c r="D333" s="15"/>
      <c r="E333" s="13">
        <v>133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15.16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15.16</v>
      </c>
      <c r="R333" s="14">
        <f>IFERROR(Q333/Q446, "NA")</f>
      </c>
      <c r="S333" s="15"/>
      <c r="T333" s="13">
        <v>133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15.16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964.13999999999999</v>
      </c>
      <c r="C334" s="14">
        <f>IFERROR(B334/B446, "NA")</f>
      </c>
      <c r="D334" s="15"/>
      <c r="E334" s="13">
        <v>964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964.13999999999999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964.13999999999999</v>
      </c>
      <c r="R334" s="14">
        <f>IFERROR(Q334/Q446, "NA")</f>
      </c>
      <c r="S334" s="15"/>
      <c r="T334" s="13">
        <v>964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964.13999999999999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-803.91999999999996</v>
      </c>
      <c r="C335" s="14">
        <f>IFERROR(B335/B446, "NA")</f>
      </c>
      <c r="D335" s="15"/>
      <c r="E335" s="13">
        <v>-803.91999999999996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-780.5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-803.91999999999996</v>
      </c>
      <c r="R335" s="14">
        <f>IFERROR(Q335/Q446, "NA")</f>
      </c>
      <c r="S335" s="15"/>
      <c r="T335" s="13">
        <v>-803.91999999999996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-780.5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213.25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1654.8099999999999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213.25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1654.8099999999999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3925.7199999999998</v>
      </c>
      <c r="C339" s="14">
        <f>IFERROR(B339/B446, "NA")</f>
      </c>
      <c r="D339" s="15"/>
      <c r="E339" s="13">
        <v>2843.3600000000001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4773.3699999999999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3925.7199999999998</v>
      </c>
      <c r="R339" s="14">
        <f>IFERROR(Q339/Q446, "NA")</f>
      </c>
      <c r="S339" s="15"/>
      <c r="T339" s="13">
        <v>2843.3600000000001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4773.3699999999999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331.06999999999999</v>
      </c>
      <c r="C340" s="14">
        <f>IFERROR(B340/B446, "NA")</f>
      </c>
      <c r="D340" s="15"/>
      <c r="E340" s="13">
        <v>284.33999999999997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301.04000000000002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331.06999999999999</v>
      </c>
      <c r="R340" s="14">
        <f>IFERROR(Q340/Q446, "NA")</f>
      </c>
      <c r="S340" s="15"/>
      <c r="T340" s="13">
        <v>284.33999999999997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301.04000000000002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1242.1400000000001</v>
      </c>
      <c r="C341" s="14">
        <f>IFERROR(B341/B446, "NA")</f>
      </c>
      <c r="D341" s="15"/>
      <c r="E341" s="13">
        <v>568.66999999999996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561.38999999999999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1242.1400000000001</v>
      </c>
      <c r="R341" s="14">
        <f>IFERROR(Q341/Q446, "NA")</f>
      </c>
      <c r="S341" s="15"/>
      <c r="T341" s="13">
        <v>568.66999999999996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561.38999999999999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380.17000000000002</v>
      </c>
      <c r="C342" s="14">
        <f>IFERROR(B342/B446, "NA")</f>
      </c>
      <c r="D342" s="15"/>
      <c r="E342" s="13">
        <v>284.33999999999997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380.17000000000002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380.17000000000002</v>
      </c>
      <c r="R342" s="14">
        <f>IFERROR(Q342/Q446, "NA")</f>
      </c>
      <c r="S342" s="15"/>
      <c r="T342" s="13">
        <v>284.33999999999997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380.17000000000002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3082.4400000000001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3082.4400000000001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4119.5200000000004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2999.4299999999998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4119.5200000000004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2999.4299999999998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idden="1" ht="16.5" customHeight="1">
      <c t="s" r="A417" s="12">
        <v>382</v>
      </c>
      <c r="B417" s="13">
        <v>0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0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0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0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-21.719999999999999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3.8199999999999998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-21.719999999999999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3.8199999999999998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-20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-20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131045.16</v>
      </c>
      <c r="C446" s="33"/>
      <c r="D446" s="15"/>
      <c r="E446" s="13">
        <v>142168.03</v>
      </c>
      <c r="F446" s="33"/>
      <c r="G446" s="15"/>
      <c r="H446" s="16">
        <f>IFERROR(B446-E446, "NA")</f>
      </c>
      <c r="I446" s="33"/>
      <c r="J446" s="15"/>
      <c r="K446" s="13">
        <v>137593.06</v>
      </c>
      <c r="L446" s="33"/>
      <c r="M446" s="15"/>
      <c r="N446" s="16">
        <f>IFERROR(B446-K446, "NA")</f>
      </c>
      <c r="O446" s="33"/>
      <c r="P446" s="15"/>
      <c r="Q446" s="13">
        <v>131045.16</v>
      </c>
      <c r="R446" s="33"/>
      <c r="S446" s="15"/>
      <c r="T446" s="13">
        <v>142168.03</v>
      </c>
      <c r="U446" s="33"/>
      <c r="V446" s="15"/>
      <c r="W446" s="16">
        <f>IFERROR(Q446-T446, "NA")</f>
      </c>
      <c r="X446" s="33"/>
      <c r="Y446" s="15"/>
      <c r="Z446" s="13">
        <v>137593.06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5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416</v>
      </c>
      <c t="s" r="B3" s="3">
        <v>416</v>
      </c>
      <c t="s" r="C3" s="3">
        <v>416</v>
      </c>
      <c t="s" r="D3" s="3">
        <v>416</v>
      </c>
      <c t="s" r="E3" s="3">
        <v>416</v>
      </c>
      <c t="s" r="F3" s="3">
        <v>416</v>
      </c>
      <c t="s" r="G3" s="3">
        <v>416</v>
      </c>
      <c t="s" r="H3" s="3">
        <v>416</v>
      </c>
      <c t="s" r="I3" s="3">
        <v>416</v>
      </c>
      <c t="s" r="J3" s="3">
        <v>416</v>
      </c>
      <c t="s" r="K3" s="3">
        <v>416</v>
      </c>
      <c t="s" r="L3" s="3">
        <v>416</v>
      </c>
      <c t="s" r="M3" s="3">
        <v>416</v>
      </c>
      <c t="s" r="N3" s="3">
        <v>416</v>
      </c>
      <c t="s" r="O3" s="3">
        <v>416</v>
      </c>
      <c t="s" r="P3" s="3">
        <v>416</v>
      </c>
      <c t="s" r="Q3" s="3">
        <v>416</v>
      </c>
      <c t="s" r="R3" s="3">
        <v>416</v>
      </c>
      <c t="s" r="S3" s="3">
        <v>416</v>
      </c>
      <c t="s" r="T3" s="3">
        <v>416</v>
      </c>
      <c t="s" r="U3" s="3">
        <v>416</v>
      </c>
      <c t="s" r="V3" s="3">
        <v>416</v>
      </c>
      <c t="s" r="W3" s="3">
        <v>416</v>
      </c>
      <c t="s" r="X3" s="3">
        <v>416</v>
      </c>
      <c t="s" r="Y3" s="3">
        <v>416</v>
      </c>
      <c t="s" r="Z3" s="3">
        <v>416</v>
      </c>
      <c t="s" r="AA3" s="3">
        <v>416</v>
      </c>
      <c t="s" r="AB3" s="3">
        <v>416</v>
      </c>
      <c t="s" r="AC3" s="3">
        <v>416</v>
      </c>
      <c t="s" r="AD3" s="3">
        <v>416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29051.18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29051.18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29664.599999999999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28219.490000000002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29664.599999999999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28219.490000000002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2569.5999999999999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2368.6500000000001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2569.5999999999999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2368.6500000000001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50.5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32.5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50.5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32.5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35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155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35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155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36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15.5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36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15.5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1.1000000000000001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1.1000000000000001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6273.96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6273.96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2358.6300000000001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4166.9499999999998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2358.6300000000001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4166.9499999999998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1918.7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1918.7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1112.7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696.27999999999997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1112.7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696.27999999999997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47.789999999999999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47.789999999999999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713.74000000000001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713.74000000000001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790.67999999999995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802.65999999999997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790.67999999999995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802.65999999999997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16503.259999999998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16503.259999999998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11277.98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8366.3400000000001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11277.98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8366.3400000000001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814.74000000000001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1109.9100000000001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814.74000000000001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1109.9100000000001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7876.8900000000003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13071.219999999999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7876.8900000000003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13071.219999999999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173.84999999999999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173.84999999999999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137.65000000000001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621.64999999999998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137.65000000000001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621.64999999999998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13434.469999999999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13434.469999999999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2701.4099999999999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3272.0999999999999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2701.4099999999999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3272.0999999999999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9823.8600000000006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4702.3299999999999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9823.8600000000006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4702.3299999999999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t="16.5" customHeight="1">
      <c t="s" r="A55" s="23">
        <v>53</v>
      </c>
      <c r="B55" s="13">
        <v>266.35000000000002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266.35000000000002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5523.8199999999997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5523.8199999999997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1924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2110.1999999999998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1924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2110.1999999999998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-12.25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-12.25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1125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1125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1022.9299999999999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1022.9299999999999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290.19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91.609999999999999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290.19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91.609999999999999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988.89999999999998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650.17999999999995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988.89999999999998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650.17999999999995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t="16.5" customHeight="1">
      <c t="s" r="A83" s="18">
        <v>79</v>
      </c>
      <c r="B83" s="13">
        <v>121.45999999999999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121.45999999999999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-12.949999999999999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6.3099999999999996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-12.949999999999999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6.3099999999999996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-101.09999999999999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-101.09999999999999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-3614.3499999999999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-3614.3499999999999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-1554.04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-1709.2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-1554.04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-1709.2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-1446.1099999999999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-1178.2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-1446.1099999999999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-1178.2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-74.640000000000001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-691.5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-74.640000000000001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-691.5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-980.34000000000003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-752.39999999999998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-980.34000000000003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-752.39999999999998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idden="1" ht="16.5" customHeight="1">
      <c t="s" r="A103" s="18">
        <v>98</v>
      </c>
      <c r="B103" s="13">
        <v>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-127.44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-398.30000000000001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-127.44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-398.30000000000001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idden="1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0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0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14798.370000000001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14798.370000000001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3291.6500000000001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3831.6199999999999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3291.6500000000001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3831.6199999999999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1925.0799999999999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2017.8299999999999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1925.0799999999999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2017.8299999999999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1937.7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2422.54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1937.7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2422.54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1676.01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1583.78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1676.01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1583.78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834.47000000000003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543.71000000000004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834.47000000000003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543.71000000000004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564.90999999999997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511.94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564.90999999999997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511.94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427.69999999999999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427.69999999999999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591.63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449.82999999999998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591.63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449.82999999999998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5113.4200000000001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3773.1199999999999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5113.4200000000001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3773.1199999999999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20.079999999999998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20.079999999999998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818.34000000000003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818.34000000000003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939.74000000000001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693.67999999999995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939.74000000000001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693.67999999999995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19.41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7.9900000000000002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19.41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7.9900000000000002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65.379999999999995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69.25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65.379999999999995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69.25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13.960000000000001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4.7699999999999996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13.960000000000001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4.7699999999999996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2796.0100000000002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2796.0100000000002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2265.4099999999999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2259.9699999999998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2265.4099999999999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2259.9699999999998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643.59000000000003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473.20999999999998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643.59000000000003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473.20999999999998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194.91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260.69999999999999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194.91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260.69999999999999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252.58000000000001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266.56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252.58000000000001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266.56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30.309999999999999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29.800000000000001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30.309999999999999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29.800000000000001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-1028.24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-2307.1799999999998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-1028.24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-2307.1799999999998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5640</v>
      </c>
      <c r="C178" s="14">
        <f>IFERROR(B178/B446, "NA")</f>
      </c>
      <c r="D178" s="15"/>
      <c r="E178" s="13">
        <v>5640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5640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5640</v>
      </c>
      <c r="R178" s="14">
        <f>IFERROR(Q178/Q446, "NA")</f>
      </c>
      <c r="S178" s="15"/>
      <c r="T178" s="13">
        <v>5640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5640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13459.83</v>
      </c>
      <c r="C180" s="14">
        <f>IFERROR(B180/B446, "NA")</f>
      </c>
      <c r="D180" s="15"/>
      <c r="E180" s="13">
        <v>14593.790000000001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14187.559999999999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13459.83</v>
      </c>
      <c r="R180" s="14">
        <f>IFERROR(Q180/Q446, "NA")</f>
      </c>
      <c r="S180" s="15"/>
      <c r="T180" s="13">
        <v>14593.790000000001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14187.559999999999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idden="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293</v>
      </c>
      <c r="C184" s="14">
        <f>IFERROR(B184/B446, "NA")</f>
      </c>
      <c r="D184" s="15"/>
      <c r="E184" s="13">
        <v>292.5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293</v>
      </c>
      <c r="R184" s="14">
        <f>IFERROR(Q184/Q446, "NA")</f>
      </c>
      <c r="S184" s="15"/>
      <c r="T184" s="13">
        <v>292.5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1783.53</v>
      </c>
      <c r="C186" s="14">
        <f>IFERROR(B186/B446, "NA")</f>
      </c>
      <c r="D186" s="15"/>
      <c r="E186" s="13">
        <v>1890.6400000000001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1822.3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1783.53</v>
      </c>
      <c r="R186" s="14">
        <f>IFERROR(Q186/Q446, "NA")</f>
      </c>
      <c r="S186" s="15"/>
      <c r="T186" s="13">
        <v>1890.6400000000001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1822.3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248</v>
      </c>
      <c r="C194" s="14">
        <f>IFERROR(B194/B446, "NA")</f>
      </c>
      <c r="D194" s="15"/>
      <c r="E194" s="13">
        <v>164.21000000000001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248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248</v>
      </c>
      <c r="R194" s="14">
        <f>IFERROR(Q194/Q446, "NA")</f>
      </c>
      <c r="S194" s="15"/>
      <c r="T194" s="13">
        <v>164.21000000000001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248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idden="1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0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0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0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0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771.67999999999995</v>
      </c>
      <c r="C202" s="14">
        <f>IFERROR(B202/B446, "NA")</f>
      </c>
      <c r="D202" s="15"/>
      <c r="E202" s="13">
        <v>613.75999999999999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820.17999999999995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771.67999999999995</v>
      </c>
      <c r="R202" s="14">
        <f>IFERROR(Q202/Q446, "NA")</f>
      </c>
      <c r="S202" s="15"/>
      <c r="T202" s="13">
        <v>613.75999999999999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820.17999999999995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639.45000000000005</v>
      </c>
      <c r="C203" s="14">
        <f>IFERROR(B203/B446, "NA")</f>
      </c>
      <c r="D203" s="15"/>
      <c r="E203" s="13">
        <v>409.17000000000002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396.45999999999998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639.45000000000005</v>
      </c>
      <c r="R203" s="14">
        <f>IFERROR(Q203/Q446, "NA")</f>
      </c>
      <c r="S203" s="15"/>
      <c r="T203" s="13">
        <v>409.17000000000002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396.45999999999998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22.800000000000001</v>
      </c>
      <c r="C204" s="14">
        <f>IFERROR(B204/B446, "NA")</f>
      </c>
      <c r="D204" s="15"/>
      <c r="E204" s="13">
        <v>136.38999999999999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8.4299999999999997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22.800000000000001</v>
      </c>
      <c r="R204" s="14">
        <f>IFERROR(Q204/Q446, "NA")</f>
      </c>
      <c r="S204" s="15"/>
      <c r="T204" s="13">
        <v>136.38999999999999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8.4299999999999997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454.51999999999998</v>
      </c>
      <c r="C205" s="14">
        <f>IFERROR(B205/B446, "NA")</f>
      </c>
      <c r="D205" s="15"/>
      <c r="E205" s="13">
        <v>204.59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344.01999999999998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454.51999999999998</v>
      </c>
      <c r="R205" s="14">
        <f>IFERROR(Q205/Q446, "NA")</f>
      </c>
      <c r="S205" s="15"/>
      <c r="T205" s="13">
        <v>204.59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344.01999999999998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65.680000000000007</v>
      </c>
      <c r="C206" s="14">
        <f>IFERROR(B206/B446, "NA")</f>
      </c>
      <c r="D206" s="15"/>
      <c r="E206" s="13">
        <v>68.200000000000003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65.680000000000007</v>
      </c>
      <c r="R206" s="14">
        <f>IFERROR(Q206/Q446, "NA")</f>
      </c>
      <c r="S206" s="15"/>
      <c r="T206" s="13">
        <v>68.200000000000003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145.06999999999999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99.599999999999994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145.06999999999999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6.8099999999999996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109.76000000000001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6.8099999999999996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109.76000000000001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2796.0100000000002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2796.0100000000002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1559.51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2527.1100000000001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1559.51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2527.1100000000001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502.73000000000002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502.73000000000002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854.30999999999995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2688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854.30999999999995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2688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0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0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1022.9299999999999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1022.9299999999999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217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184.25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217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184.25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1356.21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713.74000000000001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1356.21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713.74000000000001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2.98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2.98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4432.6899999999996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4432.6899999999996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1738.5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1036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1738.5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1036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1656.3800000000001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1072.78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1656.3800000000001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1072.78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555.33000000000004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396.63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555.33000000000004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396.63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141.5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312.30000000000001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141.5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312.30000000000001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236.28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239.86000000000001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236.28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239.86000000000001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1378.8399999999999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1457.2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1378.8399999999999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1457.2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t="16.5" customHeight="1">
      <c t="s" r="A251" s="18">
        <v>228</v>
      </c>
      <c r="B251" s="13">
        <v>33.289999999999999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36.969999999999999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33.289999999999999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36.969999999999999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1739.5999999999999</v>
      </c>
      <c r="C266" s="14">
        <f>IFERROR(B266/B446, "NA")</f>
      </c>
      <c r="D266" s="15"/>
      <c r="E266" s="13">
        <v>1636.6900000000001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1480.1900000000001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1739.5999999999999</v>
      </c>
      <c r="R266" s="14">
        <f>IFERROR(Q266/Q446, "NA")</f>
      </c>
      <c r="S266" s="15"/>
      <c r="T266" s="13">
        <v>1636.6900000000001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1480.1900000000001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307.92000000000002</v>
      </c>
      <c r="C271" s="14">
        <f>IFERROR(B271/B446, "NA")</f>
      </c>
      <c r="D271" s="15"/>
      <c r="E271" s="13">
        <v>354.13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342.25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307.92000000000002</v>
      </c>
      <c r="R271" s="14">
        <f>IFERROR(Q271/Q446, "NA")</f>
      </c>
      <c r="S271" s="15"/>
      <c r="T271" s="13">
        <v>354.13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342.25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795.90999999999997</v>
      </c>
      <c r="C272" s="14">
        <f>IFERROR(B272/B446, "NA")</f>
      </c>
      <c r="D272" s="15"/>
      <c r="E272" s="13">
        <v>905.40999999999997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952.74000000000001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795.90999999999997</v>
      </c>
      <c r="R272" s="14">
        <f>IFERROR(Q272/Q446, "NA")</f>
      </c>
      <c r="S272" s="15"/>
      <c r="T272" s="13">
        <v>905.40999999999997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952.74000000000001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137.5</v>
      </c>
      <c r="R289" s="14">
        <f>IFERROR(Q289/Q446, "NA")</f>
      </c>
      <c r="S289" s="15"/>
      <c r="T289" s="13">
        <v>138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137.5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247.84</v>
      </c>
      <c r="C290" s="14">
        <f>IFERROR(B290/B446, "NA")</f>
      </c>
      <c r="D290" s="15"/>
      <c r="E290" s="13">
        <v>234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217.97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247.84</v>
      </c>
      <c r="R290" s="14">
        <f>IFERROR(Q290/Q446, "NA")</f>
      </c>
      <c r="S290" s="15"/>
      <c r="T290" s="13">
        <v>234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217.97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1598.0799999999999</v>
      </c>
      <c r="C291" s="14">
        <f>IFERROR(B291/B446, "NA")</f>
      </c>
      <c r="D291" s="15"/>
      <c r="E291" s="13">
        <v>477.37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477.43000000000001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1598.0799999999999</v>
      </c>
      <c r="R291" s="14">
        <f>IFERROR(Q291/Q446, "NA")</f>
      </c>
      <c r="S291" s="15"/>
      <c r="T291" s="13">
        <v>477.37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477.43000000000001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1326.6600000000001</v>
      </c>
      <c r="C292" s="14">
        <f>IFERROR(B292/B446, "NA")</f>
      </c>
      <c r="D292" s="15"/>
      <c r="E292" s="13">
        <v>681.95000000000005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1744.79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1326.6600000000001</v>
      </c>
      <c r="R292" s="14">
        <f>IFERROR(Q292/Q446, "NA")</f>
      </c>
      <c r="S292" s="15"/>
      <c r="T292" s="13">
        <v>681.95000000000005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1744.79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136.38999999999999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136.38999999999999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136.38999999999999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136.38999999999999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380.48000000000002</v>
      </c>
      <c r="C295" s="14">
        <f>IFERROR(B295/B446, "NA")</f>
      </c>
      <c r="D295" s="15"/>
      <c r="E295" s="13">
        <v>365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380.48000000000002</v>
      </c>
      <c r="R295" s="14">
        <f>IFERROR(Q295/Q446, "NA")</f>
      </c>
      <c r="S295" s="15"/>
      <c r="T295" s="13">
        <v>365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324.99000000000001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159</v>
      </c>
      <c r="C300" s="14">
        <f>IFERROR(B300/B446, "NA")</f>
      </c>
      <c r="D300" s="15"/>
      <c r="E300" s="13">
        <v>159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0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159</v>
      </c>
      <c r="R300" s="14">
        <f>IFERROR(Q300/Q446, "NA")</f>
      </c>
      <c r="S300" s="15"/>
      <c r="T300" s="13">
        <v>159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0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128.94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128.94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21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0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21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0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15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0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15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0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408.06999999999999</v>
      </c>
      <c r="C316" s="14">
        <f>IFERROR(B316/B446, "NA")</f>
      </c>
      <c r="D316" s="15"/>
      <c r="E316" s="13">
        <v>272.77999999999997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455.51999999999998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408.06999999999999</v>
      </c>
      <c r="R316" s="14">
        <f>IFERROR(Q316/Q446, "NA")</f>
      </c>
      <c r="S316" s="15"/>
      <c r="T316" s="13">
        <v>272.77999999999997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455.51999999999998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414.57999999999998</v>
      </c>
      <c r="C319" s="14">
        <f>IFERROR(B319/B446, "NA")</f>
      </c>
      <c r="D319" s="15"/>
      <c r="E319" s="13">
        <v>415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414.57999999999998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414.57999999999998</v>
      </c>
      <c r="R319" s="14">
        <f>IFERROR(Q319/Q446, "NA")</f>
      </c>
      <c r="S319" s="15"/>
      <c r="T319" s="13">
        <v>415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414.57999999999998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318.56</v>
      </c>
      <c r="C320" s="14">
        <f>IFERROR(B320/B446, "NA")</f>
      </c>
      <c r="D320" s="15"/>
      <c r="E320" s="13">
        <v>309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249.13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318.56</v>
      </c>
      <c r="R320" s="14">
        <f>IFERROR(Q320/Q446, "NA")</f>
      </c>
      <c r="S320" s="15"/>
      <c r="T320" s="13">
        <v>309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249.13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1133.27</v>
      </c>
      <c r="C321" s="14">
        <f>IFERROR(B321/B446, "NA")</f>
      </c>
      <c r="D321" s="15"/>
      <c r="E321" s="13">
        <v>1133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1056.0699999999999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1133.27</v>
      </c>
      <c r="R321" s="14">
        <f>IFERROR(Q321/Q446, "NA")</f>
      </c>
      <c r="S321" s="15"/>
      <c r="T321" s="13">
        <v>1133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1056.0699999999999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1028.24</v>
      </c>
      <c r="C322" s="14">
        <f>IFERROR(B322/B446, "NA")</f>
      </c>
      <c r="D322" s="15"/>
      <c r="E322" s="13">
        <v>750.14999999999998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2307.1799999999998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1028.24</v>
      </c>
      <c r="R322" s="14">
        <f>IFERROR(Q322/Q446, "NA")</f>
      </c>
      <c r="S322" s="15"/>
      <c r="T322" s="13">
        <v>750.14999999999998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2307.1799999999998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646.87</v>
      </c>
      <c r="C323" s="14">
        <f>IFERROR(B323/B446, "NA")</f>
      </c>
      <c r="D323" s="15"/>
      <c r="E323" s="13">
        <v>354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299.56999999999999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646.87</v>
      </c>
      <c r="R323" s="14">
        <f>IFERROR(Q323/Q446, "NA")</f>
      </c>
      <c r="S323" s="15"/>
      <c r="T323" s="13">
        <v>354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299.56999999999999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11441.92</v>
      </c>
      <c r="C330" s="14">
        <f>IFERROR(B330/B446, "NA")</f>
      </c>
      <c r="D330" s="15"/>
      <c r="E330" s="13">
        <v>11441.92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5393.1300000000001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11441.92</v>
      </c>
      <c r="R330" s="14">
        <f>IFERROR(Q330/Q446, "NA")</f>
      </c>
      <c r="S330" s="15"/>
      <c r="T330" s="13">
        <v>11441.92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5393.1300000000001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1183.3699999999999</v>
      </c>
      <c r="C331" s="14">
        <f>IFERROR(B331/B446, "NA")</f>
      </c>
      <c r="D331" s="15"/>
      <c r="E331" s="13">
        <v>1183.3699999999999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1026.4300000000001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1183.3699999999999</v>
      </c>
      <c r="R331" s="14">
        <f>IFERROR(Q331/Q446, "NA")</f>
      </c>
      <c r="S331" s="15"/>
      <c r="T331" s="13">
        <v>1183.3699999999999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1026.4300000000001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781.75999999999999</v>
      </c>
      <c r="C334" s="14">
        <f>IFERROR(B334/B446, "NA")</f>
      </c>
      <c r="D334" s="15"/>
      <c r="E334" s="13">
        <v>860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860.15999999999997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781.75999999999999</v>
      </c>
      <c r="R334" s="14">
        <f>IFERROR(Q334/Q446, "NA")</f>
      </c>
      <c r="S334" s="15"/>
      <c r="T334" s="13">
        <v>860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860.15999999999997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-881.02999999999997</v>
      </c>
      <c r="C335" s="14">
        <f>IFERROR(B335/B446, "NA")</f>
      </c>
      <c r="D335" s="15"/>
      <c r="E335" s="13">
        <v>-881.02999999999997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-415.26999999999998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-881.02999999999997</v>
      </c>
      <c r="R335" s="14">
        <f>IFERROR(Q335/Q446, "NA")</f>
      </c>
      <c r="S335" s="15"/>
      <c r="T335" s="13">
        <v>-881.02999999999997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-415.26999999999998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1001.16</v>
      </c>
      <c r="C339" s="14">
        <f>IFERROR(B339/B446, "NA")</f>
      </c>
      <c r="D339" s="15"/>
      <c r="E339" s="13">
        <v>818.34000000000003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868.22000000000003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1001.16</v>
      </c>
      <c r="R339" s="14">
        <f>IFERROR(Q339/Q446, "NA")</f>
      </c>
      <c r="S339" s="15"/>
      <c r="T339" s="13">
        <v>818.34000000000003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868.22000000000003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723.00999999999999</v>
      </c>
      <c r="C340" s="14">
        <f>IFERROR(B340/B446, "NA")</f>
      </c>
      <c r="D340" s="15"/>
      <c r="E340" s="13">
        <v>340.98000000000002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911.26999999999998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723.00999999999999</v>
      </c>
      <c r="R340" s="14">
        <f>IFERROR(Q340/Q446, "NA")</f>
      </c>
      <c r="S340" s="15"/>
      <c r="T340" s="13">
        <v>340.98000000000002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911.26999999999998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347.81999999999999</v>
      </c>
      <c r="C341" s="14">
        <f>IFERROR(B341/B446, "NA")</f>
      </c>
      <c r="D341" s="15"/>
      <c r="E341" s="13">
        <v>272.77999999999997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450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347.81999999999999</v>
      </c>
      <c r="R341" s="14">
        <f>IFERROR(Q341/Q446, "NA")</f>
      </c>
      <c r="S341" s="15"/>
      <c r="T341" s="13">
        <v>272.77999999999997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450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idden="1" ht="16.5" customHeight="1">
      <c t="s" r="A342" s="18">
        <v>312</v>
      </c>
      <c r="B342" s="13">
        <v>0</v>
      </c>
      <c r="C342" s="14">
        <f>IFERROR(B342/B446, "NA")</f>
      </c>
      <c r="D342" s="15"/>
      <c r="E342" s="13">
        <v>0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0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0</v>
      </c>
      <c r="R342" s="14">
        <f>IFERROR(Q342/Q446, "NA")</f>
      </c>
      <c r="S342" s="15"/>
      <c r="T342" s="13">
        <v>0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0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3107.2800000000002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3107.2800000000002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3333.25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3009.3800000000001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3333.25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3009.3800000000001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-26.609999999999999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-28.66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-26.609999999999999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-28.66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97.780000000000001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14.25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97.780000000000001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14.25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72511.350000000006</v>
      </c>
      <c r="C446" s="33"/>
      <c r="D446" s="15"/>
      <c r="E446" s="13">
        <v>68195.270000000004</v>
      </c>
      <c r="F446" s="33"/>
      <c r="G446" s="15"/>
      <c r="H446" s="16">
        <f>IFERROR(B446-E446, "NA")</f>
      </c>
      <c r="I446" s="33"/>
      <c r="J446" s="15"/>
      <c r="K446" s="13">
        <v>65730.380000000005</v>
      </c>
      <c r="L446" s="33"/>
      <c r="M446" s="15"/>
      <c r="N446" s="16">
        <f>IFERROR(B446-K446, "NA")</f>
      </c>
      <c r="O446" s="33"/>
      <c r="P446" s="15"/>
      <c r="Q446" s="13">
        <v>72511.350000000006</v>
      </c>
      <c r="R446" s="33"/>
      <c r="S446" s="15"/>
      <c r="T446" s="13">
        <v>68195.270000000004</v>
      </c>
      <c r="U446" s="33"/>
      <c r="V446" s="15"/>
      <c r="W446" s="16">
        <f>IFERROR(Q446-T446, "NA")</f>
      </c>
      <c r="X446" s="33"/>
      <c r="Y446" s="15"/>
      <c r="Z446" s="13">
        <v>65730.380000000005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6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417</v>
      </c>
      <c t="s" r="B3" s="3">
        <v>417</v>
      </c>
      <c t="s" r="C3" s="3">
        <v>417</v>
      </c>
      <c t="s" r="D3" s="3">
        <v>417</v>
      </c>
      <c t="s" r="E3" s="3">
        <v>417</v>
      </c>
      <c t="s" r="F3" s="3">
        <v>417</v>
      </c>
      <c t="s" r="G3" s="3">
        <v>417</v>
      </c>
      <c t="s" r="H3" s="3">
        <v>417</v>
      </c>
      <c t="s" r="I3" s="3">
        <v>417</v>
      </c>
      <c t="s" r="J3" s="3">
        <v>417</v>
      </c>
      <c t="s" r="K3" s="3">
        <v>417</v>
      </c>
      <c t="s" r="L3" s="3">
        <v>417</v>
      </c>
      <c t="s" r="M3" s="3">
        <v>417</v>
      </c>
      <c t="s" r="N3" s="3">
        <v>417</v>
      </c>
      <c t="s" r="O3" s="3">
        <v>417</v>
      </c>
      <c t="s" r="P3" s="3">
        <v>417</v>
      </c>
      <c t="s" r="Q3" s="3">
        <v>417</v>
      </c>
      <c t="s" r="R3" s="3">
        <v>417</v>
      </c>
      <c t="s" r="S3" s="3">
        <v>417</v>
      </c>
      <c t="s" r="T3" s="3">
        <v>417</v>
      </c>
      <c t="s" r="U3" s="3">
        <v>417</v>
      </c>
      <c t="s" r="V3" s="3">
        <v>417</v>
      </c>
      <c t="s" r="W3" s="3">
        <v>417</v>
      </c>
      <c t="s" r="X3" s="3">
        <v>417</v>
      </c>
      <c t="s" r="Y3" s="3">
        <v>417</v>
      </c>
      <c t="s" r="Z3" s="3">
        <v>417</v>
      </c>
      <c t="s" r="AA3" s="3">
        <v>417</v>
      </c>
      <c t="s" r="AB3" s="3">
        <v>417</v>
      </c>
      <c t="s" r="AC3" s="3">
        <v>417</v>
      </c>
      <c t="s" r="AD3" s="3">
        <v>417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41761.269999999997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41761.269999999997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37749.209999999999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33895.5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37749.209999999999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33895.5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3589.8499999999999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3957.5500000000002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3589.8499999999999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3957.5500000000002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48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108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48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108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285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285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8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21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8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21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idden="1" ht="16.5" customHeight="1">
      <c t="s" r="A16" s="18">
        <v>18</v>
      </c>
      <c r="B16" s="13">
        <v>0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6960.21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6960.21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2778.5900000000001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5276.0500000000002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2778.5900000000001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5276.0500000000002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2776.4000000000001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2776.4000000000001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662.98000000000002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645.63999999999999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662.98000000000002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645.63999999999999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75.810000000000002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75.810000000000002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352.23000000000002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352.23000000000002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838.60000000000002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880.52999999999997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838.60000000000002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880.52999999999997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13088.219999999999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13088.219999999999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8539.2000000000007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8169.9200000000001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8539.2000000000007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8169.9200000000001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627.63999999999999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967.85000000000002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627.63999999999999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967.85000000000002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3913.6900000000001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6312.5600000000004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3913.6900000000001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6312.5600000000004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589.64999999999998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589.64999999999998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0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766.75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0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766.75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14374.35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14374.35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1758.9300000000001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2591.1399999999999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1758.9300000000001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2591.1399999999999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10366.440000000001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13090.459999999999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10366.440000000001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13090.459999999999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3101.8299999999999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3101.8299999999999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1078.77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1078.77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idden="1" ht="16.5" customHeight="1">
      <c t="s" r="A66" s="18">
        <v>63</v>
      </c>
      <c r="B66" s="13">
        <v>0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0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0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0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idden="1" ht="16.5" customHeight="1">
      <c t="s" r="A68" s="18">
        <v>65</v>
      </c>
      <c r="B68" s="13">
        <v>0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0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idden="1" ht="16.5" customHeight="1">
      <c t="s" r="A69" s="18">
        <v>66</v>
      </c>
      <c r="B69" s="13">
        <v>0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0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1059.1600000000001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1059.1600000000001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139.86000000000001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260.16000000000003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139.86000000000001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260.16000000000003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904.30999999999995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1335.0699999999999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904.30999999999995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1335.0699999999999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-23.300000000000001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-23.300000000000001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-201.11000000000001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-201.11000000000001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-4690.5799999999999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-4690.5799999999999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-684.42999999999995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-1030.8199999999999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-684.42999999999995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-1030.8199999999999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-1889.78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-1685.3599999999999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-1889.78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-1685.3599999999999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idden="1" ht="16.5" customHeight="1">
      <c t="s" r="A100" s="18">
        <v>95</v>
      </c>
      <c r="B100" s="13">
        <v>0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0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0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0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-812.74000000000001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-1358.6500000000001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-812.74000000000001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-1358.6500000000001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-15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-15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-545.60000000000002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-700.33000000000004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-545.60000000000002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-700.33000000000004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0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-844.74000000000001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0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-844.74000000000001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17022.259999999998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17022.259999999998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3525.1399999999999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4072.9099999999999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3525.1399999999999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4072.9099999999999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2172.02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2806.3899999999999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2172.02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2806.3899999999999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2023.8199999999999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2864.0999999999999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2023.8199999999999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2864.0999999999999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1666.73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1905.4100000000001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1666.73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1905.4100000000001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981.47000000000003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591.07000000000005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981.47000000000003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591.07000000000005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605.19000000000005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506.26999999999998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605.19000000000005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506.26999999999998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499.97000000000003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499.97000000000003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343.77999999999997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320.88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343.77999999999997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320.88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5564.7700000000004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4000.3800000000001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5564.7700000000004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4000.3800000000001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832.20000000000005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832.20000000000005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1001.01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1077.5799999999999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1001.01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1077.5799999999999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14.539999999999999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45.57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14.539999999999999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45.57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29.899999999999999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18.899999999999999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29.899999999999999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18.899999999999999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21.710000000000001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6.6699999999999999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21.710000000000001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6.6699999999999999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3177.4899999999998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3177.4899999999998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2515.5100000000002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2399.4200000000001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2515.5100000000002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2399.4200000000001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771.03999999999996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830.39999999999998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771.03999999999996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830.39999999999998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300.42000000000002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316.11000000000001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300.42000000000002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316.11000000000001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idden="1" ht="16.5" customHeight="1">
      <c t="s" r="A162" s="18">
        <v>150</v>
      </c>
      <c r="B162" s="13">
        <v>0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0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124.59999999999999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101.61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124.59999999999999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101.61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24.309999999999999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38.799999999999997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24.309999999999999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38.799999999999997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-983.13999999999999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-2160.4099999999999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-983.13999999999999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-2160.4099999999999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5846.1599999999999</v>
      </c>
      <c r="C178" s="14">
        <f>IFERROR(B178/B446, "NA")</f>
      </c>
      <c r="D178" s="15"/>
      <c r="E178" s="13">
        <v>5846.1599999999999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5846.1599999999999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5846.1599999999999</v>
      </c>
      <c r="R178" s="14">
        <f>IFERROR(Q178/Q446, "NA")</f>
      </c>
      <c r="S178" s="15"/>
      <c r="T178" s="13">
        <v>5846.1599999999999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5846.1599999999999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14324.360000000001</v>
      </c>
      <c r="C180" s="14">
        <f>IFERROR(B180/B446, "NA")</f>
      </c>
      <c r="D180" s="15"/>
      <c r="E180" s="13">
        <v>15130.9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14677.02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14324.360000000001</v>
      </c>
      <c r="R180" s="14">
        <f>IFERROR(Q180/Q446, "NA")</f>
      </c>
      <c r="S180" s="15"/>
      <c r="T180" s="13">
        <v>15130.9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14677.02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11.960000000000001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0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11.960000000000001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0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350</v>
      </c>
      <c r="C184" s="14">
        <f>IFERROR(B184/B446, "NA")</f>
      </c>
      <c r="D184" s="15"/>
      <c r="E184" s="13">
        <v>350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350</v>
      </c>
      <c r="R184" s="14">
        <f>IFERROR(Q184/Q446, "NA")</f>
      </c>
      <c r="S184" s="15"/>
      <c r="T184" s="13">
        <v>350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1855.1500000000001</v>
      </c>
      <c r="C186" s="14">
        <f>IFERROR(B186/B446, "NA")</f>
      </c>
      <c r="D186" s="15"/>
      <c r="E186" s="13">
        <v>2470.8800000000001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2381.5700000000002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1855.1500000000001</v>
      </c>
      <c r="R186" s="14">
        <f>IFERROR(Q186/Q446, "NA")</f>
      </c>
      <c r="S186" s="15"/>
      <c r="T186" s="13">
        <v>2470.8800000000001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2381.5700000000002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212</v>
      </c>
      <c r="C194" s="14">
        <f>IFERROR(B194/B446, "NA")</f>
      </c>
      <c r="D194" s="15"/>
      <c r="E194" s="13">
        <v>170.62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212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212</v>
      </c>
      <c r="R194" s="14">
        <f>IFERROR(Q194/Q446, "NA")</f>
      </c>
      <c r="S194" s="15"/>
      <c r="T194" s="13">
        <v>170.62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212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1601.6300000000001</v>
      </c>
      <c r="C195" s="14">
        <f>IFERROR(B195/B446, "NA")</f>
      </c>
      <c r="D195" s="15"/>
      <c r="E195" s="13">
        <v>226.96000000000001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211.58000000000001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1601.6300000000001</v>
      </c>
      <c r="R195" s="14">
        <f>IFERROR(Q195/Q446, "NA")</f>
      </c>
      <c r="S195" s="15"/>
      <c r="T195" s="13">
        <v>226.96000000000001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211.58000000000001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1034.22</v>
      </c>
      <c r="C202" s="14">
        <f>IFERROR(B202/B446, "NA")</f>
      </c>
      <c r="D202" s="15"/>
      <c r="E202" s="13">
        <v>680.88999999999999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1305.1700000000001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1034.22</v>
      </c>
      <c r="R202" s="14">
        <f>IFERROR(Q202/Q446, "NA")</f>
      </c>
      <c r="S202" s="15"/>
      <c r="T202" s="13">
        <v>680.88999999999999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1305.1700000000001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463.70999999999998</v>
      </c>
      <c r="C203" s="14">
        <f>IFERROR(B203/B446, "NA")</f>
      </c>
      <c r="D203" s="15"/>
      <c r="E203" s="13">
        <v>453.93000000000001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506.75999999999999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463.70999999999998</v>
      </c>
      <c r="R203" s="14">
        <f>IFERROR(Q203/Q446, "NA")</f>
      </c>
      <c r="S203" s="15"/>
      <c r="T203" s="13">
        <v>453.93000000000001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506.75999999999999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26</v>
      </c>
      <c r="C204" s="14">
        <f>IFERROR(B204/B446, "NA")</f>
      </c>
      <c r="D204" s="15"/>
      <c r="E204" s="13">
        <v>151.31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23.920000000000002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26</v>
      </c>
      <c r="R204" s="14">
        <f>IFERROR(Q204/Q446, "NA")</f>
      </c>
      <c r="S204" s="15"/>
      <c r="T204" s="13">
        <v>151.31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23.920000000000002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243.25</v>
      </c>
      <c r="C205" s="14">
        <f>IFERROR(B205/B446, "NA")</f>
      </c>
      <c r="D205" s="15"/>
      <c r="E205" s="13">
        <v>226.96000000000001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209.96000000000001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243.25</v>
      </c>
      <c r="R205" s="14">
        <f>IFERROR(Q205/Q446, "NA")</f>
      </c>
      <c r="S205" s="15"/>
      <c r="T205" s="13">
        <v>226.96000000000001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209.96000000000001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75.650000000000006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75.650000000000006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243.13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99.599999999999994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243.13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86.299999999999997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143.72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86.299999999999997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143.72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2193.98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2193.98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1217.9400000000001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2284.0500000000002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1217.9400000000001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2284.0500000000002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183.63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183.63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206.34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1457.54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206.34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1457.54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150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171.81999999999999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150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171.81999999999999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983.50999999999999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983.50999999999999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0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216.37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0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216.37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1084.3199999999999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1241.8800000000001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1084.3199999999999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1241.8800000000001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5.96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5.96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4009.6900000000001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4009.6900000000001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1259.4300000000001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1018.13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1259.4300000000001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1018.13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1605.8199999999999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2094.5599999999999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1605.8199999999999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2094.5599999999999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472.25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472.25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107.7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285.70999999999998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107.7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285.70999999999998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250.59999999999999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263.13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250.59999999999999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263.13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725.88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780.46000000000004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725.88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780.46000000000004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idden="1" ht="16.5" customHeight="1">
      <c t="s" r="A254" s="18">
        <v>231</v>
      </c>
      <c r="B254" s="13">
        <v>0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0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0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0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2100.3200000000002</v>
      </c>
      <c r="C266" s="14">
        <f>IFERROR(B266/B446, "NA")</f>
      </c>
      <c r="D266" s="15"/>
      <c r="E266" s="13">
        <v>2193.98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1981.9000000000001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2100.3200000000002</v>
      </c>
      <c r="R266" s="14">
        <f>IFERROR(Q266/Q446, "NA")</f>
      </c>
      <c r="S266" s="15"/>
      <c r="T266" s="13">
        <v>2193.98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1981.9000000000001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197.88</v>
      </c>
      <c r="C271" s="14">
        <f>IFERROR(B271/B446, "NA")</f>
      </c>
      <c r="D271" s="15"/>
      <c r="E271" s="13">
        <v>200.19999999999999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201.72999999999999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197.88</v>
      </c>
      <c r="R271" s="14">
        <f>IFERROR(Q271/Q446, "NA")</f>
      </c>
      <c r="S271" s="15"/>
      <c r="T271" s="13">
        <v>200.19999999999999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201.72999999999999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894.42999999999995</v>
      </c>
      <c r="C272" s="14">
        <f>IFERROR(B272/B446, "NA")</f>
      </c>
      <c r="D272" s="15"/>
      <c r="E272" s="13">
        <v>894.42999999999995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778.58000000000004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894.42999999999995</v>
      </c>
      <c r="R272" s="14">
        <f>IFERROR(Q272/Q446, "NA")</f>
      </c>
      <c r="S272" s="15"/>
      <c r="T272" s="13">
        <v>894.42999999999995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778.58000000000004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137.5</v>
      </c>
      <c r="C289" s="14">
        <f>IFERROR(B289/B446, "NA")</f>
      </c>
      <c r="D289" s="15"/>
      <c r="E289" s="13">
        <v>138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137.5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137.5</v>
      </c>
      <c r="R289" s="14">
        <f>IFERROR(Q289/Q446, "NA")</f>
      </c>
      <c r="S289" s="15"/>
      <c r="T289" s="13">
        <v>138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137.5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156.81</v>
      </c>
      <c r="C290" s="14">
        <f>IFERROR(B290/B446, "NA")</f>
      </c>
      <c r="D290" s="15"/>
      <c r="E290" s="13">
        <v>211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140.88999999999999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156.81</v>
      </c>
      <c r="R290" s="14">
        <f>IFERROR(Q290/Q446, "NA")</f>
      </c>
      <c r="S290" s="15"/>
      <c r="T290" s="13">
        <v>211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140.88999999999999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869.20000000000005</v>
      </c>
      <c r="C291" s="14">
        <f>IFERROR(B291/B446, "NA")</f>
      </c>
      <c r="D291" s="15"/>
      <c r="E291" s="13">
        <v>453.93000000000001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809.63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869.20000000000005</v>
      </c>
      <c r="R291" s="14">
        <f>IFERROR(Q291/Q446, "NA")</f>
      </c>
      <c r="S291" s="15"/>
      <c r="T291" s="13">
        <v>453.93000000000001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809.63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0</v>
      </c>
      <c r="C292" s="14">
        <f>IFERROR(B292/B446, "NA")</f>
      </c>
      <c r="D292" s="15"/>
      <c r="E292" s="13">
        <v>302.62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0</v>
      </c>
      <c r="R292" s="14">
        <f>IFERROR(Q292/Q446, "NA")</f>
      </c>
      <c r="S292" s="15"/>
      <c r="T292" s="13">
        <v>302.62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75.650000000000006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75.650000000000006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75.650000000000006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369.93000000000001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75.650000000000006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369.93000000000001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309.99000000000001</v>
      </c>
      <c r="C295" s="14">
        <f>IFERROR(B295/B446, "NA")</f>
      </c>
      <c r="D295" s="15"/>
      <c r="E295" s="13">
        <v>346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319.99000000000001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309.99000000000001</v>
      </c>
      <c r="R295" s="14">
        <f>IFERROR(Q295/Q446, "NA")</f>
      </c>
      <c r="S295" s="15"/>
      <c r="T295" s="13">
        <v>346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319.99000000000001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567.83000000000004</v>
      </c>
      <c r="C300" s="14">
        <f>IFERROR(B300/B446, "NA")</f>
      </c>
      <c r="D300" s="15"/>
      <c r="E300" s="13">
        <v>575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194.06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567.83000000000004</v>
      </c>
      <c r="R300" s="14">
        <f>IFERROR(Q300/Q446, "NA")</f>
      </c>
      <c r="S300" s="15"/>
      <c r="T300" s="13">
        <v>575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194.06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idden="1" ht="16.5" customHeight="1">
      <c t="s" r="A306" s="12">
        <v>278</v>
      </c>
      <c r="B306" s="13">
        <v>0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0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39.600000000000001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31.57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39.600000000000001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31.57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63.329999999999998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29.030000000000001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63.329999999999998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29.030000000000001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18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0</v>
      </c>
      <c r="R314" s="14">
        <f>IFERROR(Q314/Q446, "NA")</f>
      </c>
      <c r="S314" s="15"/>
      <c r="T314" s="13">
        <v>10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18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748.97000000000003</v>
      </c>
      <c r="C316" s="14">
        <f>IFERROR(B316/B446, "NA")</f>
      </c>
      <c r="D316" s="15"/>
      <c r="E316" s="13">
        <v>529.58000000000004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794.11000000000001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748.97000000000003</v>
      </c>
      <c r="R316" s="14">
        <f>IFERROR(Q316/Q446, "NA")</f>
      </c>
      <c r="S316" s="15"/>
      <c r="T316" s="13">
        <v>529.58000000000004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794.11000000000001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t="16.5" customHeight="1">
      <c t="s" r="A319" s="12">
        <v>291</v>
      </c>
      <c r="B319" s="13">
        <v>490.60000000000002</v>
      </c>
      <c r="C319" s="14">
        <f>IFERROR(B319/B446, "NA")</f>
      </c>
      <c r="D319" s="15"/>
      <c r="E319" s="13">
        <v>491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490.60000000000002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490.60000000000002</v>
      </c>
      <c r="R319" s="14">
        <f>IFERROR(Q319/Q446, "NA")</f>
      </c>
      <c r="S319" s="15"/>
      <c r="T319" s="13">
        <v>491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490.60000000000002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160.38</v>
      </c>
      <c r="C320" s="14">
        <f>IFERROR(B320/B446, "NA")</f>
      </c>
      <c r="D320" s="15"/>
      <c r="E320" s="13">
        <v>160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160.16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160.38</v>
      </c>
      <c r="R320" s="14">
        <f>IFERROR(Q320/Q446, "NA")</f>
      </c>
      <c r="S320" s="15"/>
      <c r="T320" s="13">
        <v>160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160.16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1121.3599999999999</v>
      </c>
      <c r="C321" s="14">
        <f>IFERROR(B321/B446, "NA")</f>
      </c>
      <c r="D321" s="15"/>
      <c r="E321" s="13">
        <v>1121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1031.0699999999999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1121.3599999999999</v>
      </c>
      <c r="R321" s="14">
        <f>IFERROR(Q321/Q446, "NA")</f>
      </c>
      <c r="S321" s="15"/>
      <c r="T321" s="13">
        <v>1121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1031.0699999999999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983.13999999999999</v>
      </c>
      <c r="C322" s="14">
        <f>IFERROR(B322/B446, "NA")</f>
      </c>
      <c r="D322" s="15"/>
      <c r="E322" s="13">
        <v>1059.1600000000001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2160.4099999999999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983.13999999999999</v>
      </c>
      <c r="R322" s="14">
        <f>IFERROR(Q322/Q446, "NA")</f>
      </c>
      <c r="S322" s="15"/>
      <c r="T322" s="13">
        <v>1059.1600000000001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2160.4099999999999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280.20999999999998</v>
      </c>
      <c r="C323" s="14">
        <f>IFERROR(B323/B446, "NA")</f>
      </c>
      <c r="D323" s="15"/>
      <c r="E323" s="13">
        <v>366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185.11000000000001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280.20999999999998</v>
      </c>
      <c r="R323" s="14">
        <f>IFERROR(Q323/Q446, "NA")</f>
      </c>
      <c r="S323" s="15"/>
      <c r="T323" s="13">
        <v>366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185.11000000000001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t="16.5" customHeight="1">
      <c t="s" r="A324" s="12">
        <v>296</v>
      </c>
      <c r="B324" s="13">
        <v>0.01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0.01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13526.48</v>
      </c>
      <c r="C330" s="14">
        <f>IFERROR(B330/B446, "NA")</f>
      </c>
      <c r="D330" s="15"/>
      <c r="E330" s="13">
        <v>13526.48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13132.5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13526.48</v>
      </c>
      <c r="R330" s="14">
        <f>IFERROR(Q330/Q446, "NA")</f>
      </c>
      <c r="S330" s="15"/>
      <c r="T330" s="13">
        <v>13526.48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13132.5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2126</v>
      </c>
      <c r="C331" s="14">
        <f>IFERROR(B331/B446, "NA")</f>
      </c>
      <c r="D331" s="15"/>
      <c r="E331" s="13">
        <v>2126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2126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2126</v>
      </c>
      <c r="R331" s="14">
        <f>IFERROR(Q331/Q446, "NA")</f>
      </c>
      <c r="S331" s="15"/>
      <c r="T331" s="13">
        <v>2126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2126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t="16.5" customHeight="1">
      <c t="s" r="A333" s="12">
        <v>304</v>
      </c>
      <c r="B333" s="13">
        <v>180</v>
      </c>
      <c r="C333" s="14">
        <f>IFERROR(B333/B446, "NA")</f>
      </c>
      <c r="D333" s="15"/>
      <c r="E333" s="13">
        <v>180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180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180</v>
      </c>
      <c r="R333" s="14">
        <f>IFERROR(Q333/Q446, "NA")</f>
      </c>
      <c r="S333" s="15"/>
      <c r="T333" s="13">
        <v>180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180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1254</v>
      </c>
      <c r="C334" s="14">
        <f>IFERROR(B334/B446, "NA")</f>
      </c>
      <c r="D334" s="15"/>
      <c r="E334" s="13">
        <v>1025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1024.6900000000001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1254</v>
      </c>
      <c r="R334" s="14">
        <f>IFERROR(Q334/Q446, "NA")</f>
      </c>
      <c r="S334" s="15"/>
      <c r="T334" s="13">
        <v>1025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1024.6900000000001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-1041.54</v>
      </c>
      <c r="C335" s="14">
        <f>IFERROR(B335/B446, "NA")</f>
      </c>
      <c r="D335" s="15"/>
      <c r="E335" s="13">
        <v>-1041.54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-1011.2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-1041.54</v>
      </c>
      <c r="R335" s="14">
        <f>IFERROR(Q335/Q446, "NA")</f>
      </c>
      <c r="S335" s="15"/>
      <c r="T335" s="13">
        <v>-1041.54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-1011.2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360</v>
      </c>
      <c r="C339" s="14">
        <f>IFERROR(B339/B446, "NA")</f>
      </c>
      <c r="D339" s="15"/>
      <c r="E339" s="13">
        <v>302.62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486.25999999999999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360</v>
      </c>
      <c r="R339" s="14">
        <f>IFERROR(Q339/Q446, "NA")</f>
      </c>
      <c r="S339" s="15"/>
      <c r="T339" s="13">
        <v>302.62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486.25999999999999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400</v>
      </c>
      <c r="C340" s="14">
        <f>IFERROR(B340/B446, "NA")</f>
      </c>
      <c r="D340" s="15"/>
      <c r="E340" s="13">
        <v>226.96000000000001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366.74000000000001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400</v>
      </c>
      <c r="R340" s="14">
        <f>IFERROR(Q340/Q446, "NA")</f>
      </c>
      <c r="S340" s="15"/>
      <c r="T340" s="13">
        <v>226.96000000000001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366.74000000000001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433</v>
      </c>
      <c r="C341" s="14">
        <f>IFERROR(B341/B446, "NA")</f>
      </c>
      <c r="D341" s="15"/>
      <c r="E341" s="13">
        <v>226.96000000000001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509.18000000000001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433</v>
      </c>
      <c r="R341" s="14">
        <f>IFERROR(Q341/Q446, "NA")</f>
      </c>
      <c r="S341" s="15"/>
      <c r="T341" s="13">
        <v>226.96000000000001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509.18000000000001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472.43000000000001</v>
      </c>
      <c r="C342" s="14">
        <f>IFERROR(B342/B446, "NA")</f>
      </c>
      <c r="D342" s="15"/>
      <c r="E342" s="13">
        <v>302.62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470.94999999999999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472.43000000000001</v>
      </c>
      <c r="R342" s="14">
        <f>IFERROR(Q342/Q446, "NA")</f>
      </c>
      <c r="S342" s="15"/>
      <c r="T342" s="13">
        <v>302.62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470.94999999999999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8344.9099999999999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8344.9099999999999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8507.9899999999998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8002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8507.9899999999998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8002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-28.34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-29.309999999999999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-28.34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-29.309999999999999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-43.289999999999999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70.599999999999994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-43.289999999999999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70.599999999999994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72649.5</v>
      </c>
      <c r="C446" s="33"/>
      <c r="D446" s="15"/>
      <c r="E446" s="13">
        <v>75654.460000000006</v>
      </c>
      <c r="F446" s="33"/>
      <c r="G446" s="15"/>
      <c r="H446" s="16">
        <f>IFERROR(B446-E446, "NA")</f>
      </c>
      <c r="I446" s="33"/>
      <c r="J446" s="15"/>
      <c r="K446" s="13">
        <v>72919.979999999996</v>
      </c>
      <c r="L446" s="33"/>
      <c r="M446" s="15"/>
      <c r="N446" s="16">
        <f>IFERROR(B446-K446, "NA")</f>
      </c>
      <c r="O446" s="33"/>
      <c r="P446" s="15"/>
      <c r="Q446" s="13">
        <v>72649.5</v>
      </c>
      <c r="R446" s="33"/>
      <c r="S446" s="15"/>
      <c r="T446" s="13">
        <v>75654.460000000006</v>
      </c>
      <c r="U446" s="33"/>
      <c r="V446" s="15"/>
      <c r="W446" s="16">
        <f>IFERROR(Q446-T446, "NA")</f>
      </c>
      <c r="X446" s="33"/>
      <c r="Y446" s="15"/>
      <c r="Z446" s="13">
        <v>72919.979999999996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xl/worksheets/sheet7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>
      <pane topLeftCell="B6" xSplit="1" ySplit="5" activePane="bottomRight" state="frozen"/>
      <selection pane="topRight" activeCell="B1" sqref="B1:B1"/>
      <selection pane="bottomLeft" activeCell="A6" sqref="A6:A6"/>
      <selection pane="bottomRight" activeCell="A1" sqref="A1:A1"/>
    </sheetView>
  </sheetViews>
  <cols>
    <col min="1" max="1" width="42.86" customWidth="1"/>
    <col min="2" max="2" width="17.14" customWidth="1"/>
    <col min="3" max="3" width="9.43" customWidth="1"/>
    <col min="4" max="4" width="1.43" customWidth="1"/>
    <col min="5" max="5" width="17.14" customWidth="1"/>
    <col min="6" max="6" width="9.43" customWidth="1"/>
    <col min="7" max="7" width="1.43" customWidth="1"/>
    <col min="8" max="8" width="17.14" customWidth="1"/>
    <col min="9" max="9" width="9.43" customWidth="1"/>
    <col min="10" max="10" width="1.43" customWidth="1"/>
    <col min="11" max="11" width="17.14" customWidth="1"/>
    <col min="12" max="12" width="9.43" customWidth="1"/>
    <col min="13" max="13" width="1.43" customWidth="1"/>
    <col min="14" max="14" width="17.14" customWidth="1"/>
    <col min="15" max="15" width="9.43" customWidth="1"/>
    <col min="16" max="16" width="1.43" customWidth="1"/>
    <col min="17" max="17" width="17.14" customWidth="1"/>
    <col min="18" max="18" width="9.43" customWidth="1"/>
    <col min="19" max="19" width="1.43" customWidth="1"/>
    <col min="20" max="20" width="17.14" customWidth="1"/>
    <col min="21" max="21" width="9.43" customWidth="1"/>
    <col min="22" max="22" width="1.43" customWidth="1"/>
    <col min="23" max="23" width="17.14" customWidth="1"/>
    <col min="24" max="24" width="9.43" customWidth="1"/>
    <col min="25" max="25" width="1.43" customWidth="1"/>
    <col min="26" max="26" width="17.14" customWidth="1"/>
    <col min="27" max="27" width="9.43" customWidth="1"/>
    <col min="28" max="28" width="1.43" customWidth="1"/>
    <col min="29" max="29" width="17.14" customWidth="1"/>
    <col min="30" max="30" width="9.43" customWidth="1"/>
  </cols>
  <sheetData>
    <row r="1">
      <c t="s" r="A1" s="1">
        <v>0</v>
      </c>
      <c t="s" r="B1" s="1">
        <v>0</v>
      </c>
      <c t="s" r="C1" s="1">
        <v>0</v>
      </c>
      <c t="s" r="D1" s="1">
        <v>0</v>
      </c>
      <c t="s" r="E1" s="1">
        <v>0</v>
      </c>
      <c t="s" r="F1" s="1">
        <v>0</v>
      </c>
      <c t="s" r="G1" s="1">
        <v>0</v>
      </c>
      <c t="s" r="H1" s="1">
        <v>0</v>
      </c>
      <c t="s" r="I1" s="1">
        <v>0</v>
      </c>
      <c t="s" r="J1" s="1">
        <v>0</v>
      </c>
      <c t="s" r="K1" s="1">
        <v>0</v>
      </c>
      <c t="s" r="L1" s="1">
        <v>0</v>
      </c>
      <c t="s" r="M1" s="1">
        <v>0</v>
      </c>
      <c t="s" r="N1" s="1">
        <v>0</v>
      </c>
      <c t="s" r="O1" s="1">
        <v>0</v>
      </c>
      <c t="s" r="P1" s="1">
        <v>0</v>
      </c>
      <c t="s" r="Q1" s="1">
        <v>0</v>
      </c>
      <c t="s" r="R1" s="1">
        <v>0</v>
      </c>
      <c t="s" r="S1" s="1">
        <v>0</v>
      </c>
      <c t="s" r="T1" s="1">
        <v>0</v>
      </c>
      <c t="s" r="U1" s="1">
        <v>0</v>
      </c>
      <c t="s" r="V1" s="1">
        <v>0</v>
      </c>
      <c t="s" r="W1" s="1">
        <v>0</v>
      </c>
      <c t="s" r="X1" s="1">
        <v>0</v>
      </c>
      <c t="s" r="Y1" s="1">
        <v>0</v>
      </c>
      <c t="s" r="Z1" s="1">
        <v>0</v>
      </c>
      <c t="s" r="AA1" s="1">
        <v>0</v>
      </c>
      <c t="s" r="AB1" s="1">
        <v>0</v>
      </c>
      <c t="s" r="AC1" s="1">
        <v>0</v>
      </c>
      <c t="s" r="AD1" s="1">
        <v>0</v>
      </c>
    </row>
    <row r="2">
      <c t="s" r="A2" s="2">
        <v>1</v>
      </c>
      <c t="s" r="B2" s="2">
        <v>1</v>
      </c>
      <c t="s" r="C2" s="2">
        <v>1</v>
      </c>
      <c t="s" r="D2" s="2">
        <v>1</v>
      </c>
      <c t="s" r="E2" s="2">
        <v>1</v>
      </c>
      <c t="s" r="F2" s="2">
        <v>1</v>
      </c>
      <c t="s" r="G2" s="2">
        <v>1</v>
      </c>
      <c t="s" r="H2" s="2">
        <v>1</v>
      </c>
      <c t="s" r="I2" s="2">
        <v>1</v>
      </c>
      <c t="s" r="J2" s="2">
        <v>1</v>
      </c>
      <c t="s" r="K2" s="2">
        <v>1</v>
      </c>
      <c t="s" r="L2" s="2">
        <v>1</v>
      </c>
      <c t="s" r="M2" s="2">
        <v>1</v>
      </c>
      <c t="s" r="N2" s="2">
        <v>1</v>
      </c>
      <c t="s" r="O2" s="2">
        <v>1</v>
      </c>
      <c t="s" r="P2" s="2">
        <v>1</v>
      </c>
      <c t="s" r="Q2" s="2">
        <v>1</v>
      </c>
      <c t="s" r="R2" s="2">
        <v>1</v>
      </c>
      <c t="s" r="S2" s="2">
        <v>1</v>
      </c>
      <c t="s" r="T2" s="2">
        <v>1</v>
      </c>
      <c t="s" r="U2" s="2">
        <v>1</v>
      </c>
      <c t="s" r="V2" s="2">
        <v>1</v>
      </c>
      <c t="s" r="W2" s="2">
        <v>1</v>
      </c>
      <c t="s" r="X2" s="2">
        <v>1</v>
      </c>
      <c t="s" r="Y2" s="2">
        <v>1</v>
      </c>
      <c t="s" r="Z2" s="2">
        <v>1</v>
      </c>
      <c t="s" r="AA2" s="2">
        <v>1</v>
      </c>
      <c t="s" r="AB2" s="2">
        <v>1</v>
      </c>
      <c t="s" r="AC2" s="2">
        <v>1</v>
      </c>
      <c t="s" r="AD2" s="2">
        <v>1</v>
      </c>
    </row>
    <row r="3">
      <c t="s" r="A3" s="3">
        <v>418</v>
      </c>
      <c t="s" r="B3" s="3">
        <v>418</v>
      </c>
      <c t="s" r="C3" s="3">
        <v>418</v>
      </c>
      <c t="s" r="D3" s="3">
        <v>418</v>
      </c>
      <c t="s" r="E3" s="3">
        <v>418</v>
      </c>
      <c t="s" r="F3" s="3">
        <v>418</v>
      </c>
      <c t="s" r="G3" s="3">
        <v>418</v>
      </c>
      <c t="s" r="H3" s="3">
        <v>418</v>
      </c>
      <c t="s" r="I3" s="3">
        <v>418</v>
      </c>
      <c t="s" r="J3" s="3">
        <v>418</v>
      </c>
      <c t="s" r="K3" s="3">
        <v>418</v>
      </c>
      <c t="s" r="L3" s="3">
        <v>418</v>
      </c>
      <c t="s" r="M3" s="3">
        <v>418</v>
      </c>
      <c t="s" r="N3" s="3">
        <v>418</v>
      </c>
      <c t="s" r="O3" s="3">
        <v>418</v>
      </c>
      <c t="s" r="P3" s="3">
        <v>418</v>
      </c>
      <c t="s" r="Q3" s="3">
        <v>418</v>
      </c>
      <c t="s" r="R3" s="3">
        <v>418</v>
      </c>
      <c t="s" r="S3" s="3">
        <v>418</v>
      </c>
      <c t="s" r="T3" s="3">
        <v>418</v>
      </c>
      <c t="s" r="U3" s="3">
        <v>418</v>
      </c>
      <c t="s" r="V3" s="3">
        <v>418</v>
      </c>
      <c t="s" r="W3" s="3">
        <v>418</v>
      </c>
      <c t="s" r="X3" s="3">
        <v>418</v>
      </c>
      <c t="s" r="Y3" s="3">
        <v>418</v>
      </c>
      <c t="s" r="Z3" s="3">
        <v>418</v>
      </c>
      <c t="s" r="AA3" s="3">
        <v>418</v>
      </c>
      <c t="s" r="AB3" s="3">
        <v>418</v>
      </c>
      <c t="s" r="AC3" s="3">
        <v>418</v>
      </c>
      <c t="s" r="AD3" s="3">
        <v>418</v>
      </c>
    </row>
    <row r="4"/>
    <row r="5" ht="16.5" customHeight="1">
      <c t="s" r="A5" s="4">
        <v>3</v>
      </c>
      <c t="s" r="B5" s="5">
        <v>4</v>
      </c>
      <c t="s" r="C5" s="6">
        <v>3</v>
      </c>
      <c t="s" r="D5" s="4">
        <v>3</v>
      </c>
      <c t="s" r="E5" s="5">
        <v>5</v>
      </c>
      <c t="s" r="F5" s="6">
        <v>3</v>
      </c>
      <c t="s" r="G5" s="4">
        <v>3</v>
      </c>
      <c t="s" r="H5" s="5">
        <v>6</v>
      </c>
      <c t="s" r="I5" s="6">
        <v>3</v>
      </c>
      <c t="s" r="J5" s="4">
        <v>3</v>
      </c>
      <c t="s" r="K5" s="5">
        <v>7</v>
      </c>
      <c t="s" r="L5" s="6">
        <v>3</v>
      </c>
      <c t="s" r="M5" s="4">
        <v>3</v>
      </c>
      <c t="s" r="N5" s="5">
        <v>6</v>
      </c>
      <c t="s" r="O5" s="6">
        <v>3</v>
      </c>
      <c t="s" r="P5" s="4">
        <v>3</v>
      </c>
      <c t="s" r="Q5" s="5">
        <v>8</v>
      </c>
      <c t="s" r="R5" s="6">
        <v>3</v>
      </c>
      <c t="s" r="S5" s="4">
        <v>3</v>
      </c>
      <c t="s" r="T5" s="5">
        <v>9</v>
      </c>
      <c t="s" r="U5" s="6">
        <v>3</v>
      </c>
      <c t="s" r="V5" s="4">
        <v>3</v>
      </c>
      <c t="s" r="W5" s="5">
        <v>6</v>
      </c>
      <c t="s" r="X5" s="6">
        <v>3</v>
      </c>
      <c t="s" r="Y5" s="4">
        <v>3</v>
      </c>
      <c t="s" r="Z5" s="5">
        <v>10</v>
      </c>
      <c t="s" r="AA5" s="6">
        <v>3</v>
      </c>
      <c t="s" r="AB5" s="4">
        <v>3</v>
      </c>
      <c t="s" r="AC5" s="5">
        <v>6</v>
      </c>
      <c t="s" r="AD5" s="6">
        <v>3</v>
      </c>
    </row>
    <row r="6" ht="16.5" customHeight="1">
      <c t="s" r="A6" s="7">
        <v>11</v>
      </c>
      <c r="B6" s="8"/>
      <c r="C6" s="9"/>
      <c r="D6" s="10"/>
      <c r="E6" s="8"/>
      <c r="F6" s="9"/>
      <c r="G6" s="10"/>
      <c r="H6" s="8"/>
      <c r="I6" s="9"/>
      <c r="J6" s="10"/>
      <c r="K6" s="8"/>
      <c r="L6" s="9"/>
      <c r="M6" s="10"/>
      <c r="N6" s="8"/>
      <c r="O6" s="9"/>
      <c r="P6" s="10"/>
      <c r="Q6" s="8"/>
      <c r="R6" s="9"/>
      <c r="S6" s="10"/>
      <c r="T6" s="8"/>
      <c r="U6" s="9"/>
      <c r="V6" s="10"/>
      <c r="W6" s="8"/>
      <c r="X6" s="9"/>
      <c r="Y6" s="10"/>
      <c r="Z6" s="8"/>
      <c r="AA6" s="9"/>
      <c r="AB6" s="10"/>
      <c r="AC6" s="8"/>
      <c r="AD6" s="9"/>
    </row>
    <row r="7" ht="16.5" customHeight="1">
      <c t="s" r="A7" s="11">
        <v>11</v>
      </c>
      <c r="B7" s="8"/>
      <c r="C7" s="9"/>
      <c r="D7" s="10"/>
      <c r="E7" s="8"/>
      <c r="F7" s="9"/>
      <c r="G7" s="10"/>
      <c r="H7" s="8"/>
      <c r="I7" s="9"/>
      <c r="J7" s="10"/>
      <c r="K7" s="8"/>
      <c r="L7" s="9"/>
      <c r="M7" s="10"/>
      <c r="N7" s="8"/>
      <c r="O7" s="9"/>
      <c r="P7" s="10"/>
      <c r="Q7" s="8"/>
      <c r="R7" s="9"/>
      <c r="S7" s="10"/>
      <c r="T7" s="8"/>
      <c r="U7" s="9"/>
      <c r="V7" s="10"/>
      <c r="W7" s="8"/>
      <c r="X7" s="9"/>
      <c r="Y7" s="10"/>
      <c r="Z7" s="8"/>
      <c r="AA7" s="9"/>
      <c r="AB7" s="10"/>
      <c r="AC7" s="8"/>
      <c r="AD7" s="9"/>
    </row>
    <row r="8" hidden="1" ht="16.5" customHeight="1">
      <c t="s" r="A8" s="12">
        <v>11</v>
      </c>
      <c r="B8" s="13">
        <v>0</v>
      </c>
      <c r="C8" s="14">
        <f>IFERROR(B8/B446, "NA")</f>
      </c>
      <c r="D8" s="15"/>
      <c r="E8" s="13">
        <v>0</v>
      </c>
      <c r="F8" s="14">
        <f>IFERROR(E8/E446, "NA")</f>
      </c>
      <c r="G8" s="15"/>
      <c r="H8" s="16">
        <f>IFERROR(B8-E8, "NA")</f>
      </c>
      <c r="I8" s="14">
        <f>IFERROR(H8/H446, "NA")</f>
      </c>
      <c r="J8" s="15"/>
      <c r="K8" s="13">
        <v>0</v>
      </c>
      <c r="L8" s="14">
        <f>IFERROR(K8/K446, "NA")</f>
      </c>
      <c r="M8" s="15"/>
      <c r="N8" s="16">
        <f>IFERROR(B8-K8, "NA")</f>
      </c>
      <c r="O8" s="14">
        <f>IFERROR(N8/N446, "NA")</f>
      </c>
      <c r="P8" s="15"/>
      <c r="Q8" s="13">
        <v>0</v>
      </c>
      <c r="R8" s="14">
        <f>IFERROR(Q8/Q446, "NA")</f>
      </c>
      <c r="S8" s="15"/>
      <c r="T8" s="13">
        <v>0</v>
      </c>
      <c r="U8" s="14">
        <f>IFERROR(T8/T446, "NA")</f>
      </c>
      <c r="V8" s="15"/>
      <c r="W8" s="16">
        <f>IFERROR(Q8-T8, "NA")</f>
      </c>
      <c r="X8" s="14">
        <f>IFERROR(W8/W446, "NA")</f>
      </c>
      <c r="Y8" s="15"/>
      <c r="Z8" s="13">
        <v>0</v>
      </c>
      <c r="AA8" s="14">
        <f>IFERROR(Z8/Z446, "NA")</f>
      </c>
      <c r="AB8" s="15"/>
      <c r="AC8" s="16">
        <f>IFERROR(Q8-Z8, "NA")</f>
      </c>
      <c r="AD8" s="14">
        <f>IFERROR(AC8/AC446, "NA")</f>
      </c>
    </row>
    <row r="9" ht="16.5" customHeight="1">
      <c t="s" r="A9" s="17">
        <v>12</v>
      </c>
      <c r="B9" s="8"/>
      <c r="C9" s="9"/>
      <c r="D9" s="10"/>
      <c r="E9" s="8"/>
      <c r="F9" s="9"/>
      <c r="G9" s="10"/>
      <c r="H9" s="8"/>
      <c r="I9" s="9"/>
      <c r="J9" s="10"/>
      <c r="K9" s="8"/>
      <c r="L9" s="9"/>
      <c r="M9" s="10"/>
      <c r="N9" s="8"/>
      <c r="O9" s="9"/>
      <c r="P9" s="10"/>
      <c r="Q9" s="8"/>
      <c r="R9" s="9"/>
      <c r="S9" s="10"/>
      <c r="T9" s="8"/>
      <c r="U9" s="9"/>
      <c r="V9" s="10"/>
      <c r="W9" s="8"/>
      <c r="X9" s="9"/>
      <c r="Y9" s="10"/>
      <c r="Z9" s="8"/>
      <c r="AA9" s="9"/>
      <c r="AB9" s="10"/>
      <c r="AC9" s="8"/>
      <c r="AD9" s="9"/>
    </row>
    <row r="10" ht="16.5" customHeight="1">
      <c t="s" r="A10" s="18">
        <v>12</v>
      </c>
      <c r="B10" s="13">
        <v>0</v>
      </c>
      <c r="C10" s="14">
        <f>IFERROR(B10/B446, "NA")</f>
      </c>
      <c r="D10" s="15"/>
      <c r="E10" s="13">
        <v>46420.480000000003</v>
      </c>
      <c r="F10" s="14">
        <f>IFERROR(E10/E446, "NA")</f>
      </c>
      <c r="G10" s="15"/>
      <c r="H10" s="16">
        <f>IFERROR(B10-E10, "NA")</f>
      </c>
      <c r="I10" s="14">
        <f>IFERROR(H10/H446, "NA")</f>
      </c>
      <c r="J10" s="15"/>
      <c r="K10" s="13">
        <v>0</v>
      </c>
      <c r="L10" s="14">
        <f>IFERROR(K10/K446, "NA")</f>
      </c>
      <c r="M10" s="15"/>
      <c r="N10" s="16">
        <f>IFERROR(B10-K10, "NA")</f>
      </c>
      <c r="O10" s="14">
        <f>IFERROR(N10/N446, "NA")</f>
      </c>
      <c r="P10" s="15"/>
      <c r="Q10" s="13">
        <v>0</v>
      </c>
      <c r="R10" s="14">
        <f>IFERROR(Q10/Q446, "NA")</f>
      </c>
      <c r="S10" s="15"/>
      <c r="T10" s="13">
        <v>46420.480000000003</v>
      </c>
      <c r="U10" s="14">
        <f>IFERROR(T10/T446, "NA")</f>
      </c>
      <c r="V10" s="15"/>
      <c r="W10" s="16">
        <f>IFERROR(Q10-T10, "NA")</f>
      </c>
      <c r="X10" s="14">
        <f>IFERROR(W10/W446, "NA")</f>
      </c>
      <c r="Y10" s="15"/>
      <c r="Z10" s="13">
        <v>0</v>
      </c>
      <c r="AA10" s="14">
        <f>IFERROR(Z10/Z446, "NA")</f>
      </c>
      <c r="AB10" s="15"/>
      <c r="AC10" s="16">
        <f>IFERROR(Q10-Z10, "NA")</f>
      </c>
      <c r="AD10" s="14">
        <f>IFERROR(AC10/AC446, "NA")</f>
      </c>
    </row>
    <row r="11" ht="16.5" customHeight="1">
      <c t="s" r="A11" s="18">
        <v>13</v>
      </c>
      <c r="B11" s="13">
        <v>41060.230000000003</v>
      </c>
      <c r="C11" s="14">
        <f>IFERROR(B11/B446, "NA")</f>
      </c>
      <c r="D11" s="15"/>
      <c r="E11" s="13">
        <v>0</v>
      </c>
      <c r="F11" s="14">
        <f>IFERROR(E11/E446, "NA")</f>
      </c>
      <c r="G11" s="15"/>
      <c r="H11" s="16">
        <f>IFERROR(B11-E11, "NA")</f>
      </c>
      <c r="I11" s="14">
        <f>IFERROR(H11/H446, "NA")</f>
      </c>
      <c r="J11" s="15"/>
      <c r="K11" s="13">
        <v>41210.599999999999</v>
      </c>
      <c r="L11" s="14">
        <f>IFERROR(K11/K446, "NA")</f>
      </c>
      <c r="M11" s="15"/>
      <c r="N11" s="16">
        <f>IFERROR(B11-K11, "NA")</f>
      </c>
      <c r="O11" s="14">
        <f>IFERROR(N11/N446, "NA")</f>
      </c>
      <c r="P11" s="15"/>
      <c r="Q11" s="13">
        <v>41060.230000000003</v>
      </c>
      <c r="R11" s="14">
        <f>IFERROR(Q11/Q446, "NA")</f>
      </c>
      <c r="S11" s="15"/>
      <c r="T11" s="13">
        <v>0</v>
      </c>
      <c r="U11" s="14">
        <f>IFERROR(T11/T446, "NA")</f>
      </c>
      <c r="V11" s="15"/>
      <c r="W11" s="16">
        <f>IFERROR(Q11-T11, "NA")</f>
      </c>
      <c r="X11" s="14">
        <f>IFERROR(W11/W446, "NA")</f>
      </c>
      <c r="Y11" s="15"/>
      <c r="Z11" s="13">
        <v>41210.599999999999</v>
      </c>
      <c r="AA11" s="14">
        <f>IFERROR(Z11/Z446, "NA")</f>
      </c>
      <c r="AB11" s="15"/>
      <c r="AC11" s="16">
        <f>IFERROR(Q11-Z11, "NA")</f>
      </c>
      <c r="AD11" s="14">
        <f>IFERROR(AC11/AC446, "NA")</f>
      </c>
    </row>
    <row r="12" ht="16.5" customHeight="1">
      <c t="s" r="A12" s="18">
        <v>14</v>
      </c>
      <c r="B12" s="13">
        <v>4325.6499999999996</v>
      </c>
      <c r="C12" s="14">
        <f>IFERROR(B12/B446, "NA")</f>
      </c>
      <c r="D12" s="15"/>
      <c r="E12" s="13">
        <v>0</v>
      </c>
      <c r="F12" s="14">
        <f>IFERROR(E12/E446, "NA")</f>
      </c>
      <c r="G12" s="15"/>
      <c r="H12" s="16">
        <f>IFERROR(B12-E12, "NA")</f>
      </c>
      <c r="I12" s="14">
        <f>IFERROR(H12/H446, "NA")</f>
      </c>
      <c r="J12" s="15"/>
      <c r="K12" s="13">
        <v>4275.0500000000002</v>
      </c>
      <c r="L12" s="14">
        <f>IFERROR(K12/K446, "NA")</f>
      </c>
      <c r="M12" s="15"/>
      <c r="N12" s="16">
        <f>IFERROR(B12-K12, "NA")</f>
      </c>
      <c r="O12" s="14">
        <f>IFERROR(N12/N446, "NA")</f>
      </c>
      <c r="P12" s="15"/>
      <c r="Q12" s="13">
        <v>4325.6499999999996</v>
      </c>
      <c r="R12" s="14">
        <f>IFERROR(Q12/Q446, "NA")</f>
      </c>
      <c r="S12" s="15"/>
      <c r="T12" s="13">
        <v>0</v>
      </c>
      <c r="U12" s="14">
        <f>IFERROR(T12/T446, "NA")</f>
      </c>
      <c r="V12" s="15"/>
      <c r="W12" s="16">
        <f>IFERROR(Q12-T12, "NA")</f>
      </c>
      <c r="X12" s="14">
        <f>IFERROR(W12/W446, "NA")</f>
      </c>
      <c r="Y12" s="15"/>
      <c r="Z12" s="13">
        <v>4275.0500000000002</v>
      </c>
      <c r="AA12" s="14">
        <f>IFERROR(Z12/Z446, "NA")</f>
      </c>
      <c r="AB12" s="15"/>
      <c r="AC12" s="16">
        <f>IFERROR(Q12-Z12, "NA")</f>
      </c>
      <c r="AD12" s="14">
        <f>IFERROR(AC12/AC446, "NA")</f>
      </c>
    </row>
    <row r="13" ht="16.5" customHeight="1">
      <c t="s" r="A13" s="18">
        <v>15</v>
      </c>
      <c r="B13" s="13">
        <v>116.5</v>
      </c>
      <c r="C13" s="14">
        <f>IFERROR(B13/B446, "NA")</f>
      </c>
      <c r="D13" s="15"/>
      <c r="E13" s="13">
        <v>0</v>
      </c>
      <c r="F13" s="14">
        <f>IFERROR(E13/E446, "NA")</f>
      </c>
      <c r="G13" s="15"/>
      <c r="H13" s="16">
        <f>IFERROR(B13-E13, "NA")</f>
      </c>
      <c r="I13" s="14">
        <f>IFERROR(H13/H446, "NA")</f>
      </c>
      <c r="J13" s="15"/>
      <c r="K13" s="13">
        <v>77</v>
      </c>
      <c r="L13" s="14">
        <f>IFERROR(K13/K446, "NA")</f>
      </c>
      <c r="M13" s="15"/>
      <c r="N13" s="16">
        <f>IFERROR(B13-K13, "NA")</f>
      </c>
      <c r="O13" s="14">
        <f>IFERROR(N13/N446, "NA")</f>
      </c>
      <c r="P13" s="15"/>
      <c r="Q13" s="13">
        <v>116.5</v>
      </c>
      <c r="R13" s="14">
        <f>IFERROR(Q13/Q446, "NA")</f>
      </c>
      <c r="S13" s="15"/>
      <c r="T13" s="13">
        <v>0</v>
      </c>
      <c r="U13" s="14">
        <f>IFERROR(T13/T446, "NA")</f>
      </c>
      <c r="V13" s="15"/>
      <c r="W13" s="16">
        <f>IFERROR(Q13-T13, "NA")</f>
      </c>
      <c r="X13" s="14">
        <f>IFERROR(W13/W446, "NA")</f>
      </c>
      <c r="Y13" s="15"/>
      <c r="Z13" s="13">
        <v>77</v>
      </c>
      <c r="AA13" s="14">
        <f>IFERROR(Z13/Z446, "NA")</f>
      </c>
      <c r="AB13" s="15"/>
      <c r="AC13" s="16">
        <f>IFERROR(Q13-Z13, "NA")</f>
      </c>
      <c r="AD13" s="14">
        <f>IFERROR(AC13/AC446, "NA")</f>
      </c>
    </row>
    <row r="14" ht="16.5" customHeight="1">
      <c t="s" r="A14" s="18">
        <v>16</v>
      </c>
      <c r="B14" s="13">
        <v>10</v>
      </c>
      <c r="C14" s="14">
        <f>IFERROR(B14/B446, "NA")</f>
      </c>
      <c r="D14" s="15"/>
      <c r="E14" s="13">
        <v>0</v>
      </c>
      <c r="F14" s="14">
        <f>IFERROR(E14/E446, "NA")</f>
      </c>
      <c r="G14" s="15"/>
      <c r="H14" s="16">
        <f>IFERROR(B14-E14, "NA")</f>
      </c>
      <c r="I14" s="14">
        <f>IFERROR(H14/H446, "NA")</f>
      </c>
      <c r="J14" s="15"/>
      <c r="K14" s="13">
        <v>300</v>
      </c>
      <c r="L14" s="14">
        <f>IFERROR(K14/K446, "NA")</f>
      </c>
      <c r="M14" s="15"/>
      <c r="N14" s="16">
        <f>IFERROR(B14-K14, "NA")</f>
      </c>
      <c r="O14" s="14">
        <f>IFERROR(N14/N446, "NA")</f>
      </c>
      <c r="P14" s="15"/>
      <c r="Q14" s="13">
        <v>10</v>
      </c>
      <c r="R14" s="14">
        <f>IFERROR(Q14/Q446, "NA")</f>
      </c>
      <c r="S14" s="15"/>
      <c r="T14" s="13">
        <v>0</v>
      </c>
      <c r="U14" s="14">
        <f>IFERROR(T14/T446, "NA")</f>
      </c>
      <c r="V14" s="15"/>
      <c r="W14" s="16">
        <f>IFERROR(Q14-T14, "NA")</f>
      </c>
      <c r="X14" s="14">
        <f>IFERROR(W14/W446, "NA")</f>
      </c>
      <c r="Y14" s="15"/>
      <c r="Z14" s="13">
        <v>300</v>
      </c>
      <c r="AA14" s="14">
        <f>IFERROR(Z14/Z446, "NA")</f>
      </c>
      <c r="AB14" s="15"/>
      <c r="AC14" s="16">
        <f>IFERROR(Q14-Z14, "NA")</f>
      </c>
      <c r="AD14" s="14">
        <f>IFERROR(AC14/AC446, "NA")</f>
      </c>
    </row>
    <row r="15" ht="16.5" customHeight="1">
      <c t="s" r="A15" s="18">
        <v>17</v>
      </c>
      <c r="B15" s="13">
        <v>42</v>
      </c>
      <c r="C15" s="14">
        <f>IFERROR(B15/B446, "NA")</f>
      </c>
      <c r="D15" s="15"/>
      <c r="E15" s="13">
        <v>0</v>
      </c>
      <c r="F15" s="14">
        <f>IFERROR(E15/E446, "NA")</f>
      </c>
      <c r="G15" s="15"/>
      <c r="H15" s="16">
        <f>IFERROR(B15-E15, "NA")</f>
      </c>
      <c r="I15" s="14">
        <f>IFERROR(H15/H446, "NA")</f>
      </c>
      <c r="J15" s="15"/>
      <c r="K15" s="13">
        <v>54</v>
      </c>
      <c r="L15" s="14">
        <f>IFERROR(K15/K446, "NA")</f>
      </c>
      <c r="M15" s="15"/>
      <c r="N15" s="16">
        <f>IFERROR(B15-K15, "NA")</f>
      </c>
      <c r="O15" s="14">
        <f>IFERROR(N15/N446, "NA")</f>
      </c>
      <c r="P15" s="15"/>
      <c r="Q15" s="13">
        <v>42</v>
      </c>
      <c r="R15" s="14">
        <f>IFERROR(Q15/Q446, "NA")</f>
      </c>
      <c r="S15" s="15"/>
      <c r="T15" s="13">
        <v>0</v>
      </c>
      <c r="U15" s="14">
        <f>IFERROR(T15/T446, "NA")</f>
      </c>
      <c r="V15" s="15"/>
      <c r="W15" s="16">
        <f>IFERROR(Q15-T15, "NA")</f>
      </c>
      <c r="X15" s="14">
        <f>IFERROR(W15/W446, "NA")</f>
      </c>
      <c r="Y15" s="15"/>
      <c r="Z15" s="13">
        <v>54</v>
      </c>
      <c r="AA15" s="14">
        <f>IFERROR(Z15/Z446, "NA")</f>
      </c>
      <c r="AB15" s="15"/>
      <c r="AC15" s="16">
        <f>IFERROR(Q15-Z15, "NA")</f>
      </c>
      <c r="AD15" s="14">
        <f>IFERROR(AC15/AC446, "NA")</f>
      </c>
    </row>
    <row r="16" ht="16.5" customHeight="1">
      <c t="s" r="A16" s="18">
        <v>18</v>
      </c>
      <c r="B16" s="13">
        <v>0.12</v>
      </c>
      <c r="C16" s="14">
        <f>IFERROR(B16/B446, "NA")</f>
      </c>
      <c r="D16" s="15"/>
      <c r="E16" s="13">
        <v>0</v>
      </c>
      <c r="F16" s="14">
        <f>IFERROR(E16/E446, "NA")</f>
      </c>
      <c r="G16" s="15"/>
      <c r="H16" s="16">
        <f>IFERROR(B16-E16, "NA")</f>
      </c>
      <c r="I16" s="14">
        <f>IFERROR(H16/H446, "NA")</f>
      </c>
      <c r="J16" s="15"/>
      <c r="K16" s="13">
        <v>0</v>
      </c>
      <c r="L16" s="14">
        <f>IFERROR(K16/K446, "NA")</f>
      </c>
      <c r="M16" s="15"/>
      <c r="N16" s="16">
        <f>IFERROR(B16-K16, "NA")</f>
      </c>
      <c r="O16" s="14">
        <f>IFERROR(N16/N446, "NA")</f>
      </c>
      <c r="P16" s="15"/>
      <c r="Q16" s="13">
        <v>0.12</v>
      </c>
      <c r="R16" s="14">
        <f>IFERROR(Q16/Q446, "NA")</f>
      </c>
      <c r="S16" s="15"/>
      <c r="T16" s="13">
        <v>0</v>
      </c>
      <c r="U16" s="14">
        <f>IFERROR(T16/T446, "NA")</f>
      </c>
      <c r="V16" s="15"/>
      <c r="W16" s="16">
        <f>IFERROR(Q16-T16, "NA")</f>
      </c>
      <c r="X16" s="14">
        <f>IFERROR(W16/W446, "NA")</f>
      </c>
      <c r="Y16" s="15"/>
      <c r="Z16" s="13">
        <v>0</v>
      </c>
      <c r="AA16" s="14">
        <f>IFERROR(Z16/Z446, "NA")</f>
      </c>
      <c r="AB16" s="15"/>
      <c r="AC16" s="16">
        <f>IFERROR(Q16-Z16, "NA")</f>
      </c>
      <c r="AD16" s="14">
        <f>IFERROR(AC16/AC446, "NA")</f>
      </c>
    </row>
    <row r="17" hidden="1" ht="16.5" customHeight="1">
      <c t="s" r="A17" s="18">
        <v>19</v>
      </c>
      <c r="B17" s="13">
        <v>0</v>
      </c>
      <c r="C17" s="14">
        <f>IFERROR(B17/B446, "NA")</f>
      </c>
      <c r="D17" s="15"/>
      <c r="E17" s="13">
        <v>0</v>
      </c>
      <c r="F17" s="14">
        <f>IFERROR(E17/E446, "NA")</f>
      </c>
      <c r="G17" s="15"/>
      <c r="H17" s="16">
        <f>IFERROR(B17-E17, "NA")</f>
      </c>
      <c r="I17" s="14">
        <f>IFERROR(H17/H446, "NA")</f>
      </c>
      <c r="J17" s="15"/>
      <c r="K17" s="13">
        <v>0</v>
      </c>
      <c r="L17" s="14">
        <f>IFERROR(K17/K446, "NA")</f>
      </c>
      <c r="M17" s="15"/>
      <c r="N17" s="16">
        <f>IFERROR(B17-K17, "NA")</f>
      </c>
      <c r="O17" s="14">
        <f>IFERROR(N17/N446, "NA")</f>
      </c>
      <c r="P17" s="15"/>
      <c r="Q17" s="13">
        <v>0</v>
      </c>
      <c r="R17" s="14">
        <f>IFERROR(Q17/Q446, "NA")</f>
      </c>
      <c r="S17" s="15"/>
      <c r="T17" s="13">
        <v>0</v>
      </c>
      <c r="U17" s="14">
        <f>IFERROR(T17/T446, "NA")</f>
      </c>
      <c r="V17" s="15"/>
      <c r="W17" s="16">
        <f>IFERROR(Q17-T17, "NA")</f>
      </c>
      <c r="X17" s="14">
        <f>IFERROR(W17/W446, "NA")</f>
      </c>
      <c r="Y17" s="15"/>
      <c r="Z17" s="13">
        <v>0</v>
      </c>
      <c r="AA17" s="14">
        <f>IFERROR(Z17/Z446, "NA")</f>
      </c>
      <c r="AB17" s="15"/>
      <c r="AC17" s="16">
        <f>IFERROR(Q17-Z17, "NA")</f>
      </c>
      <c r="AD17" s="14">
        <f>IFERROR(AC17/AC446, "NA")</f>
      </c>
    </row>
    <row r="18" ht="16.5" customHeight="1">
      <c t="s" r="A18" s="19">
        <v>20</v>
      </c>
      <c r="B18" s="20">
        <f>IFERROR(B10+B11+B12+B13+B14+B15+B16+B17, "NA")</f>
      </c>
      <c r="C18" s="21">
        <f>IFERROR(B18/B446, "NA")</f>
      </c>
      <c r="D18" s="8"/>
      <c r="E18" s="20">
        <f>IFERROR(E10+E11+E12+E13+E14+E15+E16+E17, "NA")</f>
      </c>
      <c r="F18" s="21">
        <f>IFERROR(E18/E446, "NA")</f>
      </c>
      <c r="G18" s="8"/>
      <c r="H18" s="20">
        <f>IFERROR(B18-E18, "NA")</f>
      </c>
      <c r="I18" s="21">
        <f>IFERROR(H18/H446, "NA")</f>
      </c>
      <c r="J18" s="8"/>
      <c r="K18" s="20">
        <f>IFERROR(K10+K11+K12+K13+K14+K15+K16+K17, "NA")</f>
      </c>
      <c r="L18" s="21">
        <f>IFERROR(K18/K446, "NA")</f>
      </c>
      <c r="M18" s="8"/>
      <c r="N18" s="20">
        <f>IFERROR(B18-K18, "NA")</f>
      </c>
      <c r="O18" s="21">
        <f>IFERROR(N18/N446, "NA")</f>
      </c>
      <c r="P18" s="8"/>
      <c r="Q18" s="20">
        <f>IFERROR(Q10+Q11+Q12+Q13+Q14+Q15+Q16+Q17, "NA")</f>
      </c>
      <c r="R18" s="21">
        <f>IFERROR(Q18/Q446, "NA")</f>
      </c>
      <c r="S18" s="8"/>
      <c r="T18" s="20">
        <f>IFERROR(T10+T11+T12+T13+T14+T15+T16+T17, "NA")</f>
      </c>
      <c r="U18" s="21">
        <f>IFERROR(T18/T446, "NA")</f>
      </c>
      <c r="V18" s="8"/>
      <c r="W18" s="20">
        <f>IFERROR(Q18-T18, "NA")</f>
      </c>
      <c r="X18" s="21">
        <f>IFERROR(W18/W446, "NA")</f>
      </c>
      <c r="Y18" s="8"/>
      <c r="Z18" s="20">
        <f>IFERROR(Z10+Z11+Z12+Z13+Z14+Z15+Z16+Z17, "NA")</f>
      </c>
      <c r="AA18" s="21">
        <f>IFERROR(Z18/Z446, "NA")</f>
      </c>
      <c r="AB18" s="8"/>
      <c r="AC18" s="20">
        <f>IFERROR(Q18-Z18, "NA")</f>
      </c>
      <c r="AD18" s="21">
        <f>IFERROR(AC18/AC446, "NA")</f>
      </c>
    </row>
    <row r="19" hidden="1" ht="16.5" customHeight="1">
      <c t="s" r="A19" s="12">
        <v>21</v>
      </c>
      <c r="B19" s="13">
        <v>0</v>
      </c>
      <c r="C19" s="14">
        <f>IFERROR(B19/B446, "NA")</f>
      </c>
      <c r="D19" s="15"/>
      <c r="E19" s="13">
        <v>0</v>
      </c>
      <c r="F19" s="14">
        <f>IFERROR(E19/E446, "NA")</f>
      </c>
      <c r="G19" s="15"/>
      <c r="H19" s="16">
        <f>IFERROR(B19-E19, "NA")</f>
      </c>
      <c r="I19" s="14">
        <f>IFERROR(H19/H446, "NA")</f>
      </c>
      <c r="J19" s="15"/>
      <c r="K19" s="13">
        <v>0</v>
      </c>
      <c r="L19" s="14">
        <f>IFERROR(K19/K446, "NA")</f>
      </c>
      <c r="M19" s="15"/>
      <c r="N19" s="16">
        <f>IFERROR(B19-K19, "NA")</f>
      </c>
      <c r="O19" s="14">
        <f>IFERROR(N19/N446, "NA")</f>
      </c>
      <c r="P19" s="15"/>
      <c r="Q19" s="13">
        <v>0</v>
      </c>
      <c r="R19" s="14">
        <f>IFERROR(Q19/Q446, "NA")</f>
      </c>
      <c r="S19" s="15"/>
      <c r="T19" s="13">
        <v>0</v>
      </c>
      <c r="U19" s="14">
        <f>IFERROR(T19/T446, "NA")</f>
      </c>
      <c r="V19" s="15"/>
      <c r="W19" s="16">
        <f>IFERROR(Q19-T19, "NA")</f>
      </c>
      <c r="X19" s="14">
        <f>IFERROR(W19/W446, "NA")</f>
      </c>
      <c r="Y19" s="15"/>
      <c r="Z19" s="13">
        <v>0</v>
      </c>
      <c r="AA19" s="14">
        <f>IFERROR(Z19/Z446, "NA")</f>
      </c>
      <c r="AB19" s="15"/>
      <c r="AC19" s="16">
        <f>IFERROR(Q19-Z19, "NA")</f>
      </c>
      <c r="AD19" s="14">
        <f>IFERROR(AC19/AC446, "NA")</f>
      </c>
    </row>
    <row r="20" ht="16.5" customHeight="1">
      <c t="s" r="A20" s="17">
        <v>22</v>
      </c>
      <c r="B20" s="8"/>
      <c r="C20" s="9"/>
      <c r="D20" s="10"/>
      <c r="E20" s="8"/>
      <c r="F20" s="9"/>
      <c r="G20" s="10"/>
      <c r="H20" s="8"/>
      <c r="I20" s="9"/>
      <c r="J20" s="10"/>
      <c r="K20" s="8"/>
      <c r="L20" s="9"/>
      <c r="M20" s="10"/>
      <c r="N20" s="8"/>
      <c r="O20" s="9"/>
      <c r="P20" s="10"/>
      <c r="Q20" s="8"/>
      <c r="R20" s="9"/>
      <c r="S20" s="10"/>
      <c r="T20" s="8"/>
      <c r="U20" s="9"/>
      <c r="V20" s="10"/>
      <c r="W20" s="8"/>
      <c r="X20" s="9"/>
      <c r="Y20" s="10"/>
      <c r="Z20" s="8"/>
      <c r="AA20" s="9"/>
      <c r="AB20" s="10"/>
      <c r="AC20" s="8"/>
      <c r="AD20" s="9"/>
    </row>
    <row r="21" ht="16.5" customHeight="1">
      <c t="s" r="A21" s="18">
        <v>22</v>
      </c>
      <c r="B21" s="13">
        <v>0</v>
      </c>
      <c r="C21" s="14">
        <f>IFERROR(B21/B446, "NA")</f>
      </c>
      <c r="D21" s="15"/>
      <c r="E21" s="13">
        <v>10391.200000000001</v>
      </c>
      <c r="F21" s="14">
        <f>IFERROR(E21/E446, "NA")</f>
      </c>
      <c r="G21" s="15"/>
      <c r="H21" s="16">
        <f>IFERROR(B21-E21, "NA")</f>
      </c>
      <c r="I21" s="14">
        <f>IFERROR(H21/H446, "NA")</f>
      </c>
      <c r="J21" s="15"/>
      <c r="K21" s="13">
        <v>0</v>
      </c>
      <c r="L21" s="14">
        <f>IFERROR(K21/K446, "NA")</f>
      </c>
      <c r="M21" s="15"/>
      <c r="N21" s="16">
        <f>IFERROR(B21-K21, "NA")</f>
      </c>
      <c r="O21" s="14">
        <f>IFERROR(N21/N446, "NA")</f>
      </c>
      <c r="P21" s="15"/>
      <c r="Q21" s="13">
        <v>0</v>
      </c>
      <c r="R21" s="14">
        <f>IFERROR(Q21/Q446, "NA")</f>
      </c>
      <c r="S21" s="15"/>
      <c r="T21" s="13">
        <v>10391.200000000001</v>
      </c>
      <c r="U21" s="14">
        <f>IFERROR(T21/T446, "NA")</f>
      </c>
      <c r="V21" s="15"/>
      <c r="W21" s="16">
        <f>IFERROR(Q21-T21, "NA")</f>
      </c>
      <c r="X21" s="14">
        <f>IFERROR(W21/W446, "NA")</f>
      </c>
      <c r="Y21" s="15"/>
      <c r="Z21" s="13">
        <v>0</v>
      </c>
      <c r="AA21" s="14">
        <f>IFERROR(Z21/Z446, "NA")</f>
      </c>
      <c r="AB21" s="15"/>
      <c r="AC21" s="16">
        <f>IFERROR(Q21-Z21, "NA")</f>
      </c>
      <c r="AD21" s="14">
        <f>IFERROR(AC21/AC446, "NA")</f>
      </c>
    </row>
    <row r="22" ht="16.5" customHeight="1">
      <c t="s" r="A22" s="18">
        <v>23</v>
      </c>
      <c r="B22" s="13">
        <v>5174.3900000000003</v>
      </c>
      <c r="C22" s="14">
        <f>IFERROR(B22/B446, "NA")</f>
      </c>
      <c r="D22" s="15"/>
      <c r="E22" s="13">
        <v>0</v>
      </c>
      <c r="F22" s="14">
        <f>IFERROR(E22/E446, "NA")</f>
      </c>
      <c r="G22" s="15"/>
      <c r="H22" s="16">
        <f>IFERROR(B22-E22, "NA")</f>
      </c>
      <c r="I22" s="14">
        <f>IFERROR(H22/H446, "NA")</f>
      </c>
      <c r="J22" s="15"/>
      <c r="K22" s="13">
        <v>7744.8000000000002</v>
      </c>
      <c r="L22" s="14">
        <f>IFERROR(K22/K446, "NA")</f>
      </c>
      <c r="M22" s="15"/>
      <c r="N22" s="16">
        <f>IFERROR(B22-K22, "NA")</f>
      </c>
      <c r="O22" s="14">
        <f>IFERROR(N22/N446, "NA")</f>
      </c>
      <c r="P22" s="15"/>
      <c r="Q22" s="13">
        <v>5174.3900000000003</v>
      </c>
      <c r="R22" s="14">
        <f>IFERROR(Q22/Q446, "NA")</f>
      </c>
      <c r="S22" s="15"/>
      <c r="T22" s="13">
        <v>0</v>
      </c>
      <c r="U22" s="14">
        <f>IFERROR(T22/T446, "NA")</f>
      </c>
      <c r="V22" s="15"/>
      <c r="W22" s="16">
        <f>IFERROR(Q22-T22, "NA")</f>
      </c>
      <c r="X22" s="14">
        <f>IFERROR(W22/W446, "NA")</f>
      </c>
      <c r="Y22" s="15"/>
      <c r="Z22" s="13">
        <v>7744.8000000000002</v>
      </c>
      <c r="AA22" s="14">
        <f>IFERROR(Z22/Z446, "NA")</f>
      </c>
      <c r="AB22" s="15"/>
      <c r="AC22" s="16">
        <f>IFERROR(Q22-Z22, "NA")</f>
      </c>
      <c r="AD22" s="14">
        <f>IFERROR(AC22/AC446, "NA")</f>
      </c>
    </row>
    <row r="23" ht="16.5" customHeight="1">
      <c t="s" r="A23" s="18">
        <v>24</v>
      </c>
      <c r="B23" s="13">
        <v>3277.77</v>
      </c>
      <c r="C23" s="14">
        <f>IFERROR(B23/B446, "NA")</f>
      </c>
      <c r="D23" s="15"/>
      <c r="E23" s="13">
        <v>0</v>
      </c>
      <c r="F23" s="14">
        <f>IFERROR(E23/E446, "NA")</f>
      </c>
      <c r="G23" s="15"/>
      <c r="H23" s="16">
        <f>IFERROR(B23-E23, "NA")</f>
      </c>
      <c r="I23" s="14">
        <f>IFERROR(H23/H446, "NA")</f>
      </c>
      <c r="J23" s="15"/>
      <c r="K23" s="13">
        <v>0</v>
      </c>
      <c r="L23" s="14">
        <f>IFERROR(K23/K446, "NA")</f>
      </c>
      <c r="M23" s="15"/>
      <c r="N23" s="16">
        <f>IFERROR(B23-K23, "NA")</f>
      </c>
      <c r="O23" s="14">
        <f>IFERROR(N23/N446, "NA")</f>
      </c>
      <c r="P23" s="15"/>
      <c r="Q23" s="13">
        <v>3277.77</v>
      </c>
      <c r="R23" s="14">
        <f>IFERROR(Q23/Q446, "NA")</f>
      </c>
      <c r="S23" s="15"/>
      <c r="T23" s="13">
        <v>0</v>
      </c>
      <c r="U23" s="14">
        <f>IFERROR(T23/T446, "NA")</f>
      </c>
      <c r="V23" s="15"/>
      <c r="W23" s="16">
        <f>IFERROR(Q23-T23, "NA")</f>
      </c>
      <c r="X23" s="14">
        <f>IFERROR(W23/W446, "NA")</f>
      </c>
      <c r="Y23" s="15"/>
      <c r="Z23" s="13">
        <v>0</v>
      </c>
      <c r="AA23" s="14">
        <f>IFERROR(Z23/Z446, "NA")</f>
      </c>
      <c r="AB23" s="15"/>
      <c r="AC23" s="16">
        <f>IFERROR(Q23-Z23, "NA")</f>
      </c>
      <c r="AD23" s="14">
        <f>IFERROR(AC23/AC446, "NA")</f>
      </c>
    </row>
    <row r="24" ht="16.5" customHeight="1">
      <c t="s" r="A24" s="18">
        <v>25</v>
      </c>
      <c r="B24" s="13">
        <v>775.25</v>
      </c>
      <c r="C24" s="14">
        <f>IFERROR(B24/B446, "NA")</f>
      </c>
      <c r="D24" s="15"/>
      <c r="E24" s="13">
        <v>0</v>
      </c>
      <c r="F24" s="14">
        <f>IFERROR(E24/E446, "NA")</f>
      </c>
      <c r="G24" s="15"/>
      <c r="H24" s="16">
        <f>IFERROR(B24-E24, "NA")</f>
      </c>
      <c r="I24" s="14">
        <f>IFERROR(H24/H446, "NA")</f>
      </c>
      <c r="J24" s="15"/>
      <c r="K24" s="13">
        <v>1089.1300000000001</v>
      </c>
      <c r="L24" s="14">
        <f>IFERROR(K24/K446, "NA")</f>
      </c>
      <c r="M24" s="15"/>
      <c r="N24" s="16">
        <f>IFERROR(B24-K24, "NA")</f>
      </c>
      <c r="O24" s="14">
        <f>IFERROR(N24/N446, "NA")</f>
      </c>
      <c r="P24" s="15"/>
      <c r="Q24" s="13">
        <v>775.25</v>
      </c>
      <c r="R24" s="14">
        <f>IFERROR(Q24/Q446, "NA")</f>
      </c>
      <c r="S24" s="15"/>
      <c r="T24" s="13">
        <v>0</v>
      </c>
      <c r="U24" s="14">
        <f>IFERROR(T24/T446, "NA")</f>
      </c>
      <c r="V24" s="15"/>
      <c r="W24" s="16">
        <f>IFERROR(Q24-T24, "NA")</f>
      </c>
      <c r="X24" s="14">
        <f>IFERROR(W24/W446, "NA")</f>
      </c>
      <c r="Y24" s="15"/>
      <c r="Z24" s="13">
        <v>1089.1300000000001</v>
      </c>
      <c r="AA24" s="14">
        <f>IFERROR(Z24/Z446, "NA")</f>
      </c>
      <c r="AB24" s="15"/>
      <c r="AC24" s="16">
        <f>IFERROR(Q24-Z24, "NA")</f>
      </c>
      <c r="AD24" s="14">
        <f>IFERROR(AC24/AC446, "NA")</f>
      </c>
    </row>
    <row r="25" ht="16.5" customHeight="1">
      <c t="s" r="A25" s="18">
        <v>26</v>
      </c>
      <c r="B25" s="13">
        <v>106.62</v>
      </c>
      <c r="C25" s="14">
        <f>IFERROR(B25/B446, "NA")</f>
      </c>
      <c r="D25" s="15"/>
      <c r="E25" s="13">
        <v>0</v>
      </c>
      <c r="F25" s="14">
        <f>IFERROR(E25/E446, "NA")</f>
      </c>
      <c r="G25" s="15"/>
      <c r="H25" s="16">
        <f>IFERROR(B25-E25, "NA")</f>
      </c>
      <c r="I25" s="14">
        <f>IFERROR(H25/H446, "NA")</f>
      </c>
      <c r="J25" s="15"/>
      <c r="K25" s="13">
        <v>0</v>
      </c>
      <c r="L25" s="14">
        <f>IFERROR(K25/K446, "NA")</f>
      </c>
      <c r="M25" s="15"/>
      <c r="N25" s="16">
        <f>IFERROR(B25-K25, "NA")</f>
      </c>
      <c r="O25" s="14">
        <f>IFERROR(N25/N446, "NA")</f>
      </c>
      <c r="P25" s="15"/>
      <c r="Q25" s="13">
        <v>106.62</v>
      </c>
      <c r="R25" s="14">
        <f>IFERROR(Q25/Q446, "NA")</f>
      </c>
      <c r="S25" s="15"/>
      <c r="T25" s="13">
        <v>0</v>
      </c>
      <c r="U25" s="14">
        <f>IFERROR(T25/T446, "NA")</f>
      </c>
      <c r="V25" s="15"/>
      <c r="W25" s="16">
        <f>IFERROR(Q25-T25, "NA")</f>
      </c>
      <c r="X25" s="14">
        <f>IFERROR(W25/W446, "NA")</f>
      </c>
      <c r="Y25" s="15"/>
      <c r="Z25" s="13">
        <v>0</v>
      </c>
      <c r="AA25" s="14">
        <f>IFERROR(Z25/Z446, "NA")</f>
      </c>
      <c r="AB25" s="15"/>
      <c r="AC25" s="16">
        <f>IFERROR(Q25-Z25, "NA")</f>
      </c>
      <c r="AD25" s="14">
        <f>IFERROR(AC25/AC446, "NA")</f>
      </c>
    </row>
    <row r="26" ht="16.5" customHeight="1">
      <c t="s" r="A26" s="18">
        <v>27</v>
      </c>
      <c r="B26" s="13">
        <v>562.80999999999995</v>
      </c>
      <c r="C26" s="14">
        <f>IFERROR(B26/B446, "NA")</f>
      </c>
      <c r="D26" s="15"/>
      <c r="E26" s="13">
        <v>0</v>
      </c>
      <c r="F26" s="14">
        <f>IFERROR(E26/E446, "NA")</f>
      </c>
      <c r="G26" s="15"/>
      <c r="H26" s="16">
        <f>IFERROR(B26-E26, "NA")</f>
      </c>
      <c r="I26" s="14">
        <f>IFERROR(H26/H446, "NA")</f>
      </c>
      <c r="J26" s="15"/>
      <c r="K26" s="13">
        <v>0</v>
      </c>
      <c r="L26" s="14">
        <f>IFERROR(K26/K446, "NA")</f>
      </c>
      <c r="M26" s="15"/>
      <c r="N26" s="16">
        <f>IFERROR(B26-K26, "NA")</f>
      </c>
      <c r="O26" s="14">
        <f>IFERROR(N26/N446, "NA")</f>
      </c>
      <c r="P26" s="15"/>
      <c r="Q26" s="13">
        <v>562.80999999999995</v>
      </c>
      <c r="R26" s="14">
        <f>IFERROR(Q26/Q446, "NA")</f>
      </c>
      <c r="S26" s="15"/>
      <c r="T26" s="13">
        <v>0</v>
      </c>
      <c r="U26" s="14">
        <f>IFERROR(T26/T446, "NA")</f>
      </c>
      <c r="V26" s="15"/>
      <c r="W26" s="16">
        <f>IFERROR(Q26-T26, "NA")</f>
      </c>
      <c r="X26" s="14">
        <f>IFERROR(W26/W446, "NA")</f>
      </c>
      <c r="Y26" s="15"/>
      <c r="Z26" s="13">
        <v>0</v>
      </c>
      <c r="AA26" s="14">
        <f>IFERROR(Z26/Z446, "NA")</f>
      </c>
      <c r="AB26" s="15"/>
      <c r="AC26" s="16">
        <f>IFERROR(Q26-Z26, "NA")</f>
      </c>
      <c r="AD26" s="14">
        <f>IFERROR(AC26/AC446, "NA")</f>
      </c>
    </row>
    <row r="27" hidden="1" ht="16.5" customHeight="1">
      <c t="s" r="A27" s="18">
        <v>28</v>
      </c>
      <c r="B27" s="13">
        <v>0</v>
      </c>
      <c r="C27" s="14">
        <f>IFERROR(B27/B446, "NA")</f>
      </c>
      <c r="D27" s="15"/>
      <c r="E27" s="13">
        <v>0</v>
      </c>
      <c r="F27" s="14">
        <f>IFERROR(E27/E446, "NA")</f>
      </c>
      <c r="G27" s="15"/>
      <c r="H27" s="16">
        <f>IFERROR(B27-E27, "NA")</f>
      </c>
      <c r="I27" s="14">
        <f>IFERROR(H27/H446, "NA")</f>
      </c>
      <c r="J27" s="15"/>
      <c r="K27" s="13">
        <v>0</v>
      </c>
      <c r="L27" s="14">
        <f>IFERROR(K27/K446, "NA")</f>
      </c>
      <c r="M27" s="15"/>
      <c r="N27" s="16">
        <f>IFERROR(B27-K27, "NA")</f>
      </c>
      <c r="O27" s="14">
        <f>IFERROR(N27/N446, "NA")</f>
      </c>
      <c r="P27" s="15"/>
      <c r="Q27" s="13">
        <v>0</v>
      </c>
      <c r="R27" s="14">
        <f>IFERROR(Q27/Q446, "NA")</f>
      </c>
      <c r="S27" s="15"/>
      <c r="T27" s="13">
        <v>0</v>
      </c>
      <c r="U27" s="14">
        <f>IFERROR(T27/T446, "NA")</f>
      </c>
      <c r="V27" s="15"/>
      <c r="W27" s="16">
        <f>IFERROR(Q27-T27, "NA")</f>
      </c>
      <c r="X27" s="14">
        <f>IFERROR(W27/W446, "NA")</f>
      </c>
      <c r="Y27" s="15"/>
      <c r="Z27" s="13">
        <v>0</v>
      </c>
      <c r="AA27" s="14">
        <f>IFERROR(Z27/Z446, "NA")</f>
      </c>
      <c r="AB27" s="15"/>
      <c r="AC27" s="16">
        <f>IFERROR(Q27-Z27, "NA")</f>
      </c>
      <c r="AD27" s="14">
        <f>IFERROR(AC27/AC446, "NA")</f>
      </c>
    </row>
    <row r="28" ht="16.5" customHeight="1">
      <c t="s" r="A28" s="18">
        <v>29</v>
      </c>
      <c r="B28" s="13">
        <v>808.64999999999998</v>
      </c>
      <c r="C28" s="14">
        <f>IFERROR(B28/B446, "NA")</f>
      </c>
      <c r="D28" s="15"/>
      <c r="E28" s="13">
        <v>0</v>
      </c>
      <c r="F28" s="14">
        <f>IFERROR(E28/E446, "NA")</f>
      </c>
      <c r="G28" s="15"/>
      <c r="H28" s="16">
        <f>IFERROR(B28-E28, "NA")</f>
      </c>
      <c r="I28" s="14">
        <f>IFERROR(H28/H446, "NA")</f>
      </c>
      <c r="J28" s="15"/>
      <c r="K28" s="13">
        <v>838.60000000000002</v>
      </c>
      <c r="L28" s="14">
        <f>IFERROR(K28/K446, "NA")</f>
      </c>
      <c r="M28" s="15"/>
      <c r="N28" s="16">
        <f>IFERROR(B28-K28, "NA")</f>
      </c>
      <c r="O28" s="14">
        <f>IFERROR(N28/N446, "NA")</f>
      </c>
      <c r="P28" s="15"/>
      <c r="Q28" s="13">
        <v>808.64999999999998</v>
      </c>
      <c r="R28" s="14">
        <f>IFERROR(Q28/Q446, "NA")</f>
      </c>
      <c r="S28" s="15"/>
      <c r="T28" s="13">
        <v>0</v>
      </c>
      <c r="U28" s="14">
        <f>IFERROR(T28/T446, "NA")</f>
      </c>
      <c r="V28" s="15"/>
      <c r="W28" s="16">
        <f>IFERROR(Q28-T28, "NA")</f>
      </c>
      <c r="X28" s="14">
        <f>IFERROR(W28/W446, "NA")</f>
      </c>
      <c r="Y28" s="15"/>
      <c r="Z28" s="13">
        <v>838.60000000000002</v>
      </c>
      <c r="AA28" s="14">
        <f>IFERROR(Z28/Z446, "NA")</f>
      </c>
      <c r="AB28" s="15"/>
      <c r="AC28" s="16">
        <f>IFERROR(Q28-Z28, "NA")</f>
      </c>
      <c r="AD28" s="14">
        <f>IFERROR(AC28/AC446, "NA")</f>
      </c>
    </row>
    <row r="29" ht="16.5" customHeight="1">
      <c t="s" r="A29" s="19">
        <v>30</v>
      </c>
      <c r="B29" s="20">
        <f>IFERROR(B21+B22+B23+B24+B25+B26+B27+B28, "NA")</f>
      </c>
      <c r="C29" s="21">
        <f>IFERROR(B29/B446, "NA")</f>
      </c>
      <c r="D29" s="8"/>
      <c r="E29" s="20">
        <f>IFERROR(E21+E22+E23+E24+E25+E26+E27+E28, "NA")</f>
      </c>
      <c r="F29" s="21">
        <f>IFERROR(E29/E446, "NA")</f>
      </c>
      <c r="G29" s="8"/>
      <c r="H29" s="20">
        <f>IFERROR(B29-E29, "NA")</f>
      </c>
      <c r="I29" s="21">
        <f>IFERROR(H29/H446, "NA")</f>
      </c>
      <c r="J29" s="8"/>
      <c r="K29" s="20">
        <f>IFERROR(K21+K22+K23+K24+K25+K26+K27+K28, "NA")</f>
      </c>
      <c r="L29" s="21">
        <f>IFERROR(K29/K446, "NA")</f>
      </c>
      <c r="M29" s="8"/>
      <c r="N29" s="20">
        <f>IFERROR(B29-K29, "NA")</f>
      </c>
      <c r="O29" s="21">
        <f>IFERROR(N29/N446, "NA")</f>
      </c>
      <c r="P29" s="8"/>
      <c r="Q29" s="20">
        <f>IFERROR(Q21+Q22+Q23+Q24+Q25+Q26+Q27+Q28, "NA")</f>
      </c>
      <c r="R29" s="21">
        <f>IFERROR(Q29/Q446, "NA")</f>
      </c>
      <c r="S29" s="8"/>
      <c r="T29" s="20">
        <f>IFERROR(T21+T22+T23+T24+T25+T26+T27+T28, "NA")</f>
      </c>
      <c r="U29" s="21">
        <f>IFERROR(T29/T446, "NA")</f>
      </c>
      <c r="V29" s="8"/>
      <c r="W29" s="20">
        <f>IFERROR(Q29-T29, "NA")</f>
      </c>
      <c r="X29" s="21">
        <f>IFERROR(W29/W446, "NA")</f>
      </c>
      <c r="Y29" s="8"/>
      <c r="Z29" s="20">
        <f>IFERROR(Z21+Z22+Z23+Z24+Z25+Z26+Z27+Z28, "NA")</f>
      </c>
      <c r="AA29" s="21">
        <f>IFERROR(Z29/Z446, "NA")</f>
      </c>
      <c r="AB29" s="8"/>
      <c r="AC29" s="20">
        <f>IFERROR(Q29-Z29, "NA")</f>
      </c>
      <c r="AD29" s="21">
        <f>IFERROR(AC29/AC446, "NA")</f>
      </c>
    </row>
    <row r="30" ht="16.5" customHeight="1">
      <c t="s" r="A30" s="17">
        <v>31</v>
      </c>
      <c r="B30" s="8"/>
      <c r="C30" s="9"/>
      <c r="D30" s="10"/>
      <c r="E30" s="8"/>
      <c r="F30" s="9"/>
      <c r="G30" s="10"/>
      <c r="H30" s="8"/>
      <c r="I30" s="9"/>
      <c r="J30" s="10"/>
      <c r="K30" s="8"/>
      <c r="L30" s="9"/>
      <c r="M30" s="10"/>
      <c r="N30" s="8"/>
      <c r="O30" s="9"/>
      <c r="P30" s="10"/>
      <c r="Q30" s="8"/>
      <c r="R30" s="9"/>
      <c r="S30" s="10"/>
      <c r="T30" s="8"/>
      <c r="U30" s="9"/>
      <c r="V30" s="10"/>
      <c r="W30" s="8"/>
      <c r="X30" s="9"/>
      <c r="Y30" s="10"/>
      <c r="Z30" s="8"/>
      <c r="AA30" s="9"/>
      <c r="AB30" s="10"/>
      <c r="AC30" s="8"/>
      <c r="AD30" s="9"/>
    </row>
    <row r="31" ht="16.5" customHeight="1">
      <c t="s" r="A31" s="18">
        <v>31</v>
      </c>
      <c r="B31" s="13">
        <v>0</v>
      </c>
      <c r="C31" s="14">
        <f>IFERROR(B31/B446, "NA")</f>
      </c>
      <c r="D31" s="15"/>
      <c r="E31" s="13">
        <v>17674.740000000002</v>
      </c>
      <c r="F31" s="14">
        <f>IFERROR(E31/E446, "NA")</f>
      </c>
      <c r="G31" s="15"/>
      <c r="H31" s="16">
        <f>IFERROR(B31-E31, "NA")</f>
      </c>
      <c r="I31" s="14">
        <f>IFERROR(H31/H446, "NA")</f>
      </c>
      <c r="J31" s="15"/>
      <c r="K31" s="13">
        <v>0</v>
      </c>
      <c r="L31" s="14">
        <f>IFERROR(K31/K446, "NA")</f>
      </c>
      <c r="M31" s="15"/>
      <c r="N31" s="16">
        <f>IFERROR(B31-K31, "NA")</f>
      </c>
      <c r="O31" s="14">
        <f>IFERROR(N31/N446, "NA")</f>
      </c>
      <c r="P31" s="15"/>
      <c r="Q31" s="13">
        <v>0</v>
      </c>
      <c r="R31" s="14">
        <f>IFERROR(Q31/Q446, "NA")</f>
      </c>
      <c r="S31" s="15"/>
      <c r="T31" s="13">
        <v>17674.740000000002</v>
      </c>
      <c r="U31" s="14">
        <f>IFERROR(T31/T446, "NA")</f>
      </c>
      <c r="V31" s="15"/>
      <c r="W31" s="16">
        <f>IFERROR(Q31-T31, "NA")</f>
      </c>
      <c r="X31" s="14">
        <f>IFERROR(W31/W446, "NA")</f>
      </c>
      <c r="Y31" s="15"/>
      <c r="Z31" s="13">
        <v>0</v>
      </c>
      <c r="AA31" s="14">
        <f>IFERROR(Z31/Z446, "NA")</f>
      </c>
      <c r="AB31" s="15"/>
      <c r="AC31" s="16">
        <f>IFERROR(Q31-Z31, "NA")</f>
      </c>
      <c r="AD31" s="14">
        <f>IFERROR(AC31/AC446, "NA")</f>
      </c>
    </row>
    <row r="32" hidden="1" ht="16.5" customHeight="1">
      <c t="s" r="A32" s="18">
        <v>32</v>
      </c>
      <c r="B32" s="13">
        <v>0</v>
      </c>
      <c r="C32" s="14">
        <f>IFERROR(B32/B446, "NA")</f>
      </c>
      <c r="D32" s="15"/>
      <c r="E32" s="13">
        <v>0</v>
      </c>
      <c r="F32" s="14">
        <f>IFERROR(E32/E446, "NA")</f>
      </c>
      <c r="G32" s="15"/>
      <c r="H32" s="16">
        <f>IFERROR(B32-E32, "NA")</f>
      </c>
      <c r="I32" s="14">
        <f>IFERROR(H32/H446, "NA")</f>
      </c>
      <c r="J32" s="15"/>
      <c r="K32" s="13">
        <v>0</v>
      </c>
      <c r="L32" s="14">
        <f>IFERROR(K32/K446, "NA")</f>
      </c>
      <c r="M32" s="15"/>
      <c r="N32" s="16">
        <f>IFERROR(B32-K32, "NA")</f>
      </c>
      <c r="O32" s="14">
        <f>IFERROR(N32/N446, "NA")</f>
      </c>
      <c r="P32" s="15"/>
      <c r="Q32" s="13">
        <v>0</v>
      </c>
      <c r="R32" s="14">
        <f>IFERROR(Q32/Q446, "NA")</f>
      </c>
      <c r="S32" s="15"/>
      <c r="T32" s="13">
        <v>0</v>
      </c>
      <c r="U32" s="14">
        <f>IFERROR(T32/T446, "NA")</f>
      </c>
      <c r="V32" s="15"/>
      <c r="W32" s="16">
        <f>IFERROR(Q32-T32, "NA")</f>
      </c>
      <c r="X32" s="14">
        <f>IFERROR(W32/W446, "NA")</f>
      </c>
      <c r="Y32" s="15"/>
      <c r="Z32" s="13">
        <v>0</v>
      </c>
      <c r="AA32" s="14">
        <f>IFERROR(Z32/Z446, "NA")</f>
      </c>
      <c r="AB32" s="15"/>
      <c r="AC32" s="16">
        <f>IFERROR(Q32-Z32, "NA")</f>
      </c>
      <c r="AD32" s="14">
        <f>IFERROR(AC32/AC446, "NA")</f>
      </c>
    </row>
    <row r="33" ht="16.5" customHeight="1">
      <c t="s" r="A33" s="18">
        <v>33</v>
      </c>
      <c r="B33" s="13">
        <v>9034.7000000000007</v>
      </c>
      <c r="C33" s="14">
        <f>IFERROR(B33/B446, "NA")</f>
      </c>
      <c r="D33" s="15"/>
      <c r="E33" s="13">
        <v>0</v>
      </c>
      <c r="F33" s="14">
        <f>IFERROR(E33/E446, "NA")</f>
      </c>
      <c r="G33" s="15"/>
      <c r="H33" s="16">
        <f>IFERROR(B33-E33, "NA")</f>
      </c>
      <c r="I33" s="14">
        <f>IFERROR(H33/H446, "NA")</f>
      </c>
      <c r="J33" s="15"/>
      <c r="K33" s="13">
        <v>6554.9899999999998</v>
      </c>
      <c r="L33" s="14">
        <f>IFERROR(K33/K446, "NA")</f>
      </c>
      <c r="M33" s="15"/>
      <c r="N33" s="16">
        <f>IFERROR(B33-K33, "NA")</f>
      </c>
      <c r="O33" s="14">
        <f>IFERROR(N33/N446, "NA")</f>
      </c>
      <c r="P33" s="15"/>
      <c r="Q33" s="13">
        <v>9034.7000000000007</v>
      </c>
      <c r="R33" s="14">
        <f>IFERROR(Q33/Q446, "NA")</f>
      </c>
      <c r="S33" s="15"/>
      <c r="T33" s="13">
        <v>0</v>
      </c>
      <c r="U33" s="14">
        <f>IFERROR(T33/T446, "NA")</f>
      </c>
      <c r="V33" s="15"/>
      <c r="W33" s="16">
        <f>IFERROR(Q33-T33, "NA")</f>
      </c>
      <c r="X33" s="14">
        <f>IFERROR(W33/W446, "NA")</f>
      </c>
      <c r="Y33" s="15"/>
      <c r="Z33" s="13">
        <v>6554.9899999999998</v>
      </c>
      <c r="AA33" s="14">
        <f>IFERROR(Z33/Z446, "NA")</f>
      </c>
      <c r="AB33" s="15"/>
      <c r="AC33" s="16">
        <f>IFERROR(Q33-Z33, "NA")</f>
      </c>
      <c r="AD33" s="14">
        <f>IFERROR(AC33/AC446, "NA")</f>
      </c>
    </row>
    <row r="34" hidden="1" ht="16.5" customHeight="1">
      <c t="s" r="A34" s="18">
        <v>34</v>
      </c>
      <c r="B34" s="13">
        <v>0</v>
      </c>
      <c r="C34" s="14">
        <f>IFERROR(B34/B446, "NA")</f>
      </c>
      <c r="D34" s="15"/>
      <c r="E34" s="13">
        <v>0</v>
      </c>
      <c r="F34" s="14">
        <f>IFERROR(E34/E446, "NA")</f>
      </c>
      <c r="G34" s="15"/>
      <c r="H34" s="16">
        <f>IFERROR(B34-E34, "NA")</f>
      </c>
      <c r="I34" s="14">
        <f>IFERROR(H34/H446, "NA")</f>
      </c>
      <c r="J34" s="15"/>
      <c r="K34" s="13">
        <v>0</v>
      </c>
      <c r="L34" s="14">
        <f>IFERROR(K34/K446, "NA")</f>
      </c>
      <c r="M34" s="15"/>
      <c r="N34" s="16">
        <f>IFERROR(B34-K34, "NA")</f>
      </c>
      <c r="O34" s="14">
        <f>IFERROR(N34/N446, "NA")</f>
      </c>
      <c r="P34" s="15"/>
      <c r="Q34" s="13">
        <v>0</v>
      </c>
      <c r="R34" s="14">
        <f>IFERROR(Q34/Q446, "NA")</f>
      </c>
      <c r="S34" s="15"/>
      <c r="T34" s="13">
        <v>0</v>
      </c>
      <c r="U34" s="14">
        <f>IFERROR(T34/T446, "NA")</f>
      </c>
      <c r="V34" s="15"/>
      <c r="W34" s="16">
        <f>IFERROR(Q34-T34, "NA")</f>
      </c>
      <c r="X34" s="14">
        <f>IFERROR(W34/W446, "NA")</f>
      </c>
      <c r="Y34" s="15"/>
      <c r="Z34" s="13">
        <v>0</v>
      </c>
      <c r="AA34" s="14">
        <f>IFERROR(Z34/Z446, "NA")</f>
      </c>
      <c r="AB34" s="15"/>
      <c r="AC34" s="16">
        <f>IFERROR(Q34-Z34, "NA")</f>
      </c>
      <c r="AD34" s="14">
        <f>IFERROR(AC34/AC446, "NA")</f>
      </c>
    </row>
    <row r="35" ht="16.5" customHeight="1">
      <c t="s" r="A35" s="18">
        <v>35</v>
      </c>
      <c r="B35" s="13">
        <v>840.75999999999999</v>
      </c>
      <c r="C35" s="14">
        <f>IFERROR(B35/B446, "NA")</f>
      </c>
      <c r="D35" s="15"/>
      <c r="E35" s="13">
        <v>0</v>
      </c>
      <c r="F35" s="14">
        <f>IFERROR(E35/E446, "NA")</f>
      </c>
      <c r="G35" s="15"/>
      <c r="H35" s="16">
        <f>IFERROR(B35-E35, "NA")</f>
      </c>
      <c r="I35" s="14">
        <f>IFERROR(H35/H446, "NA")</f>
      </c>
      <c r="J35" s="15"/>
      <c r="K35" s="13">
        <v>809.78999999999996</v>
      </c>
      <c r="L35" s="14">
        <f>IFERROR(K35/K446, "NA")</f>
      </c>
      <c r="M35" s="15"/>
      <c r="N35" s="16">
        <f>IFERROR(B35-K35, "NA")</f>
      </c>
      <c r="O35" s="14">
        <f>IFERROR(N35/N446, "NA")</f>
      </c>
      <c r="P35" s="15"/>
      <c r="Q35" s="13">
        <v>840.75999999999999</v>
      </c>
      <c r="R35" s="14">
        <f>IFERROR(Q35/Q446, "NA")</f>
      </c>
      <c r="S35" s="15"/>
      <c r="T35" s="13">
        <v>0</v>
      </c>
      <c r="U35" s="14">
        <f>IFERROR(T35/T446, "NA")</f>
      </c>
      <c r="V35" s="15"/>
      <c r="W35" s="16">
        <f>IFERROR(Q35-T35, "NA")</f>
      </c>
      <c r="X35" s="14">
        <f>IFERROR(W35/W446, "NA")</f>
      </c>
      <c r="Y35" s="15"/>
      <c r="Z35" s="13">
        <v>809.78999999999996</v>
      </c>
      <c r="AA35" s="14">
        <f>IFERROR(Z35/Z446, "NA")</f>
      </c>
      <c r="AB35" s="15"/>
      <c r="AC35" s="16">
        <f>IFERROR(Q35-Z35, "NA")</f>
      </c>
      <c r="AD35" s="14">
        <f>IFERROR(AC35/AC446, "NA")</f>
      </c>
    </row>
    <row r="36" ht="16.5" customHeight="1">
      <c t="s" r="A36" s="18">
        <v>36</v>
      </c>
      <c r="B36" s="13">
        <v>6479.6599999999999</v>
      </c>
      <c r="C36" s="14">
        <f>IFERROR(B36/B446, "NA")</f>
      </c>
      <c r="D36" s="15"/>
      <c r="E36" s="13">
        <v>0</v>
      </c>
      <c r="F36" s="14">
        <f>IFERROR(E36/E446, "NA")</f>
      </c>
      <c r="G36" s="15"/>
      <c r="H36" s="16">
        <f>IFERROR(B36-E36, "NA")</f>
      </c>
      <c r="I36" s="14">
        <f>IFERROR(H36/H446, "NA")</f>
      </c>
      <c r="J36" s="15"/>
      <c r="K36" s="13">
        <v>8777.9599999999991</v>
      </c>
      <c r="L36" s="14">
        <f>IFERROR(K36/K446, "NA")</f>
      </c>
      <c r="M36" s="15"/>
      <c r="N36" s="16">
        <f>IFERROR(B36-K36, "NA")</f>
      </c>
      <c r="O36" s="14">
        <f>IFERROR(N36/N446, "NA")</f>
      </c>
      <c r="P36" s="15"/>
      <c r="Q36" s="13">
        <v>6479.6599999999999</v>
      </c>
      <c r="R36" s="14">
        <f>IFERROR(Q36/Q446, "NA")</f>
      </c>
      <c r="S36" s="15"/>
      <c r="T36" s="13">
        <v>0</v>
      </c>
      <c r="U36" s="14">
        <f>IFERROR(T36/T446, "NA")</f>
      </c>
      <c r="V36" s="15"/>
      <c r="W36" s="16">
        <f>IFERROR(Q36-T36, "NA")</f>
      </c>
      <c r="X36" s="14">
        <f>IFERROR(W36/W446, "NA")</f>
      </c>
      <c r="Y36" s="15"/>
      <c r="Z36" s="13">
        <v>8777.9599999999991</v>
      </c>
      <c r="AA36" s="14">
        <f>IFERROR(Z36/Z446, "NA")</f>
      </c>
      <c r="AB36" s="15"/>
      <c r="AC36" s="16">
        <f>IFERROR(Q36-Z36, "NA")</f>
      </c>
      <c r="AD36" s="14">
        <f>IFERROR(AC36/AC446, "NA")</f>
      </c>
    </row>
    <row r="37" ht="16.5" customHeight="1">
      <c t="s" r="A37" s="18">
        <v>37</v>
      </c>
      <c r="B37" s="13">
        <v>454.60000000000002</v>
      </c>
      <c r="C37" s="14">
        <f>IFERROR(B37/B446, "NA")</f>
      </c>
      <c r="D37" s="15"/>
      <c r="E37" s="13">
        <v>0</v>
      </c>
      <c r="F37" s="14">
        <f>IFERROR(E37/E446, "NA")</f>
      </c>
      <c r="G37" s="15"/>
      <c r="H37" s="16">
        <f>IFERROR(B37-E37, "NA")</f>
      </c>
      <c r="I37" s="14">
        <f>IFERROR(H37/H446, "NA")</f>
      </c>
      <c r="J37" s="15"/>
      <c r="K37" s="13">
        <v>0</v>
      </c>
      <c r="L37" s="14">
        <f>IFERROR(K37/K446, "NA")</f>
      </c>
      <c r="M37" s="15"/>
      <c r="N37" s="16">
        <f>IFERROR(B37-K37, "NA")</f>
      </c>
      <c r="O37" s="14">
        <f>IFERROR(N37/N446, "NA")</f>
      </c>
      <c r="P37" s="15"/>
      <c r="Q37" s="13">
        <v>454.60000000000002</v>
      </c>
      <c r="R37" s="14">
        <f>IFERROR(Q37/Q446, "NA")</f>
      </c>
      <c r="S37" s="15"/>
      <c r="T37" s="13">
        <v>0</v>
      </c>
      <c r="U37" s="14">
        <f>IFERROR(T37/T446, "NA")</f>
      </c>
      <c r="V37" s="15"/>
      <c r="W37" s="16">
        <f>IFERROR(Q37-T37, "NA")</f>
      </c>
      <c r="X37" s="14">
        <f>IFERROR(W37/W446, "NA")</f>
      </c>
      <c r="Y37" s="15"/>
      <c r="Z37" s="13">
        <v>0</v>
      </c>
      <c r="AA37" s="14">
        <f>IFERROR(Z37/Z446, "NA")</f>
      </c>
      <c r="AB37" s="15"/>
      <c r="AC37" s="16">
        <f>IFERROR(Q37-Z37, "NA")</f>
      </c>
      <c r="AD37" s="14">
        <f>IFERROR(AC37/AC446, "NA")</f>
      </c>
    </row>
    <row r="38" hidden="1" ht="16.5" customHeight="1">
      <c t="s" r="A38" s="18">
        <v>38</v>
      </c>
      <c r="B38" s="13">
        <v>0</v>
      </c>
      <c r="C38" s="14">
        <f>IFERROR(B38/B446, "NA")</f>
      </c>
      <c r="D38" s="15"/>
      <c r="E38" s="13">
        <v>0</v>
      </c>
      <c r="F38" s="14">
        <f>IFERROR(E38/E446, "NA")</f>
      </c>
      <c r="G38" s="15"/>
      <c r="H38" s="16">
        <f>IFERROR(B38-E38, "NA")</f>
      </c>
      <c r="I38" s="14">
        <f>IFERROR(H38/H446, "NA")</f>
      </c>
      <c r="J38" s="15"/>
      <c r="K38" s="13">
        <v>0</v>
      </c>
      <c r="L38" s="14">
        <f>IFERROR(K38/K446, "NA")</f>
      </c>
      <c r="M38" s="15"/>
      <c r="N38" s="16">
        <f>IFERROR(B38-K38, "NA")</f>
      </c>
      <c r="O38" s="14">
        <f>IFERROR(N38/N446, "NA")</f>
      </c>
      <c r="P38" s="15"/>
      <c r="Q38" s="13">
        <v>0</v>
      </c>
      <c r="R38" s="14">
        <f>IFERROR(Q38/Q446, "NA")</f>
      </c>
      <c r="S38" s="15"/>
      <c r="T38" s="13">
        <v>0</v>
      </c>
      <c r="U38" s="14">
        <f>IFERROR(T38/T446, "NA")</f>
      </c>
      <c r="V38" s="15"/>
      <c r="W38" s="16">
        <f>IFERROR(Q38-T38, "NA")</f>
      </c>
      <c r="X38" s="14">
        <f>IFERROR(W38/W446, "NA")</f>
      </c>
      <c r="Y38" s="15"/>
      <c r="Z38" s="13">
        <v>0</v>
      </c>
      <c r="AA38" s="14">
        <f>IFERROR(Z38/Z446, "NA")</f>
      </c>
      <c r="AB38" s="15"/>
      <c r="AC38" s="16">
        <f>IFERROR(Q38-Z38, "NA")</f>
      </c>
      <c r="AD38" s="14">
        <f>IFERROR(AC38/AC446, "NA")</f>
      </c>
    </row>
    <row r="39" ht="16.5" customHeight="1">
      <c t="s" r="A39" s="18">
        <v>39</v>
      </c>
      <c r="B39" s="13">
        <v>521.39999999999998</v>
      </c>
      <c r="C39" s="14">
        <f>IFERROR(B39/B446, "NA")</f>
      </c>
      <c r="D39" s="15"/>
      <c r="E39" s="13">
        <v>0</v>
      </c>
      <c r="F39" s="14">
        <f>IFERROR(E39/E446, "NA")</f>
      </c>
      <c r="G39" s="15"/>
      <c r="H39" s="16">
        <f>IFERROR(B39-E39, "NA")</f>
      </c>
      <c r="I39" s="14">
        <f>IFERROR(H39/H446, "NA")</f>
      </c>
      <c r="J39" s="15"/>
      <c r="K39" s="13">
        <v>919.25</v>
      </c>
      <c r="L39" s="14">
        <f>IFERROR(K39/K446, "NA")</f>
      </c>
      <c r="M39" s="15"/>
      <c r="N39" s="16">
        <f>IFERROR(B39-K39, "NA")</f>
      </c>
      <c r="O39" s="14">
        <f>IFERROR(N39/N446, "NA")</f>
      </c>
      <c r="P39" s="15"/>
      <c r="Q39" s="13">
        <v>521.39999999999998</v>
      </c>
      <c r="R39" s="14">
        <f>IFERROR(Q39/Q446, "NA")</f>
      </c>
      <c r="S39" s="15"/>
      <c r="T39" s="13">
        <v>0</v>
      </c>
      <c r="U39" s="14">
        <f>IFERROR(T39/T446, "NA")</f>
      </c>
      <c r="V39" s="15"/>
      <c r="W39" s="16">
        <f>IFERROR(Q39-T39, "NA")</f>
      </c>
      <c r="X39" s="14">
        <f>IFERROR(W39/W446, "NA")</f>
      </c>
      <c r="Y39" s="15"/>
      <c r="Z39" s="13">
        <v>919.25</v>
      </c>
      <c r="AA39" s="14">
        <f>IFERROR(Z39/Z446, "NA")</f>
      </c>
      <c r="AB39" s="15"/>
      <c r="AC39" s="16">
        <f>IFERROR(Q39-Z39, "NA")</f>
      </c>
      <c r="AD39" s="14">
        <f>IFERROR(AC39/AC446, "NA")</f>
      </c>
    </row>
    <row r="40" ht="16.5" customHeight="1">
      <c t="s" r="A40" s="19">
        <v>40</v>
      </c>
      <c r="B40" s="20">
        <f>IFERROR(B31+B32+B33+B34+B35+B36+B37+B38+B39, "NA")</f>
      </c>
      <c r="C40" s="21">
        <f>IFERROR(B40/B446, "NA")</f>
      </c>
      <c r="D40" s="8"/>
      <c r="E40" s="20">
        <f>IFERROR(E31+E32+E33+E34+E35+E36+E37+E38+E39, "NA")</f>
      </c>
      <c r="F40" s="21">
        <f>IFERROR(E40/E446, "NA")</f>
      </c>
      <c r="G40" s="8"/>
      <c r="H40" s="20">
        <f>IFERROR(B40-E40, "NA")</f>
      </c>
      <c r="I40" s="21">
        <f>IFERROR(H40/H446, "NA")</f>
      </c>
      <c r="J40" s="8"/>
      <c r="K40" s="20">
        <f>IFERROR(K31+K32+K33+K34+K35+K36+K37+K38+K39, "NA")</f>
      </c>
      <c r="L40" s="21">
        <f>IFERROR(K40/K446, "NA")</f>
      </c>
      <c r="M40" s="8"/>
      <c r="N40" s="20">
        <f>IFERROR(B40-K40, "NA")</f>
      </c>
      <c r="O40" s="21">
        <f>IFERROR(N40/N446, "NA")</f>
      </c>
      <c r="P40" s="8"/>
      <c r="Q40" s="20">
        <f>IFERROR(Q31+Q32+Q33+Q34+Q35+Q36+Q37+Q38+Q39, "NA")</f>
      </c>
      <c r="R40" s="21">
        <f>IFERROR(Q40/Q446, "NA")</f>
      </c>
      <c r="S40" s="8"/>
      <c r="T40" s="20">
        <f>IFERROR(T31+T32+T33+T34+T35+T36+T37+T38+T39, "NA")</f>
      </c>
      <c r="U40" s="21">
        <f>IFERROR(T40/T446, "NA")</f>
      </c>
      <c r="V40" s="8"/>
      <c r="W40" s="20">
        <f>IFERROR(Q40-T40, "NA")</f>
      </c>
      <c r="X40" s="21">
        <f>IFERROR(W40/W446, "NA")</f>
      </c>
      <c r="Y40" s="8"/>
      <c r="Z40" s="20">
        <f>IFERROR(Z31+Z32+Z33+Z34+Z35+Z36+Z37+Z38+Z39, "NA")</f>
      </c>
      <c r="AA40" s="21">
        <f>IFERROR(Z40/Z446, "NA")</f>
      </c>
      <c r="AB40" s="8"/>
      <c r="AC40" s="20">
        <f>IFERROR(Q40-Z40, "NA")</f>
      </c>
      <c r="AD40" s="21">
        <f>IFERROR(AC40/AC446, "NA")</f>
      </c>
    </row>
    <row r="41" ht="16.5" customHeight="1">
      <c t="s" r="A41" s="17">
        <v>41</v>
      </c>
      <c r="B41" s="8"/>
      <c r="C41" s="9"/>
      <c r="D41" s="10"/>
      <c r="E41" s="8"/>
      <c r="F41" s="9"/>
      <c r="G41" s="10"/>
      <c r="H41" s="8"/>
      <c r="I41" s="9"/>
      <c r="J41" s="10"/>
      <c r="K41" s="8"/>
      <c r="L41" s="9"/>
      <c r="M41" s="10"/>
      <c r="N41" s="8"/>
      <c r="O41" s="9"/>
      <c r="P41" s="10"/>
      <c r="Q41" s="8"/>
      <c r="R41" s="9"/>
      <c r="S41" s="10"/>
      <c r="T41" s="8"/>
      <c r="U41" s="9"/>
      <c r="V41" s="10"/>
      <c r="W41" s="8"/>
      <c r="X41" s="9"/>
      <c r="Y41" s="10"/>
      <c r="Z41" s="8"/>
      <c r="AA41" s="9"/>
      <c r="AB41" s="10"/>
      <c r="AC41" s="8"/>
      <c r="AD41" s="9"/>
    </row>
    <row r="42" ht="16.5" customHeight="1">
      <c t="s" r="A42" s="18">
        <v>41</v>
      </c>
      <c r="B42" s="13">
        <v>0</v>
      </c>
      <c r="C42" s="14">
        <f>IFERROR(B42/B446, "NA")</f>
      </c>
      <c r="D42" s="15"/>
      <c r="E42" s="13">
        <v>17966.09</v>
      </c>
      <c r="F42" s="14">
        <f>IFERROR(E42/E446, "NA")</f>
      </c>
      <c r="G42" s="15"/>
      <c r="H42" s="16">
        <f>IFERROR(B42-E42, "NA")</f>
      </c>
      <c r="I42" s="14">
        <f>IFERROR(H42/H446, "NA")</f>
      </c>
      <c r="J42" s="15"/>
      <c r="K42" s="13">
        <v>0</v>
      </c>
      <c r="L42" s="14">
        <f>IFERROR(K42/K446, "NA")</f>
      </c>
      <c r="M42" s="15"/>
      <c r="N42" s="16">
        <f>IFERROR(B42-K42, "NA")</f>
      </c>
      <c r="O42" s="14">
        <f>IFERROR(N42/N446, "NA")</f>
      </c>
      <c r="P42" s="15"/>
      <c r="Q42" s="13">
        <v>0</v>
      </c>
      <c r="R42" s="14">
        <f>IFERROR(Q42/Q446, "NA")</f>
      </c>
      <c r="S42" s="15"/>
      <c r="T42" s="13">
        <v>17966.09</v>
      </c>
      <c r="U42" s="14">
        <f>IFERROR(T42/T446, "NA")</f>
      </c>
      <c r="V42" s="15"/>
      <c r="W42" s="16">
        <f>IFERROR(Q42-T42, "NA")</f>
      </c>
      <c r="X42" s="14">
        <f>IFERROR(W42/W446, "NA")</f>
      </c>
      <c r="Y42" s="15"/>
      <c r="Z42" s="13">
        <v>0</v>
      </c>
      <c r="AA42" s="14">
        <f>IFERROR(Z42/Z446, "NA")</f>
      </c>
      <c r="AB42" s="15"/>
      <c r="AC42" s="16">
        <f>IFERROR(Q42-Z42, "NA")</f>
      </c>
      <c r="AD42" s="14">
        <f>IFERROR(AC42/AC446, "NA")</f>
      </c>
    </row>
    <row r="43" ht="16.5" customHeight="1">
      <c t="s" r="A43" s="18">
        <v>42</v>
      </c>
      <c r="B43" s="13">
        <v>2742.9499999999998</v>
      </c>
      <c r="C43" s="14">
        <f>IFERROR(B43/B446, "NA")</f>
      </c>
      <c r="D43" s="15"/>
      <c r="E43" s="13">
        <v>0</v>
      </c>
      <c r="F43" s="14">
        <f>IFERROR(E43/E446, "NA")</f>
      </c>
      <c r="G43" s="15"/>
      <c r="H43" s="16">
        <f>IFERROR(B43-E43, "NA")</f>
      </c>
      <c r="I43" s="14">
        <f>IFERROR(H43/H446, "NA")</f>
      </c>
      <c r="J43" s="15"/>
      <c r="K43" s="13">
        <v>2626.25</v>
      </c>
      <c r="L43" s="14">
        <f>IFERROR(K43/K446, "NA")</f>
      </c>
      <c r="M43" s="15"/>
      <c r="N43" s="16">
        <f>IFERROR(B43-K43, "NA")</f>
      </c>
      <c r="O43" s="14">
        <f>IFERROR(N43/N446, "NA")</f>
      </c>
      <c r="P43" s="15"/>
      <c r="Q43" s="13">
        <v>2742.9499999999998</v>
      </c>
      <c r="R43" s="14">
        <f>IFERROR(Q43/Q446, "NA")</f>
      </c>
      <c r="S43" s="15"/>
      <c r="T43" s="13">
        <v>0</v>
      </c>
      <c r="U43" s="14">
        <f>IFERROR(T43/T446, "NA")</f>
      </c>
      <c r="V43" s="15"/>
      <c r="W43" s="16">
        <f>IFERROR(Q43-T43, "NA")</f>
      </c>
      <c r="X43" s="14">
        <f>IFERROR(W43/W446, "NA")</f>
      </c>
      <c r="Y43" s="15"/>
      <c r="Z43" s="13">
        <v>2626.25</v>
      </c>
      <c r="AA43" s="14">
        <f>IFERROR(Z43/Z446, "NA")</f>
      </c>
      <c r="AB43" s="15"/>
      <c r="AC43" s="16">
        <f>IFERROR(Q43-Z43, "NA")</f>
      </c>
      <c r="AD43" s="14">
        <f>IFERROR(AC43/AC446, "NA")</f>
      </c>
    </row>
    <row r="44" hidden="1" ht="16.5" customHeight="1">
      <c t="s" r="A44" s="18">
        <v>43</v>
      </c>
      <c r="B44" s="13">
        <v>0</v>
      </c>
      <c r="C44" s="14">
        <f>IFERROR(B44/B446, "NA")</f>
      </c>
      <c r="D44" s="15"/>
      <c r="E44" s="13">
        <v>0</v>
      </c>
      <c r="F44" s="14">
        <f>IFERROR(E44/E446, "NA")</f>
      </c>
      <c r="G44" s="15"/>
      <c r="H44" s="16">
        <f>IFERROR(B44-E44, "NA")</f>
      </c>
      <c r="I44" s="14">
        <f>IFERROR(H44/H446, "NA")</f>
      </c>
      <c r="J44" s="15"/>
      <c r="K44" s="13">
        <v>0</v>
      </c>
      <c r="L44" s="14">
        <f>IFERROR(K44/K446, "NA")</f>
      </c>
      <c r="M44" s="15"/>
      <c r="N44" s="16">
        <f>IFERROR(B44-K44, "NA")</f>
      </c>
      <c r="O44" s="14">
        <f>IFERROR(N44/N446, "NA")</f>
      </c>
      <c r="P44" s="15"/>
      <c r="Q44" s="13">
        <v>0</v>
      </c>
      <c r="R44" s="14">
        <f>IFERROR(Q44/Q446, "NA")</f>
      </c>
      <c r="S44" s="15"/>
      <c r="T44" s="13">
        <v>0</v>
      </c>
      <c r="U44" s="14">
        <f>IFERROR(T44/T446, "NA")</f>
      </c>
      <c r="V44" s="15"/>
      <c r="W44" s="16">
        <f>IFERROR(Q44-T44, "NA")</f>
      </c>
      <c r="X44" s="14">
        <f>IFERROR(W44/W446, "NA")</f>
      </c>
      <c r="Y44" s="15"/>
      <c r="Z44" s="13">
        <v>0</v>
      </c>
      <c r="AA44" s="14">
        <f>IFERROR(Z44/Z446, "NA")</f>
      </c>
      <c r="AB44" s="15"/>
      <c r="AC44" s="16">
        <f>IFERROR(Q44-Z44, "NA")</f>
      </c>
      <c r="AD44" s="14">
        <f>IFERROR(AC44/AC446, "NA")</f>
      </c>
    </row>
    <row r="45" ht="16.5" customHeight="1">
      <c t="s" r="A45" s="22">
        <v>44</v>
      </c>
      <c r="B45" s="8"/>
      <c r="C45" s="9"/>
      <c r="D45" s="10"/>
      <c r="E45" s="8"/>
      <c r="F45" s="9"/>
      <c r="G45" s="10"/>
      <c r="H45" s="8"/>
      <c r="I45" s="9"/>
      <c r="J45" s="10"/>
      <c r="K45" s="8"/>
      <c r="L45" s="9"/>
      <c r="M45" s="10"/>
      <c r="N45" s="8"/>
      <c r="O45" s="9"/>
      <c r="P45" s="10"/>
      <c r="Q45" s="8"/>
      <c r="R45" s="9"/>
      <c r="S45" s="10"/>
      <c r="T45" s="8"/>
      <c r="U45" s="9"/>
      <c r="V45" s="10"/>
      <c r="W45" s="8"/>
      <c r="X45" s="9"/>
      <c r="Y45" s="10"/>
      <c r="Z45" s="8"/>
      <c r="AA45" s="9"/>
      <c r="AB45" s="10"/>
      <c r="AC45" s="8"/>
      <c r="AD45" s="9"/>
    </row>
    <row r="46" hidden="1" ht="16.5" customHeight="1">
      <c t="s" r="A46" s="23">
        <v>44</v>
      </c>
      <c r="B46" s="13">
        <v>0</v>
      </c>
      <c r="C46" s="14">
        <f>IFERROR(B46/B446, "NA")</f>
      </c>
      <c r="D46" s="15"/>
      <c r="E46" s="13">
        <v>0</v>
      </c>
      <c r="F46" s="14">
        <f>IFERROR(E46/E446, "NA")</f>
      </c>
      <c r="G46" s="15"/>
      <c r="H46" s="16">
        <f>IFERROR(B46-E46, "NA")</f>
      </c>
      <c r="I46" s="14">
        <f>IFERROR(H46/H446, "NA")</f>
      </c>
      <c r="J46" s="15"/>
      <c r="K46" s="13">
        <v>0</v>
      </c>
      <c r="L46" s="14">
        <f>IFERROR(K46/K446, "NA")</f>
      </c>
      <c r="M46" s="15"/>
      <c r="N46" s="16">
        <f>IFERROR(B46-K46, "NA")</f>
      </c>
      <c r="O46" s="14">
        <f>IFERROR(N46/N446, "NA")</f>
      </c>
      <c r="P46" s="15"/>
      <c r="Q46" s="13">
        <v>0</v>
      </c>
      <c r="R46" s="14">
        <f>IFERROR(Q46/Q446, "NA")</f>
      </c>
      <c r="S46" s="15"/>
      <c r="T46" s="13">
        <v>0</v>
      </c>
      <c r="U46" s="14">
        <f>IFERROR(T46/T446, "NA")</f>
      </c>
      <c r="V46" s="15"/>
      <c r="W46" s="16">
        <f>IFERROR(Q46-T46, "NA")</f>
      </c>
      <c r="X46" s="14">
        <f>IFERROR(W46/W446, "NA")</f>
      </c>
      <c r="Y46" s="15"/>
      <c r="Z46" s="13">
        <v>0</v>
      </c>
      <c r="AA46" s="14">
        <f>IFERROR(Z46/Z446, "NA")</f>
      </c>
      <c r="AB46" s="15"/>
      <c r="AC46" s="16">
        <f>IFERROR(Q46-Z46, "NA")</f>
      </c>
      <c r="AD46" s="14">
        <f>IFERROR(AC46/AC446, "NA")</f>
      </c>
    </row>
    <row r="47" hidden="1" ht="16.5" customHeight="1">
      <c t="s" r="A47" s="23">
        <v>45</v>
      </c>
      <c r="B47" s="13">
        <v>0</v>
      </c>
      <c r="C47" s="14">
        <f>IFERROR(B47/B446, "NA")</f>
      </c>
      <c r="D47" s="15"/>
      <c r="E47" s="13">
        <v>0</v>
      </c>
      <c r="F47" s="14">
        <f>IFERROR(E47/E446, "NA")</f>
      </c>
      <c r="G47" s="15"/>
      <c r="H47" s="16">
        <f>IFERROR(B47-E47, "NA")</f>
      </c>
      <c r="I47" s="14">
        <f>IFERROR(H47/H446, "NA")</f>
      </c>
      <c r="J47" s="15"/>
      <c r="K47" s="13">
        <v>0</v>
      </c>
      <c r="L47" s="14">
        <f>IFERROR(K47/K446, "NA")</f>
      </c>
      <c r="M47" s="15"/>
      <c r="N47" s="16">
        <f>IFERROR(B47-K47, "NA")</f>
      </c>
      <c r="O47" s="14">
        <f>IFERROR(N47/N446, "NA")</f>
      </c>
      <c r="P47" s="15"/>
      <c r="Q47" s="13">
        <v>0</v>
      </c>
      <c r="R47" s="14">
        <f>IFERROR(Q47/Q446, "NA")</f>
      </c>
      <c r="S47" s="15"/>
      <c r="T47" s="13">
        <v>0</v>
      </c>
      <c r="U47" s="14">
        <f>IFERROR(T47/T446, "NA")</f>
      </c>
      <c r="V47" s="15"/>
      <c r="W47" s="16">
        <f>IFERROR(Q47-T47, "NA")</f>
      </c>
      <c r="X47" s="14">
        <f>IFERROR(W47/W446, "NA")</f>
      </c>
      <c r="Y47" s="15"/>
      <c r="Z47" s="13">
        <v>0</v>
      </c>
      <c r="AA47" s="14">
        <f>IFERROR(Z47/Z446, "NA")</f>
      </c>
      <c r="AB47" s="15"/>
      <c r="AC47" s="16">
        <f>IFERROR(Q47-Z47, "NA")</f>
      </c>
      <c r="AD47" s="14">
        <f>IFERROR(AC47/AC446, "NA")</f>
      </c>
    </row>
    <row r="48" ht="16.5" customHeight="1">
      <c t="s" r="A48" s="23">
        <v>46</v>
      </c>
      <c r="B48" s="13">
        <v>9690.9099999999999</v>
      </c>
      <c r="C48" s="14">
        <f>IFERROR(B48/B446, "NA")</f>
      </c>
      <c r="D48" s="15"/>
      <c r="E48" s="13">
        <v>0</v>
      </c>
      <c r="F48" s="14">
        <f>IFERROR(E48/E446, "NA")</f>
      </c>
      <c r="G48" s="15"/>
      <c r="H48" s="16">
        <f>IFERROR(B48-E48, "NA")</f>
      </c>
      <c r="I48" s="14">
        <f>IFERROR(H48/H446, "NA")</f>
      </c>
      <c r="J48" s="15"/>
      <c r="K48" s="13">
        <v>17293.09</v>
      </c>
      <c r="L48" s="14">
        <f>IFERROR(K48/K446, "NA")</f>
      </c>
      <c r="M48" s="15"/>
      <c r="N48" s="16">
        <f>IFERROR(B48-K48, "NA")</f>
      </c>
      <c r="O48" s="14">
        <f>IFERROR(N48/N446, "NA")</f>
      </c>
      <c r="P48" s="15"/>
      <c r="Q48" s="13">
        <v>9690.9099999999999</v>
      </c>
      <c r="R48" s="14">
        <f>IFERROR(Q48/Q446, "NA")</f>
      </c>
      <c r="S48" s="15"/>
      <c r="T48" s="13">
        <v>0</v>
      </c>
      <c r="U48" s="14">
        <f>IFERROR(T48/T446, "NA")</f>
      </c>
      <c r="V48" s="15"/>
      <c r="W48" s="16">
        <f>IFERROR(Q48-T48, "NA")</f>
      </c>
      <c r="X48" s="14">
        <f>IFERROR(W48/W446, "NA")</f>
      </c>
      <c r="Y48" s="15"/>
      <c r="Z48" s="13">
        <v>17293.09</v>
      </c>
      <c r="AA48" s="14">
        <f>IFERROR(Z48/Z446, "NA")</f>
      </c>
      <c r="AB48" s="15"/>
      <c r="AC48" s="16">
        <f>IFERROR(Q48-Z48, "NA")</f>
      </c>
      <c r="AD48" s="14">
        <f>IFERROR(AC48/AC446, "NA")</f>
      </c>
    </row>
    <row r="49" hidden="1" ht="16.5" customHeight="1">
      <c t="s" r="A49" s="23">
        <v>47</v>
      </c>
      <c r="B49" s="13">
        <v>0</v>
      </c>
      <c r="C49" s="14">
        <f>IFERROR(B49/B446, "NA")</f>
      </c>
      <c r="D49" s="15"/>
      <c r="E49" s="13">
        <v>0</v>
      </c>
      <c r="F49" s="14">
        <f>IFERROR(E49/E446, "NA")</f>
      </c>
      <c r="G49" s="15"/>
      <c r="H49" s="16">
        <f>IFERROR(B49-E49, "NA")</f>
      </c>
      <c r="I49" s="14">
        <f>IFERROR(H49/H446, "NA")</f>
      </c>
      <c r="J49" s="15"/>
      <c r="K49" s="13">
        <v>0</v>
      </c>
      <c r="L49" s="14">
        <f>IFERROR(K49/K446, "NA")</f>
      </c>
      <c r="M49" s="15"/>
      <c r="N49" s="16">
        <f>IFERROR(B49-K49, "NA")</f>
      </c>
      <c r="O49" s="14">
        <f>IFERROR(N49/N446, "NA")</f>
      </c>
      <c r="P49" s="15"/>
      <c r="Q49" s="13">
        <v>0</v>
      </c>
      <c r="R49" s="14">
        <f>IFERROR(Q49/Q446, "NA")</f>
      </c>
      <c r="S49" s="15"/>
      <c r="T49" s="13">
        <v>0</v>
      </c>
      <c r="U49" s="14">
        <f>IFERROR(T49/T446, "NA")</f>
      </c>
      <c r="V49" s="15"/>
      <c r="W49" s="16">
        <f>IFERROR(Q49-T49, "NA")</f>
      </c>
      <c r="X49" s="14">
        <f>IFERROR(W49/W446, "NA")</f>
      </c>
      <c r="Y49" s="15"/>
      <c r="Z49" s="13">
        <v>0</v>
      </c>
      <c r="AA49" s="14">
        <f>IFERROR(Z49/Z446, "NA")</f>
      </c>
      <c r="AB49" s="15"/>
      <c r="AC49" s="16">
        <f>IFERROR(Q49-Z49, "NA")</f>
      </c>
      <c r="AD49" s="14">
        <f>IFERROR(AC49/AC446, "NA")</f>
      </c>
    </row>
    <row r="50" hidden="1" ht="16.5" customHeight="1">
      <c t="s" r="A50" s="23">
        <v>48</v>
      </c>
      <c r="B50" s="13">
        <v>0</v>
      </c>
      <c r="C50" s="14">
        <f>IFERROR(B50/B446, "NA")</f>
      </c>
      <c r="D50" s="15"/>
      <c r="E50" s="13">
        <v>0</v>
      </c>
      <c r="F50" s="14">
        <f>IFERROR(E50/E446, "NA")</f>
      </c>
      <c r="G50" s="15"/>
      <c r="H50" s="16">
        <f>IFERROR(B50-E50, "NA")</f>
      </c>
      <c r="I50" s="14">
        <f>IFERROR(H50/H446, "NA")</f>
      </c>
      <c r="J50" s="15"/>
      <c r="K50" s="13">
        <v>0</v>
      </c>
      <c r="L50" s="14">
        <f>IFERROR(K50/K446, "NA")</f>
      </c>
      <c r="M50" s="15"/>
      <c r="N50" s="16">
        <f>IFERROR(B50-K50, "NA")</f>
      </c>
      <c r="O50" s="14">
        <f>IFERROR(N50/N446, "NA")</f>
      </c>
      <c r="P50" s="15"/>
      <c r="Q50" s="13">
        <v>0</v>
      </c>
      <c r="R50" s="14">
        <f>IFERROR(Q50/Q446, "NA")</f>
      </c>
      <c r="S50" s="15"/>
      <c r="T50" s="13">
        <v>0</v>
      </c>
      <c r="U50" s="14">
        <f>IFERROR(T50/T446, "NA")</f>
      </c>
      <c r="V50" s="15"/>
      <c r="W50" s="16">
        <f>IFERROR(Q50-T50, "NA")</f>
      </c>
      <c r="X50" s="14">
        <f>IFERROR(W50/W446, "NA")</f>
      </c>
      <c r="Y50" s="15"/>
      <c r="Z50" s="13">
        <v>0</v>
      </c>
      <c r="AA50" s="14">
        <f>IFERROR(Z50/Z446, "NA")</f>
      </c>
      <c r="AB50" s="15"/>
      <c r="AC50" s="16">
        <f>IFERROR(Q50-Z50, "NA")</f>
      </c>
      <c r="AD50" s="14">
        <f>IFERROR(AC50/AC446, "NA")</f>
      </c>
    </row>
    <row r="51" hidden="1" ht="16.5" customHeight="1">
      <c t="s" r="A51" s="23">
        <v>49</v>
      </c>
      <c r="B51" s="13">
        <v>0</v>
      </c>
      <c r="C51" s="14">
        <f>IFERROR(B51/B446, "NA")</f>
      </c>
      <c r="D51" s="15"/>
      <c r="E51" s="13">
        <v>0</v>
      </c>
      <c r="F51" s="14">
        <f>IFERROR(E51/E446, "NA")</f>
      </c>
      <c r="G51" s="15"/>
      <c r="H51" s="16">
        <f>IFERROR(B51-E51, "NA")</f>
      </c>
      <c r="I51" s="14">
        <f>IFERROR(H51/H446, "NA")</f>
      </c>
      <c r="J51" s="15"/>
      <c r="K51" s="13">
        <v>0</v>
      </c>
      <c r="L51" s="14">
        <f>IFERROR(K51/K446, "NA")</f>
      </c>
      <c r="M51" s="15"/>
      <c r="N51" s="16">
        <f>IFERROR(B51-K51, "NA")</f>
      </c>
      <c r="O51" s="14">
        <f>IFERROR(N51/N446, "NA")</f>
      </c>
      <c r="P51" s="15"/>
      <c r="Q51" s="13">
        <v>0</v>
      </c>
      <c r="R51" s="14">
        <f>IFERROR(Q51/Q446, "NA")</f>
      </c>
      <c r="S51" s="15"/>
      <c r="T51" s="13">
        <v>0</v>
      </c>
      <c r="U51" s="14">
        <f>IFERROR(T51/T446, "NA")</f>
      </c>
      <c r="V51" s="15"/>
      <c r="W51" s="16">
        <f>IFERROR(Q51-T51, "NA")</f>
      </c>
      <c r="X51" s="14">
        <f>IFERROR(W51/W446, "NA")</f>
      </c>
      <c r="Y51" s="15"/>
      <c r="Z51" s="13">
        <v>0</v>
      </c>
      <c r="AA51" s="14">
        <f>IFERROR(Z51/Z446, "NA")</f>
      </c>
      <c r="AB51" s="15"/>
      <c r="AC51" s="16">
        <f>IFERROR(Q51-Z51, "NA")</f>
      </c>
      <c r="AD51" s="14">
        <f>IFERROR(AC51/AC446, "NA")</f>
      </c>
    </row>
    <row r="52" hidden="1" ht="16.5" customHeight="1">
      <c t="s" r="A52" s="23">
        <v>50</v>
      </c>
      <c r="B52" s="13">
        <v>0</v>
      </c>
      <c r="C52" s="14">
        <f>IFERROR(B52/B446, "NA")</f>
      </c>
      <c r="D52" s="15"/>
      <c r="E52" s="13">
        <v>0</v>
      </c>
      <c r="F52" s="14">
        <f>IFERROR(E52/E446, "NA")</f>
      </c>
      <c r="G52" s="15"/>
      <c r="H52" s="16">
        <f>IFERROR(B52-E52, "NA")</f>
      </c>
      <c r="I52" s="14">
        <f>IFERROR(H52/H446, "NA")</f>
      </c>
      <c r="J52" s="15"/>
      <c r="K52" s="13">
        <v>0</v>
      </c>
      <c r="L52" s="14">
        <f>IFERROR(K52/K446, "NA")</f>
      </c>
      <c r="M52" s="15"/>
      <c r="N52" s="16">
        <f>IFERROR(B52-K52, "NA")</f>
      </c>
      <c r="O52" s="14">
        <f>IFERROR(N52/N446, "NA")</f>
      </c>
      <c r="P52" s="15"/>
      <c r="Q52" s="13">
        <v>0</v>
      </c>
      <c r="R52" s="14">
        <f>IFERROR(Q52/Q446, "NA")</f>
      </c>
      <c r="S52" s="15"/>
      <c r="T52" s="13">
        <v>0</v>
      </c>
      <c r="U52" s="14">
        <f>IFERROR(T52/T446, "NA")</f>
      </c>
      <c r="V52" s="15"/>
      <c r="W52" s="16">
        <f>IFERROR(Q52-T52, "NA")</f>
      </c>
      <c r="X52" s="14">
        <f>IFERROR(W52/W446, "NA")</f>
      </c>
      <c r="Y52" s="15"/>
      <c r="Z52" s="13">
        <v>0</v>
      </c>
      <c r="AA52" s="14">
        <f>IFERROR(Z52/Z446, "NA")</f>
      </c>
      <c r="AB52" s="15"/>
      <c r="AC52" s="16">
        <f>IFERROR(Q52-Z52, "NA")</f>
      </c>
      <c r="AD52" s="14">
        <f>IFERROR(AC52/AC446, "NA")</f>
      </c>
    </row>
    <row r="53" hidden="1" ht="16.5" customHeight="1">
      <c t="s" r="A53" s="23">
        <v>51</v>
      </c>
      <c r="B53" s="13">
        <v>0</v>
      </c>
      <c r="C53" s="14">
        <f>IFERROR(B53/B446, "NA")</f>
      </c>
      <c r="D53" s="15"/>
      <c r="E53" s="13">
        <v>0</v>
      </c>
      <c r="F53" s="14">
        <f>IFERROR(E53/E446, "NA")</f>
      </c>
      <c r="G53" s="15"/>
      <c r="H53" s="16">
        <f>IFERROR(B53-E53, "NA")</f>
      </c>
      <c r="I53" s="14">
        <f>IFERROR(H53/H446, "NA")</f>
      </c>
      <c r="J53" s="15"/>
      <c r="K53" s="13">
        <v>0</v>
      </c>
      <c r="L53" s="14">
        <f>IFERROR(K53/K446, "NA")</f>
      </c>
      <c r="M53" s="15"/>
      <c r="N53" s="16">
        <f>IFERROR(B53-K53, "NA")</f>
      </c>
      <c r="O53" s="14">
        <f>IFERROR(N53/N446, "NA")</f>
      </c>
      <c r="P53" s="15"/>
      <c r="Q53" s="13">
        <v>0</v>
      </c>
      <c r="R53" s="14">
        <f>IFERROR(Q53/Q446, "NA")</f>
      </c>
      <c r="S53" s="15"/>
      <c r="T53" s="13">
        <v>0</v>
      </c>
      <c r="U53" s="14">
        <f>IFERROR(T53/T446, "NA")</f>
      </c>
      <c r="V53" s="15"/>
      <c r="W53" s="16">
        <f>IFERROR(Q53-T53, "NA")</f>
      </c>
      <c r="X53" s="14">
        <f>IFERROR(W53/W446, "NA")</f>
      </c>
      <c r="Y53" s="15"/>
      <c r="Z53" s="13">
        <v>0</v>
      </c>
      <c r="AA53" s="14">
        <f>IFERROR(Z53/Z446, "NA")</f>
      </c>
      <c r="AB53" s="15"/>
      <c r="AC53" s="16">
        <f>IFERROR(Q53-Z53, "NA")</f>
      </c>
      <c r="AD53" s="14">
        <f>IFERROR(AC53/AC446, "NA")</f>
      </c>
    </row>
    <row r="54" hidden="1" ht="16.5" customHeight="1">
      <c t="s" r="A54" s="23">
        <v>52</v>
      </c>
      <c r="B54" s="13">
        <v>0</v>
      </c>
      <c r="C54" s="14">
        <f>IFERROR(B54/B446, "NA")</f>
      </c>
      <c r="D54" s="15"/>
      <c r="E54" s="13">
        <v>0</v>
      </c>
      <c r="F54" s="14">
        <f>IFERROR(E54/E446, "NA")</f>
      </c>
      <c r="G54" s="15"/>
      <c r="H54" s="16">
        <f>IFERROR(B54-E54, "NA")</f>
      </c>
      <c r="I54" s="14">
        <f>IFERROR(H54/H446, "NA")</f>
      </c>
      <c r="J54" s="15"/>
      <c r="K54" s="13">
        <v>0</v>
      </c>
      <c r="L54" s="14">
        <f>IFERROR(K54/K446, "NA")</f>
      </c>
      <c r="M54" s="15"/>
      <c r="N54" s="16">
        <f>IFERROR(B54-K54, "NA")</f>
      </c>
      <c r="O54" s="14">
        <f>IFERROR(N54/N446, "NA")</f>
      </c>
      <c r="P54" s="15"/>
      <c r="Q54" s="13">
        <v>0</v>
      </c>
      <c r="R54" s="14">
        <f>IFERROR(Q54/Q446, "NA")</f>
      </c>
      <c r="S54" s="15"/>
      <c r="T54" s="13">
        <v>0</v>
      </c>
      <c r="U54" s="14">
        <f>IFERROR(T54/T446, "NA")</f>
      </c>
      <c r="V54" s="15"/>
      <c r="W54" s="16">
        <f>IFERROR(Q54-T54, "NA")</f>
      </c>
      <c r="X54" s="14">
        <f>IFERROR(W54/W446, "NA")</f>
      </c>
      <c r="Y54" s="15"/>
      <c r="Z54" s="13">
        <v>0</v>
      </c>
      <c r="AA54" s="14">
        <f>IFERROR(Z54/Z446, "NA")</f>
      </c>
      <c r="AB54" s="15"/>
      <c r="AC54" s="16">
        <f>IFERROR(Q54-Z54, "NA")</f>
      </c>
      <c r="AD54" s="14">
        <f>IFERROR(AC54/AC446, "NA")</f>
      </c>
    </row>
    <row r="55" hidden="1" ht="16.5" customHeight="1">
      <c t="s" r="A55" s="23">
        <v>53</v>
      </c>
      <c r="B55" s="13">
        <v>0</v>
      </c>
      <c r="C55" s="14">
        <f>IFERROR(B55/B446, "NA")</f>
      </c>
      <c r="D55" s="15"/>
      <c r="E55" s="13">
        <v>0</v>
      </c>
      <c r="F55" s="14">
        <f>IFERROR(E55/E446, "NA")</f>
      </c>
      <c r="G55" s="15"/>
      <c r="H55" s="16">
        <f>IFERROR(B55-E55, "NA")</f>
      </c>
      <c r="I55" s="14">
        <f>IFERROR(H55/H446, "NA")</f>
      </c>
      <c r="J55" s="15"/>
      <c r="K55" s="13">
        <v>0</v>
      </c>
      <c r="L55" s="14">
        <f>IFERROR(K55/K446, "NA")</f>
      </c>
      <c r="M55" s="15"/>
      <c r="N55" s="16">
        <f>IFERROR(B55-K55, "NA")</f>
      </c>
      <c r="O55" s="14">
        <f>IFERROR(N55/N446, "NA")</f>
      </c>
      <c r="P55" s="15"/>
      <c r="Q55" s="13">
        <v>0</v>
      </c>
      <c r="R55" s="14">
        <f>IFERROR(Q55/Q446, "NA")</f>
      </c>
      <c r="S55" s="15"/>
      <c r="T55" s="13">
        <v>0</v>
      </c>
      <c r="U55" s="14">
        <f>IFERROR(T55/T446, "NA")</f>
      </c>
      <c r="V55" s="15"/>
      <c r="W55" s="16">
        <f>IFERROR(Q55-T55, "NA")</f>
      </c>
      <c r="X55" s="14">
        <f>IFERROR(W55/W446, "NA")</f>
      </c>
      <c r="Y55" s="15"/>
      <c r="Z55" s="13">
        <v>0</v>
      </c>
      <c r="AA55" s="14">
        <f>IFERROR(Z55/Z446, "NA")</f>
      </c>
      <c r="AB55" s="15"/>
      <c r="AC55" s="16">
        <f>IFERROR(Q55-Z55, "NA")</f>
      </c>
      <c r="AD55" s="14">
        <f>IFERROR(AC55/AC446, "NA")</f>
      </c>
    </row>
    <row r="56" hidden="1" ht="16.5" customHeight="1">
      <c t="s" r="A56" s="23">
        <v>54</v>
      </c>
      <c r="B56" s="13">
        <v>0</v>
      </c>
      <c r="C56" s="14">
        <f>IFERROR(B56/B446, "NA")</f>
      </c>
      <c r="D56" s="15"/>
      <c r="E56" s="13">
        <v>0</v>
      </c>
      <c r="F56" s="14">
        <f>IFERROR(E56/E446, "NA")</f>
      </c>
      <c r="G56" s="15"/>
      <c r="H56" s="16">
        <f>IFERROR(B56-E56, "NA")</f>
      </c>
      <c r="I56" s="14">
        <f>IFERROR(H56/H446, "NA")</f>
      </c>
      <c r="J56" s="15"/>
      <c r="K56" s="13">
        <v>0</v>
      </c>
      <c r="L56" s="14">
        <f>IFERROR(K56/K446, "NA")</f>
      </c>
      <c r="M56" s="15"/>
      <c r="N56" s="16">
        <f>IFERROR(B56-K56, "NA")</f>
      </c>
      <c r="O56" s="14">
        <f>IFERROR(N56/N446, "NA")</f>
      </c>
      <c r="P56" s="15"/>
      <c r="Q56" s="13">
        <v>0</v>
      </c>
      <c r="R56" s="14">
        <f>IFERROR(Q56/Q446, "NA")</f>
      </c>
      <c r="S56" s="15"/>
      <c r="T56" s="13">
        <v>0</v>
      </c>
      <c r="U56" s="14">
        <f>IFERROR(T56/T446, "NA")</f>
      </c>
      <c r="V56" s="15"/>
      <c r="W56" s="16">
        <f>IFERROR(Q56-T56, "NA")</f>
      </c>
      <c r="X56" s="14">
        <f>IFERROR(W56/W446, "NA")</f>
      </c>
      <c r="Y56" s="15"/>
      <c r="Z56" s="13">
        <v>0</v>
      </c>
      <c r="AA56" s="14">
        <f>IFERROR(Z56/Z446, "NA")</f>
      </c>
      <c r="AB56" s="15"/>
      <c r="AC56" s="16">
        <f>IFERROR(Q56-Z56, "NA")</f>
      </c>
      <c r="AD56" s="14">
        <f>IFERROR(AC56/AC446, "NA")</f>
      </c>
    </row>
    <row r="57" hidden="1" ht="16.5" customHeight="1">
      <c t="s" r="A57" s="23">
        <v>55</v>
      </c>
      <c r="B57" s="13">
        <v>0</v>
      </c>
      <c r="C57" s="14">
        <f>IFERROR(B57/B446, "NA")</f>
      </c>
      <c r="D57" s="15"/>
      <c r="E57" s="13">
        <v>0</v>
      </c>
      <c r="F57" s="14">
        <f>IFERROR(E57/E446, "NA")</f>
      </c>
      <c r="G57" s="15"/>
      <c r="H57" s="16">
        <f>IFERROR(B57-E57, "NA")</f>
      </c>
      <c r="I57" s="14">
        <f>IFERROR(H57/H446, "NA")</f>
      </c>
      <c r="J57" s="15"/>
      <c r="K57" s="13">
        <v>0</v>
      </c>
      <c r="L57" s="14">
        <f>IFERROR(K57/K446, "NA")</f>
      </c>
      <c r="M57" s="15"/>
      <c r="N57" s="16">
        <f>IFERROR(B57-K57, "NA")</f>
      </c>
      <c r="O57" s="14">
        <f>IFERROR(N57/N446, "NA")</f>
      </c>
      <c r="P57" s="15"/>
      <c r="Q57" s="13">
        <v>0</v>
      </c>
      <c r="R57" s="14">
        <f>IFERROR(Q57/Q446, "NA")</f>
      </c>
      <c r="S57" s="15"/>
      <c r="T57" s="13">
        <v>0</v>
      </c>
      <c r="U57" s="14">
        <f>IFERROR(T57/T446, "NA")</f>
      </c>
      <c r="V57" s="15"/>
      <c r="W57" s="16">
        <f>IFERROR(Q57-T57, "NA")</f>
      </c>
      <c r="X57" s="14">
        <f>IFERROR(W57/W446, "NA")</f>
      </c>
      <c r="Y57" s="15"/>
      <c r="Z57" s="13">
        <v>0</v>
      </c>
      <c r="AA57" s="14">
        <f>IFERROR(Z57/Z446, "NA")</f>
      </c>
      <c r="AB57" s="15"/>
      <c r="AC57" s="16">
        <f>IFERROR(Q57-Z57, "NA")</f>
      </c>
      <c r="AD57" s="14">
        <f>IFERROR(AC57/AC446, "NA")</f>
      </c>
    </row>
    <row r="58" hidden="1" ht="16.5" customHeight="1">
      <c t="s" r="A58" s="23">
        <v>56</v>
      </c>
      <c r="B58" s="13">
        <v>0</v>
      </c>
      <c r="C58" s="14">
        <f>IFERROR(B58/B446, "NA")</f>
      </c>
      <c r="D58" s="15"/>
      <c r="E58" s="13">
        <v>0</v>
      </c>
      <c r="F58" s="14">
        <f>IFERROR(E58/E446, "NA")</f>
      </c>
      <c r="G58" s="15"/>
      <c r="H58" s="16">
        <f>IFERROR(B58-E58, "NA")</f>
      </c>
      <c r="I58" s="14">
        <f>IFERROR(H58/H446, "NA")</f>
      </c>
      <c r="J58" s="15"/>
      <c r="K58" s="13">
        <v>0</v>
      </c>
      <c r="L58" s="14">
        <f>IFERROR(K58/K446, "NA")</f>
      </c>
      <c r="M58" s="15"/>
      <c r="N58" s="16">
        <f>IFERROR(B58-K58, "NA")</f>
      </c>
      <c r="O58" s="14">
        <f>IFERROR(N58/N446, "NA")</f>
      </c>
      <c r="P58" s="15"/>
      <c r="Q58" s="13">
        <v>0</v>
      </c>
      <c r="R58" s="14">
        <f>IFERROR(Q58/Q446, "NA")</f>
      </c>
      <c r="S58" s="15"/>
      <c r="T58" s="13">
        <v>0</v>
      </c>
      <c r="U58" s="14">
        <f>IFERROR(T58/T446, "NA")</f>
      </c>
      <c r="V58" s="15"/>
      <c r="W58" s="16">
        <f>IFERROR(Q58-T58, "NA")</f>
      </c>
      <c r="X58" s="14">
        <f>IFERROR(W58/W446, "NA")</f>
      </c>
      <c r="Y58" s="15"/>
      <c r="Z58" s="13">
        <v>0</v>
      </c>
      <c r="AA58" s="14">
        <f>IFERROR(Z58/Z446, "NA")</f>
      </c>
      <c r="AB58" s="15"/>
      <c r="AC58" s="16">
        <f>IFERROR(Q58-Z58, "NA")</f>
      </c>
      <c r="AD58" s="14">
        <f>IFERROR(AC58/AC446, "NA")</f>
      </c>
    </row>
    <row r="59" hidden="1" ht="16.5" customHeight="1">
      <c t="s" r="A59" s="23">
        <v>57</v>
      </c>
      <c r="B59" s="13">
        <v>0</v>
      </c>
      <c r="C59" s="14">
        <f>IFERROR(B59/B446, "NA")</f>
      </c>
      <c r="D59" s="15"/>
      <c r="E59" s="13">
        <v>0</v>
      </c>
      <c r="F59" s="14">
        <f>IFERROR(E59/E446, "NA")</f>
      </c>
      <c r="G59" s="15"/>
      <c r="H59" s="16">
        <f>IFERROR(B59-E59, "NA")</f>
      </c>
      <c r="I59" s="14">
        <f>IFERROR(H59/H446, "NA")</f>
      </c>
      <c r="J59" s="15"/>
      <c r="K59" s="13">
        <v>0</v>
      </c>
      <c r="L59" s="14">
        <f>IFERROR(K59/K446, "NA")</f>
      </c>
      <c r="M59" s="15"/>
      <c r="N59" s="16">
        <f>IFERROR(B59-K59, "NA")</f>
      </c>
      <c r="O59" s="14">
        <f>IFERROR(N59/N446, "NA")</f>
      </c>
      <c r="P59" s="15"/>
      <c r="Q59" s="13">
        <v>0</v>
      </c>
      <c r="R59" s="14">
        <f>IFERROR(Q59/Q446, "NA")</f>
      </c>
      <c r="S59" s="15"/>
      <c r="T59" s="13">
        <v>0</v>
      </c>
      <c r="U59" s="14">
        <f>IFERROR(T59/T446, "NA")</f>
      </c>
      <c r="V59" s="15"/>
      <c r="W59" s="16">
        <f>IFERROR(Q59-T59, "NA")</f>
      </c>
      <c r="X59" s="14">
        <f>IFERROR(W59/W446, "NA")</f>
      </c>
      <c r="Y59" s="15"/>
      <c r="Z59" s="13">
        <v>0</v>
      </c>
      <c r="AA59" s="14">
        <f>IFERROR(Z59/Z446, "NA")</f>
      </c>
      <c r="AB59" s="15"/>
      <c r="AC59" s="16">
        <f>IFERROR(Q59-Z59, "NA")</f>
      </c>
      <c r="AD59" s="14">
        <f>IFERROR(AC59/AC446, "NA")</f>
      </c>
    </row>
    <row r="60" hidden="1" ht="16.5" customHeight="1">
      <c t="s" r="A60" s="23">
        <v>58</v>
      </c>
      <c r="B60" s="13">
        <v>0</v>
      </c>
      <c r="C60" s="14">
        <f>IFERROR(B60/B446, "NA")</f>
      </c>
      <c r="D60" s="15"/>
      <c r="E60" s="13">
        <v>0</v>
      </c>
      <c r="F60" s="14">
        <f>IFERROR(E60/E446, "NA")</f>
      </c>
      <c r="G60" s="15"/>
      <c r="H60" s="16">
        <f>IFERROR(B60-E60, "NA")</f>
      </c>
      <c r="I60" s="14">
        <f>IFERROR(H60/H446, "NA")</f>
      </c>
      <c r="J60" s="15"/>
      <c r="K60" s="13">
        <v>0</v>
      </c>
      <c r="L60" s="14">
        <f>IFERROR(K60/K446, "NA")</f>
      </c>
      <c r="M60" s="15"/>
      <c r="N60" s="16">
        <f>IFERROR(B60-K60, "NA")</f>
      </c>
      <c r="O60" s="14">
        <f>IFERROR(N60/N446, "NA")</f>
      </c>
      <c r="P60" s="15"/>
      <c r="Q60" s="13">
        <v>0</v>
      </c>
      <c r="R60" s="14">
        <f>IFERROR(Q60/Q446, "NA")</f>
      </c>
      <c r="S60" s="15"/>
      <c r="T60" s="13">
        <v>0</v>
      </c>
      <c r="U60" s="14">
        <f>IFERROR(T60/T446, "NA")</f>
      </c>
      <c r="V60" s="15"/>
      <c r="W60" s="16">
        <f>IFERROR(Q60-T60, "NA")</f>
      </c>
      <c r="X60" s="14">
        <f>IFERROR(W60/W446, "NA")</f>
      </c>
      <c r="Y60" s="15"/>
      <c r="Z60" s="13">
        <v>0</v>
      </c>
      <c r="AA60" s="14">
        <f>IFERROR(Z60/Z446, "NA")</f>
      </c>
      <c r="AB60" s="15"/>
      <c r="AC60" s="16">
        <f>IFERROR(Q60-Z60, "NA")</f>
      </c>
      <c r="AD60" s="14">
        <f>IFERROR(AC60/AC446, "NA")</f>
      </c>
    </row>
    <row r="61" ht="16.5" customHeight="1">
      <c t="s" r="A61" s="24">
        <v>59</v>
      </c>
      <c r="B61" s="20">
        <f>IFERROR(B46+B47+B48+B49+B50+B51+B52+B53+B54+B55+B56+B57+B58+B59+B60, "NA")</f>
      </c>
      <c r="C61" s="21">
        <f>IFERROR(B61/B446, "NA")</f>
      </c>
      <c r="D61" s="8"/>
      <c r="E61" s="20">
        <f>IFERROR(E46+E47+E48+E49+E50+E51+E52+E53+E54+E55+E56+E57+E58+E59+E60, "NA")</f>
      </c>
      <c r="F61" s="21">
        <f>IFERROR(E61/E446, "NA")</f>
      </c>
      <c r="G61" s="8"/>
      <c r="H61" s="20">
        <f>IFERROR(B61-E61, "NA")</f>
      </c>
      <c r="I61" s="21">
        <f>IFERROR(H61/H446, "NA")</f>
      </c>
      <c r="J61" s="8"/>
      <c r="K61" s="20">
        <f>IFERROR(K46+K47+K48+K49+K50+K51+K52+K53+K54+K55+K56+K57+K58+K59+K60, "NA")</f>
      </c>
      <c r="L61" s="21">
        <f>IFERROR(K61/K446, "NA")</f>
      </c>
      <c r="M61" s="8"/>
      <c r="N61" s="20">
        <f>IFERROR(B61-K61, "NA")</f>
      </c>
      <c r="O61" s="21">
        <f>IFERROR(N61/N446, "NA")</f>
      </c>
      <c r="P61" s="8"/>
      <c r="Q61" s="20">
        <f>IFERROR(Q46+Q47+Q48+Q49+Q50+Q51+Q52+Q53+Q54+Q55+Q56+Q57+Q58+Q59+Q60, "NA")</f>
      </c>
      <c r="R61" s="21">
        <f>IFERROR(Q61/Q446, "NA")</f>
      </c>
      <c r="S61" s="8"/>
      <c r="T61" s="20">
        <f>IFERROR(T46+T47+T48+T49+T50+T51+T52+T53+T54+T55+T56+T57+T58+T59+T60, "NA")</f>
      </c>
      <c r="U61" s="21">
        <f>IFERROR(T61/T446, "NA")</f>
      </c>
      <c r="V61" s="8"/>
      <c r="W61" s="20">
        <f>IFERROR(Q61-T61, "NA")</f>
      </c>
      <c r="X61" s="21">
        <f>IFERROR(W61/W446, "NA")</f>
      </c>
      <c r="Y61" s="8"/>
      <c r="Z61" s="20">
        <f>IFERROR(Z46+Z47+Z48+Z49+Z50+Z51+Z52+Z53+Z54+Z55+Z56+Z57+Z58+Z59+Z60, "NA")</f>
      </c>
      <c r="AA61" s="21">
        <f>IFERROR(Z61/Z446, "NA")</f>
      </c>
      <c r="AB61" s="8"/>
      <c r="AC61" s="20">
        <f>IFERROR(Q61-Z61, "NA")</f>
      </c>
      <c r="AD61" s="21">
        <f>IFERROR(AC61/AC446, "NA")</f>
      </c>
    </row>
    <row r="62" ht="16.5" customHeight="1">
      <c t="s" r="A62" s="19">
        <v>60</v>
      </c>
      <c r="B62" s="20">
        <f>IFERROR(B42+B43+B44+B46+B47+B48+B49+B50+B51+B52+B53+B54+B55+B56+B57+B58+B59+B60, "NA")</f>
      </c>
      <c r="C62" s="21">
        <f>IFERROR(B62/B446, "NA")</f>
      </c>
      <c r="D62" s="8"/>
      <c r="E62" s="20">
        <f>IFERROR(E42+E43+E44+E46+E47+E48+E49+E50+E51+E52+E53+E54+E55+E56+E57+E58+E59+E60, "NA")</f>
      </c>
      <c r="F62" s="21">
        <f>IFERROR(E62/E446, "NA")</f>
      </c>
      <c r="G62" s="8"/>
      <c r="H62" s="20">
        <f>IFERROR(B62-E62, "NA")</f>
      </c>
      <c r="I62" s="21">
        <f>IFERROR(H62/H446, "NA")</f>
      </c>
      <c r="J62" s="8"/>
      <c r="K62" s="20">
        <f>IFERROR(K42+K43+K44+K46+K47+K48+K49+K50+K51+K52+K53+K54+K55+K56+K57+K58+K59+K60, "NA")</f>
      </c>
      <c r="L62" s="21">
        <f>IFERROR(K62/K446, "NA")</f>
      </c>
      <c r="M62" s="8"/>
      <c r="N62" s="20">
        <f>IFERROR(B62-K62, "NA")</f>
      </c>
      <c r="O62" s="21">
        <f>IFERROR(N62/N446, "NA")</f>
      </c>
      <c r="P62" s="8"/>
      <c r="Q62" s="20">
        <f>IFERROR(Q42+Q43+Q44+Q46+Q47+Q48+Q49+Q50+Q51+Q52+Q53+Q54+Q55+Q56+Q57+Q58+Q59+Q60, "NA")</f>
      </c>
      <c r="R62" s="21">
        <f>IFERROR(Q62/Q446, "NA")</f>
      </c>
      <c r="S62" s="8"/>
      <c r="T62" s="20">
        <f>IFERROR(T42+T43+T44+T46+T47+T48+T49+T50+T51+T52+T53+T54+T55+T56+T57+T58+T59+T60, "NA")</f>
      </c>
      <c r="U62" s="21">
        <f>IFERROR(T62/T446, "NA")</f>
      </c>
      <c r="V62" s="8"/>
      <c r="W62" s="20">
        <f>IFERROR(Q62-T62, "NA")</f>
      </c>
      <c r="X62" s="21">
        <f>IFERROR(W62/W446, "NA")</f>
      </c>
      <c r="Y62" s="8"/>
      <c r="Z62" s="20">
        <f>IFERROR(Z42+Z43+Z44+Z46+Z47+Z48+Z49+Z50+Z51+Z52+Z53+Z54+Z55+Z56+Z57+Z58+Z59+Z60, "NA")</f>
      </c>
      <c r="AA62" s="21">
        <f>IFERROR(Z62/Z446, "NA")</f>
      </c>
      <c r="AB62" s="8"/>
      <c r="AC62" s="20">
        <f>IFERROR(Q62-Z62, "NA")</f>
      </c>
      <c r="AD62" s="21">
        <f>IFERROR(AC62/AC446, "NA")</f>
      </c>
    </row>
    <row r="63" ht="16.5" customHeight="1">
      <c t="s" r="A63" s="17">
        <v>61</v>
      </c>
      <c r="B63" s="8"/>
      <c r="C63" s="9"/>
      <c r="D63" s="10"/>
      <c r="E63" s="8"/>
      <c r="F63" s="9"/>
      <c r="G63" s="10"/>
      <c r="H63" s="8"/>
      <c r="I63" s="9"/>
      <c r="J63" s="10"/>
      <c r="K63" s="8"/>
      <c r="L63" s="9"/>
      <c r="M63" s="10"/>
      <c r="N63" s="8"/>
      <c r="O63" s="9"/>
      <c r="P63" s="10"/>
      <c r="Q63" s="8"/>
      <c r="R63" s="9"/>
      <c r="S63" s="10"/>
      <c r="T63" s="8"/>
      <c r="U63" s="9"/>
      <c r="V63" s="10"/>
      <c r="W63" s="8"/>
      <c r="X63" s="9"/>
      <c r="Y63" s="10"/>
      <c r="Z63" s="8"/>
      <c r="AA63" s="9"/>
      <c r="AB63" s="10"/>
      <c r="AC63" s="8"/>
      <c r="AD63" s="9"/>
    </row>
    <row r="64" ht="16.5" customHeight="1">
      <c t="s" r="A64" s="18">
        <v>61</v>
      </c>
      <c r="B64" s="13">
        <v>0</v>
      </c>
      <c r="C64" s="14">
        <f>IFERROR(B64/B446, "NA")</f>
      </c>
      <c r="D64" s="15"/>
      <c r="E64" s="13">
        <v>7769.1199999999999</v>
      </c>
      <c r="F64" s="14">
        <f>IFERROR(E64/E446, "NA")</f>
      </c>
      <c r="G64" s="15"/>
      <c r="H64" s="16">
        <f>IFERROR(B64-E64, "NA")</f>
      </c>
      <c r="I64" s="14">
        <f>IFERROR(H64/H446, "NA")</f>
      </c>
      <c r="J64" s="15"/>
      <c r="K64" s="13">
        <v>0</v>
      </c>
      <c r="L64" s="14">
        <f>IFERROR(K64/K446, "NA")</f>
      </c>
      <c r="M64" s="15"/>
      <c r="N64" s="16">
        <f>IFERROR(B64-K64, "NA")</f>
      </c>
      <c r="O64" s="14">
        <f>IFERROR(N64/N446, "NA")</f>
      </c>
      <c r="P64" s="15"/>
      <c r="Q64" s="13">
        <v>0</v>
      </c>
      <c r="R64" s="14">
        <f>IFERROR(Q64/Q446, "NA")</f>
      </c>
      <c r="S64" s="15"/>
      <c r="T64" s="13">
        <v>7769.1199999999999</v>
      </c>
      <c r="U64" s="14">
        <f>IFERROR(T64/T446, "NA")</f>
      </c>
      <c r="V64" s="15"/>
      <c r="W64" s="16">
        <f>IFERROR(Q64-T64, "NA")</f>
      </c>
      <c r="X64" s="14">
        <f>IFERROR(W64/W446, "NA")</f>
      </c>
      <c r="Y64" s="15"/>
      <c r="Z64" s="13">
        <v>0</v>
      </c>
      <c r="AA64" s="14">
        <f>IFERROR(Z64/Z446, "NA")</f>
      </c>
      <c r="AB64" s="15"/>
      <c r="AC64" s="16">
        <f>IFERROR(Q64-Z64, "NA")</f>
      </c>
      <c r="AD64" s="14">
        <f>IFERROR(AC64/AC446, "NA")</f>
      </c>
    </row>
    <row r="65" ht="16.5" customHeight="1">
      <c t="s" r="A65" s="18">
        <v>62</v>
      </c>
      <c r="B65" s="13">
        <v>4441.7399999999998</v>
      </c>
      <c r="C65" s="14">
        <f>IFERROR(B65/B446, "NA")</f>
      </c>
      <c r="D65" s="15"/>
      <c r="E65" s="13">
        <v>0</v>
      </c>
      <c r="F65" s="14">
        <f>IFERROR(E65/E446, "NA")</f>
      </c>
      <c r="G65" s="15"/>
      <c r="H65" s="16">
        <f>IFERROR(B65-E65, "NA")</f>
      </c>
      <c r="I65" s="14">
        <f>IFERROR(H65/H446, "NA")</f>
      </c>
      <c r="J65" s="15"/>
      <c r="K65" s="13">
        <v>0</v>
      </c>
      <c r="L65" s="14">
        <f>IFERROR(K65/K446, "NA")</f>
      </c>
      <c r="M65" s="15"/>
      <c r="N65" s="16">
        <f>IFERROR(B65-K65, "NA")</f>
      </c>
      <c r="O65" s="14">
        <f>IFERROR(N65/N446, "NA")</f>
      </c>
      <c r="P65" s="15"/>
      <c r="Q65" s="13">
        <v>4441.7399999999998</v>
      </c>
      <c r="R65" s="14">
        <f>IFERROR(Q65/Q446, "NA")</f>
      </c>
      <c r="S65" s="15"/>
      <c r="T65" s="13">
        <v>0</v>
      </c>
      <c r="U65" s="14">
        <f>IFERROR(T65/T446, "NA")</f>
      </c>
      <c r="V65" s="15"/>
      <c r="W65" s="16">
        <f>IFERROR(Q65-T65, "NA")</f>
      </c>
      <c r="X65" s="14">
        <f>IFERROR(W65/W446, "NA")</f>
      </c>
      <c r="Y65" s="15"/>
      <c r="Z65" s="13">
        <v>0</v>
      </c>
      <c r="AA65" s="14">
        <f>IFERROR(Z65/Z446, "NA")</f>
      </c>
      <c r="AB65" s="15"/>
      <c r="AC65" s="16">
        <f>IFERROR(Q65-Z65, "NA")</f>
      </c>
      <c r="AD65" s="14">
        <f>IFERROR(AC65/AC446, "NA")</f>
      </c>
    </row>
    <row r="66" ht="16.5" customHeight="1">
      <c t="s" r="A66" s="18">
        <v>63</v>
      </c>
      <c r="B66" s="13">
        <v>3730.1100000000001</v>
      </c>
      <c r="C66" s="14">
        <f>IFERROR(B66/B446, "NA")</f>
      </c>
      <c r="D66" s="15"/>
      <c r="E66" s="13">
        <v>0</v>
      </c>
      <c r="F66" s="14">
        <f>IFERROR(E66/E446, "NA")</f>
      </c>
      <c r="G66" s="15"/>
      <c r="H66" s="16">
        <f>IFERROR(B66-E66, "NA")</f>
      </c>
      <c r="I66" s="14">
        <f>IFERROR(H66/H446, "NA")</f>
      </c>
      <c r="J66" s="15"/>
      <c r="K66" s="13">
        <v>5885.2200000000003</v>
      </c>
      <c r="L66" s="14">
        <f>IFERROR(K66/K446, "NA")</f>
      </c>
      <c r="M66" s="15"/>
      <c r="N66" s="16">
        <f>IFERROR(B66-K66, "NA")</f>
      </c>
      <c r="O66" s="14">
        <f>IFERROR(N66/N446, "NA")</f>
      </c>
      <c r="P66" s="15"/>
      <c r="Q66" s="13">
        <v>3730.1100000000001</v>
      </c>
      <c r="R66" s="14">
        <f>IFERROR(Q66/Q446, "NA")</f>
      </c>
      <c r="S66" s="15"/>
      <c r="T66" s="13">
        <v>0</v>
      </c>
      <c r="U66" s="14">
        <f>IFERROR(T66/T446, "NA")</f>
      </c>
      <c r="V66" s="15"/>
      <c r="W66" s="16">
        <f>IFERROR(Q66-T66, "NA")</f>
      </c>
      <c r="X66" s="14">
        <f>IFERROR(W66/W446, "NA")</f>
      </c>
      <c r="Y66" s="15"/>
      <c r="Z66" s="13">
        <v>5885.2200000000003</v>
      </c>
      <c r="AA66" s="14">
        <f>IFERROR(Z66/Z446, "NA")</f>
      </c>
      <c r="AB66" s="15"/>
      <c r="AC66" s="16">
        <f>IFERROR(Q66-Z66, "NA")</f>
      </c>
      <c r="AD66" s="14">
        <f>IFERROR(AC66/AC446, "NA")</f>
      </c>
    </row>
    <row r="67" hidden="1" ht="16.5" customHeight="1">
      <c t="s" r="A67" s="18">
        <v>64</v>
      </c>
      <c r="B67" s="13">
        <v>0</v>
      </c>
      <c r="C67" s="14">
        <f>IFERROR(B67/B446, "NA")</f>
      </c>
      <c r="D67" s="15"/>
      <c r="E67" s="13">
        <v>0</v>
      </c>
      <c r="F67" s="14">
        <f>IFERROR(E67/E446, "NA")</f>
      </c>
      <c r="G67" s="15"/>
      <c r="H67" s="16">
        <f>IFERROR(B67-E67, "NA")</f>
      </c>
      <c r="I67" s="14">
        <f>IFERROR(H67/H446, "NA")</f>
      </c>
      <c r="J67" s="15"/>
      <c r="K67" s="13">
        <v>0</v>
      </c>
      <c r="L67" s="14">
        <f>IFERROR(K67/K446, "NA")</f>
      </c>
      <c r="M67" s="15"/>
      <c r="N67" s="16">
        <f>IFERROR(B67-K67, "NA")</f>
      </c>
      <c r="O67" s="14">
        <f>IFERROR(N67/N446, "NA")</f>
      </c>
      <c r="P67" s="15"/>
      <c r="Q67" s="13">
        <v>0</v>
      </c>
      <c r="R67" s="14">
        <f>IFERROR(Q67/Q446, "NA")</f>
      </c>
      <c r="S67" s="15"/>
      <c r="T67" s="13">
        <v>0</v>
      </c>
      <c r="U67" s="14">
        <f>IFERROR(T67/T446, "NA")</f>
      </c>
      <c r="V67" s="15"/>
      <c r="W67" s="16">
        <f>IFERROR(Q67-T67, "NA")</f>
      </c>
      <c r="X67" s="14">
        <f>IFERROR(W67/W446, "NA")</f>
      </c>
      <c r="Y67" s="15"/>
      <c r="Z67" s="13">
        <v>0</v>
      </c>
      <c r="AA67" s="14">
        <f>IFERROR(Z67/Z446, "NA")</f>
      </c>
      <c r="AB67" s="15"/>
      <c r="AC67" s="16">
        <f>IFERROR(Q67-Z67, "NA")</f>
      </c>
      <c r="AD67" s="14">
        <f>IFERROR(AC67/AC446, "NA")</f>
      </c>
    </row>
    <row r="68" ht="16.5" customHeight="1">
      <c t="s" r="A68" s="18">
        <v>65</v>
      </c>
      <c r="B68" s="13">
        <v>717.65999999999997</v>
      </c>
      <c r="C68" s="14">
        <f>IFERROR(B68/B446, "NA")</f>
      </c>
      <c r="D68" s="15"/>
      <c r="E68" s="13">
        <v>0</v>
      </c>
      <c r="F68" s="14">
        <f>IFERROR(E68/E446, "NA")</f>
      </c>
      <c r="G68" s="15"/>
      <c r="H68" s="16">
        <f>IFERROR(B68-E68, "NA")</f>
      </c>
      <c r="I68" s="14">
        <f>IFERROR(H68/H446, "NA")</f>
      </c>
      <c r="J68" s="15"/>
      <c r="K68" s="13">
        <v>0</v>
      </c>
      <c r="L68" s="14">
        <f>IFERROR(K68/K446, "NA")</f>
      </c>
      <c r="M68" s="15"/>
      <c r="N68" s="16">
        <f>IFERROR(B68-K68, "NA")</f>
      </c>
      <c r="O68" s="14">
        <f>IFERROR(N68/N446, "NA")</f>
      </c>
      <c r="P68" s="15"/>
      <c r="Q68" s="13">
        <v>717.65999999999997</v>
      </c>
      <c r="R68" s="14">
        <f>IFERROR(Q68/Q446, "NA")</f>
      </c>
      <c r="S68" s="15"/>
      <c r="T68" s="13">
        <v>0</v>
      </c>
      <c r="U68" s="14">
        <f>IFERROR(T68/T446, "NA")</f>
      </c>
      <c r="V68" s="15"/>
      <c r="W68" s="16">
        <f>IFERROR(Q68-T68, "NA")</f>
      </c>
      <c r="X68" s="14">
        <f>IFERROR(W68/W446, "NA")</f>
      </c>
      <c r="Y68" s="15"/>
      <c r="Z68" s="13">
        <v>0</v>
      </c>
      <c r="AA68" s="14">
        <f>IFERROR(Z68/Z446, "NA")</f>
      </c>
      <c r="AB68" s="15"/>
      <c r="AC68" s="16">
        <f>IFERROR(Q68-Z68, "NA")</f>
      </c>
      <c r="AD68" s="14">
        <f>IFERROR(AC68/AC446, "NA")</f>
      </c>
    </row>
    <row r="69" ht="16.5" customHeight="1">
      <c t="s" r="A69" s="18">
        <v>66</v>
      </c>
      <c r="B69" s="13">
        <v>-17.850000000000001</v>
      </c>
      <c r="C69" s="14">
        <f>IFERROR(B69/B446, "NA")</f>
      </c>
      <c r="D69" s="15"/>
      <c r="E69" s="13">
        <v>0</v>
      </c>
      <c r="F69" s="14">
        <f>IFERROR(E69/E446, "NA")</f>
      </c>
      <c r="G69" s="15"/>
      <c r="H69" s="16">
        <f>IFERROR(B69-E69, "NA")</f>
      </c>
      <c r="I69" s="14">
        <f>IFERROR(H69/H446, "NA")</f>
      </c>
      <c r="J69" s="15"/>
      <c r="K69" s="13">
        <v>0</v>
      </c>
      <c r="L69" s="14">
        <f>IFERROR(K69/K446, "NA")</f>
      </c>
      <c r="M69" s="15"/>
      <c r="N69" s="16">
        <f>IFERROR(B69-K69, "NA")</f>
      </c>
      <c r="O69" s="14">
        <f>IFERROR(N69/N446, "NA")</f>
      </c>
      <c r="P69" s="15"/>
      <c r="Q69" s="13">
        <v>-17.850000000000001</v>
      </c>
      <c r="R69" s="14">
        <f>IFERROR(Q69/Q446, "NA")</f>
      </c>
      <c r="S69" s="15"/>
      <c r="T69" s="13">
        <v>0</v>
      </c>
      <c r="U69" s="14">
        <f>IFERROR(T69/T446, "NA")</f>
      </c>
      <c r="V69" s="15"/>
      <c r="W69" s="16">
        <f>IFERROR(Q69-T69, "NA")</f>
      </c>
      <c r="X69" s="14">
        <f>IFERROR(W69/W446, "NA")</f>
      </c>
      <c r="Y69" s="15"/>
      <c r="Z69" s="13">
        <v>0</v>
      </c>
      <c r="AA69" s="14">
        <f>IFERROR(Z69/Z446, "NA")</f>
      </c>
      <c r="AB69" s="15"/>
      <c r="AC69" s="16">
        <f>IFERROR(Q69-Z69, "NA")</f>
      </c>
      <c r="AD69" s="14">
        <f>IFERROR(AC69/AC446, "NA")</f>
      </c>
    </row>
    <row r="70" hidden="1" ht="16.5" customHeight="1">
      <c t="s" r="A70" s="18">
        <v>67</v>
      </c>
      <c r="B70" s="13">
        <v>0</v>
      </c>
      <c r="C70" s="14">
        <f>IFERROR(B70/B446, "NA")</f>
      </c>
      <c r="D70" s="15"/>
      <c r="E70" s="13">
        <v>0</v>
      </c>
      <c r="F70" s="14">
        <f>IFERROR(E70/E446, "NA")</f>
      </c>
      <c r="G70" s="15"/>
      <c r="H70" s="16">
        <f>IFERROR(B70-E70, "NA")</f>
      </c>
      <c r="I70" s="14">
        <f>IFERROR(H70/H446, "NA")</f>
      </c>
      <c r="J70" s="15"/>
      <c r="K70" s="13">
        <v>0</v>
      </c>
      <c r="L70" s="14">
        <f>IFERROR(K70/K446, "NA")</f>
      </c>
      <c r="M70" s="15"/>
      <c r="N70" s="16">
        <f>IFERROR(B70-K70, "NA")</f>
      </c>
      <c r="O70" s="14">
        <f>IFERROR(N70/N446, "NA")</f>
      </c>
      <c r="P70" s="15"/>
      <c r="Q70" s="13">
        <v>0</v>
      </c>
      <c r="R70" s="14">
        <f>IFERROR(Q70/Q446, "NA")</f>
      </c>
      <c r="S70" s="15"/>
      <c r="T70" s="13">
        <v>0</v>
      </c>
      <c r="U70" s="14">
        <f>IFERROR(T70/T446, "NA")</f>
      </c>
      <c r="V70" s="15"/>
      <c r="W70" s="16">
        <f>IFERROR(Q70-T70, "NA")</f>
      </c>
      <c r="X70" s="14">
        <f>IFERROR(W70/W446, "NA")</f>
      </c>
      <c r="Y70" s="15"/>
      <c r="Z70" s="13">
        <v>0</v>
      </c>
      <c r="AA70" s="14">
        <f>IFERROR(Z70/Z446, "NA")</f>
      </c>
      <c r="AB70" s="15"/>
      <c r="AC70" s="16">
        <f>IFERROR(Q70-Z70, "NA")</f>
      </c>
      <c r="AD70" s="14">
        <f>IFERROR(AC70/AC446, "NA")</f>
      </c>
    </row>
    <row r="71" hidden="1" ht="16.5" customHeight="1">
      <c t="s" r="A71" s="18">
        <v>68</v>
      </c>
      <c r="B71" s="13">
        <v>0</v>
      </c>
      <c r="C71" s="14">
        <f>IFERROR(B71/B446, "NA")</f>
      </c>
      <c r="D71" s="15"/>
      <c r="E71" s="13">
        <v>0</v>
      </c>
      <c r="F71" s="14">
        <f>IFERROR(E71/E446, "NA")</f>
      </c>
      <c r="G71" s="15"/>
      <c r="H71" s="16">
        <f>IFERROR(B71-E71, "NA")</f>
      </c>
      <c r="I71" s="14">
        <f>IFERROR(H71/H446, "NA")</f>
      </c>
      <c r="J71" s="15"/>
      <c r="K71" s="13">
        <v>0</v>
      </c>
      <c r="L71" s="14">
        <f>IFERROR(K71/K446, "NA")</f>
      </c>
      <c r="M71" s="15"/>
      <c r="N71" s="16">
        <f>IFERROR(B71-K71, "NA")</f>
      </c>
      <c r="O71" s="14">
        <f>IFERROR(N71/N446, "NA")</f>
      </c>
      <c r="P71" s="15"/>
      <c r="Q71" s="13">
        <v>0</v>
      </c>
      <c r="R71" s="14">
        <f>IFERROR(Q71/Q446, "NA")</f>
      </c>
      <c r="S71" s="15"/>
      <c r="T71" s="13">
        <v>0</v>
      </c>
      <c r="U71" s="14">
        <f>IFERROR(T71/T446, "NA")</f>
      </c>
      <c r="V71" s="15"/>
      <c r="W71" s="16">
        <f>IFERROR(Q71-T71, "NA")</f>
      </c>
      <c r="X71" s="14">
        <f>IFERROR(W71/W446, "NA")</f>
      </c>
      <c r="Y71" s="15"/>
      <c r="Z71" s="13">
        <v>0</v>
      </c>
      <c r="AA71" s="14">
        <f>IFERROR(Z71/Z446, "NA")</f>
      </c>
      <c r="AB71" s="15"/>
      <c r="AC71" s="16">
        <f>IFERROR(Q71-Z71, "NA")</f>
      </c>
      <c r="AD71" s="14">
        <f>IFERROR(AC71/AC446, "NA")</f>
      </c>
    </row>
    <row r="72" hidden="1" ht="16.5" customHeight="1">
      <c t="s" r="A72" s="18">
        <v>69</v>
      </c>
      <c r="B72" s="13">
        <v>0</v>
      </c>
      <c r="C72" s="14">
        <f>IFERROR(B72/B446, "NA")</f>
      </c>
      <c r="D72" s="15"/>
      <c r="E72" s="13">
        <v>0</v>
      </c>
      <c r="F72" s="14">
        <f>IFERROR(E72/E446, "NA")</f>
      </c>
      <c r="G72" s="15"/>
      <c r="H72" s="16">
        <f>IFERROR(B72-E72, "NA")</f>
      </c>
      <c r="I72" s="14">
        <f>IFERROR(H72/H446, "NA")</f>
      </c>
      <c r="J72" s="15"/>
      <c r="K72" s="13">
        <v>0</v>
      </c>
      <c r="L72" s="14">
        <f>IFERROR(K72/K446, "NA")</f>
      </c>
      <c r="M72" s="15"/>
      <c r="N72" s="16">
        <f>IFERROR(B72-K72, "NA")</f>
      </c>
      <c r="O72" s="14">
        <f>IFERROR(N72/N446, "NA")</f>
      </c>
      <c r="P72" s="15"/>
      <c r="Q72" s="13">
        <v>0</v>
      </c>
      <c r="R72" s="14">
        <f>IFERROR(Q72/Q446, "NA")</f>
      </c>
      <c r="S72" s="15"/>
      <c r="T72" s="13">
        <v>0</v>
      </c>
      <c r="U72" s="14">
        <f>IFERROR(T72/T446, "NA")</f>
      </c>
      <c r="V72" s="15"/>
      <c r="W72" s="16">
        <f>IFERROR(Q72-T72, "NA")</f>
      </c>
      <c r="X72" s="14">
        <f>IFERROR(W72/W446, "NA")</f>
      </c>
      <c r="Y72" s="15"/>
      <c r="Z72" s="13">
        <v>0</v>
      </c>
      <c r="AA72" s="14">
        <f>IFERROR(Z72/Z446, "NA")</f>
      </c>
      <c r="AB72" s="15"/>
      <c r="AC72" s="16">
        <f>IFERROR(Q72-Z72, "NA")</f>
      </c>
      <c r="AD72" s="14">
        <f>IFERROR(AC72/AC446, "NA")</f>
      </c>
    </row>
    <row r="73" ht="16.5" customHeight="1">
      <c t="s" r="A73" s="19">
        <v>70</v>
      </c>
      <c r="B73" s="20">
        <f>IFERROR(B64+B65+B66+B67+B68+B69+B70+B71+B72, "NA")</f>
      </c>
      <c r="C73" s="21">
        <f>IFERROR(B73/B446, "NA")</f>
      </c>
      <c r="D73" s="8"/>
      <c r="E73" s="20">
        <f>IFERROR(E64+E65+E66+E67+E68+E69+E70+E71+E72, "NA")</f>
      </c>
      <c r="F73" s="21">
        <f>IFERROR(E73/E446, "NA")</f>
      </c>
      <c r="G73" s="8"/>
      <c r="H73" s="20">
        <f>IFERROR(B73-E73, "NA")</f>
      </c>
      <c r="I73" s="21">
        <f>IFERROR(H73/H446, "NA")</f>
      </c>
      <c r="J73" s="8"/>
      <c r="K73" s="20">
        <f>IFERROR(K64+K65+K66+K67+K68+K69+K70+K71+K72, "NA")</f>
      </c>
      <c r="L73" s="21">
        <f>IFERROR(K73/K446, "NA")</f>
      </c>
      <c r="M73" s="8"/>
      <c r="N73" s="20">
        <f>IFERROR(B73-K73, "NA")</f>
      </c>
      <c r="O73" s="21">
        <f>IFERROR(N73/N446, "NA")</f>
      </c>
      <c r="P73" s="8"/>
      <c r="Q73" s="20">
        <f>IFERROR(Q64+Q65+Q66+Q67+Q68+Q69+Q70+Q71+Q72, "NA")</f>
      </c>
      <c r="R73" s="21">
        <f>IFERROR(Q73/Q446, "NA")</f>
      </c>
      <c r="S73" s="8"/>
      <c r="T73" s="20">
        <f>IFERROR(T64+T65+T66+T67+T68+T69+T70+T71+T72, "NA")</f>
      </c>
      <c r="U73" s="21">
        <f>IFERROR(T73/T446, "NA")</f>
      </c>
      <c r="V73" s="8"/>
      <c r="W73" s="20">
        <f>IFERROR(Q73-T73, "NA")</f>
      </c>
      <c r="X73" s="21">
        <f>IFERROR(W73/W446, "NA")</f>
      </c>
      <c r="Y73" s="8"/>
      <c r="Z73" s="20">
        <f>IFERROR(Z64+Z65+Z66+Z67+Z68+Z69+Z70+Z71+Z72, "NA")</f>
      </c>
      <c r="AA73" s="21">
        <f>IFERROR(Z73/Z446, "NA")</f>
      </c>
      <c r="AB73" s="8"/>
      <c r="AC73" s="20">
        <f>IFERROR(Q73-Z73, "NA")</f>
      </c>
      <c r="AD73" s="21">
        <f>IFERROR(AC73/AC446, "NA")</f>
      </c>
    </row>
    <row r="74" ht="16.5" customHeight="1">
      <c t="s" r="A74" s="17">
        <v>71</v>
      </c>
      <c r="B74" s="8"/>
      <c r="C74" s="9"/>
      <c r="D74" s="10"/>
      <c r="E74" s="8"/>
      <c r="F74" s="9"/>
      <c r="G74" s="10"/>
      <c r="H74" s="8"/>
      <c r="I74" s="9"/>
      <c r="J74" s="10"/>
      <c r="K74" s="8"/>
      <c r="L74" s="9"/>
      <c r="M74" s="10"/>
      <c r="N74" s="8"/>
      <c r="O74" s="9"/>
      <c r="P74" s="10"/>
      <c r="Q74" s="8"/>
      <c r="R74" s="9"/>
      <c r="S74" s="10"/>
      <c r="T74" s="8"/>
      <c r="U74" s="9"/>
      <c r="V74" s="10"/>
      <c r="W74" s="8"/>
      <c r="X74" s="9"/>
      <c r="Y74" s="10"/>
      <c r="Z74" s="8"/>
      <c r="AA74" s="9"/>
      <c r="AB74" s="10"/>
      <c r="AC74" s="8"/>
      <c r="AD74" s="9"/>
    </row>
    <row r="75" ht="16.5" customHeight="1">
      <c t="s" r="A75" s="18">
        <v>71</v>
      </c>
      <c r="B75" s="13">
        <v>0</v>
      </c>
      <c r="C75" s="14">
        <f>IFERROR(B75/B446, "NA")</f>
      </c>
      <c r="D75" s="15"/>
      <c r="E75" s="13">
        <v>1456.71</v>
      </c>
      <c r="F75" s="14">
        <f>IFERROR(E75/E446, "NA")</f>
      </c>
      <c r="G75" s="15"/>
      <c r="H75" s="16">
        <f>IFERROR(B75-E75, "NA")</f>
      </c>
      <c r="I75" s="14">
        <f>IFERROR(H75/H446, "NA")</f>
      </c>
      <c r="J75" s="15"/>
      <c r="K75" s="13">
        <v>0</v>
      </c>
      <c r="L75" s="14">
        <f>IFERROR(K75/K446, "NA")</f>
      </c>
      <c r="M75" s="15"/>
      <c r="N75" s="16">
        <f>IFERROR(B75-K75, "NA")</f>
      </c>
      <c r="O75" s="14">
        <f>IFERROR(N75/N446, "NA")</f>
      </c>
      <c r="P75" s="15"/>
      <c r="Q75" s="13">
        <v>0</v>
      </c>
      <c r="R75" s="14">
        <f>IFERROR(Q75/Q446, "NA")</f>
      </c>
      <c r="S75" s="15"/>
      <c r="T75" s="13">
        <v>1456.71</v>
      </c>
      <c r="U75" s="14">
        <f>IFERROR(T75/T446, "NA")</f>
      </c>
      <c r="V75" s="15"/>
      <c r="W75" s="16">
        <f>IFERROR(Q75-T75, "NA")</f>
      </c>
      <c r="X75" s="14">
        <f>IFERROR(W75/W446, "NA")</f>
      </c>
      <c r="Y75" s="15"/>
      <c r="Z75" s="13">
        <v>0</v>
      </c>
      <c r="AA75" s="14">
        <f>IFERROR(Z75/Z446, "NA")</f>
      </c>
      <c r="AB75" s="15"/>
      <c r="AC75" s="16">
        <f>IFERROR(Q75-Z75, "NA")</f>
      </c>
      <c r="AD75" s="14">
        <f>IFERROR(AC75/AC446, "NA")</f>
      </c>
    </row>
    <row r="76" hidden="1" ht="16.5" customHeight="1">
      <c t="s" r="A76" s="18">
        <v>72</v>
      </c>
      <c r="B76" s="13">
        <v>0</v>
      </c>
      <c r="C76" s="14">
        <f>IFERROR(B76/B446, "NA")</f>
      </c>
      <c r="D76" s="15"/>
      <c r="E76" s="13">
        <v>0</v>
      </c>
      <c r="F76" s="14">
        <f>IFERROR(E76/E446, "NA")</f>
      </c>
      <c r="G76" s="15"/>
      <c r="H76" s="16">
        <f>IFERROR(B76-E76, "NA")</f>
      </c>
      <c r="I76" s="14">
        <f>IFERROR(H76/H446, "NA")</f>
      </c>
      <c r="J76" s="15"/>
      <c r="K76" s="13">
        <v>0</v>
      </c>
      <c r="L76" s="14">
        <f>IFERROR(K76/K446, "NA")</f>
      </c>
      <c r="M76" s="15"/>
      <c r="N76" s="16">
        <f>IFERROR(B76-K76, "NA")</f>
      </c>
      <c r="O76" s="14">
        <f>IFERROR(N76/N446, "NA")</f>
      </c>
      <c r="P76" s="15"/>
      <c r="Q76" s="13">
        <v>0</v>
      </c>
      <c r="R76" s="14">
        <f>IFERROR(Q76/Q446, "NA")</f>
      </c>
      <c r="S76" s="15"/>
      <c r="T76" s="13">
        <v>0</v>
      </c>
      <c r="U76" s="14">
        <f>IFERROR(T76/T446, "NA")</f>
      </c>
      <c r="V76" s="15"/>
      <c r="W76" s="16">
        <f>IFERROR(Q76-T76, "NA")</f>
      </c>
      <c r="X76" s="14">
        <f>IFERROR(W76/W446, "NA")</f>
      </c>
      <c r="Y76" s="15"/>
      <c r="Z76" s="13">
        <v>0</v>
      </c>
      <c r="AA76" s="14">
        <f>IFERROR(Z76/Z446, "NA")</f>
      </c>
      <c r="AB76" s="15"/>
      <c r="AC76" s="16">
        <f>IFERROR(Q76-Z76, "NA")</f>
      </c>
      <c r="AD76" s="14">
        <f>IFERROR(AC76/AC446, "NA")</f>
      </c>
    </row>
    <row r="77" ht="16.5" customHeight="1">
      <c t="s" r="A77" s="18">
        <v>73</v>
      </c>
      <c r="B77" s="13">
        <v>218.81999999999999</v>
      </c>
      <c r="C77" s="14">
        <f>IFERROR(B77/B446, "NA")</f>
      </c>
      <c r="D77" s="15"/>
      <c r="E77" s="13">
        <v>0</v>
      </c>
      <c r="F77" s="14">
        <f>IFERROR(E77/E446, "NA")</f>
      </c>
      <c r="G77" s="15"/>
      <c r="H77" s="16">
        <f>IFERROR(B77-E77, "NA")</f>
      </c>
      <c r="I77" s="14">
        <f>IFERROR(H77/H446, "NA")</f>
      </c>
      <c r="J77" s="15"/>
      <c r="K77" s="13">
        <v>141.74000000000001</v>
      </c>
      <c r="L77" s="14">
        <f>IFERROR(K77/K446, "NA")</f>
      </c>
      <c r="M77" s="15"/>
      <c r="N77" s="16">
        <f>IFERROR(B77-K77, "NA")</f>
      </c>
      <c r="O77" s="14">
        <f>IFERROR(N77/N446, "NA")</f>
      </c>
      <c r="P77" s="15"/>
      <c r="Q77" s="13">
        <v>218.81999999999999</v>
      </c>
      <c r="R77" s="14">
        <f>IFERROR(Q77/Q446, "NA")</f>
      </c>
      <c r="S77" s="15"/>
      <c r="T77" s="13">
        <v>0</v>
      </c>
      <c r="U77" s="14">
        <f>IFERROR(T77/T446, "NA")</f>
      </c>
      <c r="V77" s="15"/>
      <c r="W77" s="16">
        <f>IFERROR(Q77-T77, "NA")</f>
      </c>
      <c r="X77" s="14">
        <f>IFERROR(W77/W446, "NA")</f>
      </c>
      <c r="Y77" s="15"/>
      <c r="Z77" s="13">
        <v>141.74000000000001</v>
      </c>
      <c r="AA77" s="14">
        <f>IFERROR(Z77/Z446, "NA")</f>
      </c>
      <c r="AB77" s="15"/>
      <c r="AC77" s="16">
        <f>IFERROR(Q77-Z77, "NA")</f>
      </c>
      <c r="AD77" s="14">
        <f>IFERROR(AC77/AC446, "NA")</f>
      </c>
    </row>
    <row r="78" hidden="1" ht="16.5" customHeight="1">
      <c t="s" r="A78" s="18">
        <v>74</v>
      </c>
      <c r="B78" s="13">
        <v>0</v>
      </c>
      <c r="C78" s="14">
        <f>IFERROR(B78/B446, "NA")</f>
      </c>
      <c r="D78" s="15"/>
      <c r="E78" s="13">
        <v>0</v>
      </c>
      <c r="F78" s="14">
        <f>IFERROR(E78/E446, "NA")</f>
      </c>
      <c r="G78" s="15"/>
      <c r="H78" s="16">
        <f>IFERROR(B78-E78, "NA")</f>
      </c>
      <c r="I78" s="14">
        <f>IFERROR(H78/H446, "NA")</f>
      </c>
      <c r="J78" s="15"/>
      <c r="K78" s="13">
        <v>0</v>
      </c>
      <c r="L78" s="14">
        <f>IFERROR(K78/K446, "NA")</f>
      </c>
      <c r="M78" s="15"/>
      <c r="N78" s="16">
        <f>IFERROR(B78-K78, "NA")</f>
      </c>
      <c r="O78" s="14">
        <f>IFERROR(N78/N446, "NA")</f>
      </c>
      <c r="P78" s="15"/>
      <c r="Q78" s="13">
        <v>0</v>
      </c>
      <c r="R78" s="14">
        <f>IFERROR(Q78/Q446, "NA")</f>
      </c>
      <c r="S78" s="15"/>
      <c r="T78" s="13">
        <v>0</v>
      </c>
      <c r="U78" s="14">
        <f>IFERROR(T78/T446, "NA")</f>
      </c>
      <c r="V78" s="15"/>
      <c r="W78" s="16">
        <f>IFERROR(Q78-T78, "NA")</f>
      </c>
      <c r="X78" s="14">
        <f>IFERROR(W78/W446, "NA")</f>
      </c>
      <c r="Y78" s="15"/>
      <c r="Z78" s="13">
        <v>0</v>
      </c>
      <c r="AA78" s="14">
        <f>IFERROR(Z78/Z446, "NA")</f>
      </c>
      <c r="AB78" s="15"/>
      <c r="AC78" s="16">
        <f>IFERROR(Q78-Z78, "NA")</f>
      </c>
      <c r="AD78" s="14">
        <f>IFERROR(AC78/AC446, "NA")</f>
      </c>
    </row>
    <row r="79" hidden="1" ht="16.5" customHeight="1">
      <c t="s" r="A79" s="18">
        <v>75</v>
      </c>
      <c r="B79" s="13">
        <v>0</v>
      </c>
      <c r="C79" s="14">
        <f>IFERROR(B79/B446, "NA")</f>
      </c>
      <c r="D79" s="15"/>
      <c r="E79" s="13">
        <v>0</v>
      </c>
      <c r="F79" s="14">
        <f>IFERROR(E79/E446, "NA")</f>
      </c>
      <c r="G79" s="15"/>
      <c r="H79" s="16">
        <f>IFERROR(B79-E79, "NA")</f>
      </c>
      <c r="I79" s="14">
        <f>IFERROR(H79/H446, "NA")</f>
      </c>
      <c r="J79" s="15"/>
      <c r="K79" s="13">
        <v>0</v>
      </c>
      <c r="L79" s="14">
        <f>IFERROR(K79/K446, "NA")</f>
      </c>
      <c r="M79" s="15"/>
      <c r="N79" s="16">
        <f>IFERROR(B79-K79, "NA")</f>
      </c>
      <c r="O79" s="14">
        <f>IFERROR(N79/N446, "NA")</f>
      </c>
      <c r="P79" s="15"/>
      <c r="Q79" s="13">
        <v>0</v>
      </c>
      <c r="R79" s="14">
        <f>IFERROR(Q79/Q446, "NA")</f>
      </c>
      <c r="S79" s="15"/>
      <c r="T79" s="13">
        <v>0</v>
      </c>
      <c r="U79" s="14">
        <f>IFERROR(T79/T446, "NA")</f>
      </c>
      <c r="V79" s="15"/>
      <c r="W79" s="16">
        <f>IFERROR(Q79-T79, "NA")</f>
      </c>
      <c r="X79" s="14">
        <f>IFERROR(W79/W446, "NA")</f>
      </c>
      <c r="Y79" s="15"/>
      <c r="Z79" s="13">
        <v>0</v>
      </c>
      <c r="AA79" s="14">
        <f>IFERROR(Z79/Z446, "NA")</f>
      </c>
      <c r="AB79" s="15"/>
      <c r="AC79" s="16">
        <f>IFERROR(Q79-Z79, "NA")</f>
      </c>
      <c r="AD79" s="14">
        <f>IFERROR(AC79/AC446, "NA")</f>
      </c>
    </row>
    <row r="80" ht="16.5" customHeight="1">
      <c t="s" r="A80" s="18">
        <v>76</v>
      </c>
      <c r="B80" s="13">
        <v>926.75</v>
      </c>
      <c r="C80" s="14">
        <f>IFERROR(B80/B446, "NA")</f>
      </c>
      <c r="D80" s="15"/>
      <c r="E80" s="13">
        <v>0</v>
      </c>
      <c r="F80" s="14">
        <f>IFERROR(E80/E446, "NA")</f>
      </c>
      <c r="G80" s="15"/>
      <c r="H80" s="16">
        <f>IFERROR(B80-E80, "NA")</f>
      </c>
      <c r="I80" s="14">
        <f>IFERROR(H80/H446, "NA")</f>
      </c>
      <c r="J80" s="15"/>
      <c r="K80" s="13">
        <v>1584.77</v>
      </c>
      <c r="L80" s="14">
        <f>IFERROR(K80/K446, "NA")</f>
      </c>
      <c r="M80" s="15"/>
      <c r="N80" s="16">
        <f>IFERROR(B80-K80, "NA")</f>
      </c>
      <c r="O80" s="14">
        <f>IFERROR(N80/N446, "NA")</f>
      </c>
      <c r="P80" s="15"/>
      <c r="Q80" s="13">
        <v>926.75</v>
      </c>
      <c r="R80" s="14">
        <f>IFERROR(Q80/Q446, "NA")</f>
      </c>
      <c r="S80" s="15"/>
      <c r="T80" s="13">
        <v>0</v>
      </c>
      <c r="U80" s="14">
        <f>IFERROR(T80/T446, "NA")</f>
      </c>
      <c r="V80" s="15"/>
      <c r="W80" s="16">
        <f>IFERROR(Q80-T80, "NA")</f>
      </c>
      <c r="X80" s="14">
        <f>IFERROR(W80/W446, "NA")</f>
      </c>
      <c r="Y80" s="15"/>
      <c r="Z80" s="13">
        <v>1584.77</v>
      </c>
      <c r="AA80" s="14">
        <f>IFERROR(Z80/Z446, "NA")</f>
      </c>
      <c r="AB80" s="15"/>
      <c r="AC80" s="16">
        <f>IFERROR(Q80-Z80, "NA")</f>
      </c>
      <c r="AD80" s="14">
        <f>IFERROR(AC80/AC446, "NA")</f>
      </c>
    </row>
    <row r="81" hidden="1" ht="16.5" customHeight="1">
      <c t="s" r="A81" s="18">
        <v>77</v>
      </c>
      <c r="B81" s="13">
        <v>0</v>
      </c>
      <c r="C81" s="14">
        <f>IFERROR(B81/B446, "NA")</f>
      </c>
      <c r="D81" s="15"/>
      <c r="E81" s="13">
        <v>0</v>
      </c>
      <c r="F81" s="14">
        <f>IFERROR(E81/E446, "NA")</f>
      </c>
      <c r="G81" s="15"/>
      <c r="H81" s="16">
        <f>IFERROR(B81-E81, "NA")</f>
      </c>
      <c r="I81" s="14">
        <f>IFERROR(H81/H446, "NA")</f>
      </c>
      <c r="J81" s="15"/>
      <c r="K81" s="13">
        <v>0</v>
      </c>
      <c r="L81" s="14">
        <f>IFERROR(K81/K446, "NA")</f>
      </c>
      <c r="M81" s="15"/>
      <c r="N81" s="16">
        <f>IFERROR(B81-K81, "NA")</f>
      </c>
      <c r="O81" s="14">
        <f>IFERROR(N81/N446, "NA")</f>
      </c>
      <c r="P81" s="15"/>
      <c r="Q81" s="13">
        <v>0</v>
      </c>
      <c r="R81" s="14">
        <f>IFERROR(Q81/Q446, "NA")</f>
      </c>
      <c r="S81" s="15"/>
      <c r="T81" s="13">
        <v>0</v>
      </c>
      <c r="U81" s="14">
        <f>IFERROR(T81/T446, "NA")</f>
      </c>
      <c r="V81" s="15"/>
      <c r="W81" s="16">
        <f>IFERROR(Q81-T81, "NA")</f>
      </c>
      <c r="X81" s="14">
        <f>IFERROR(W81/W446, "NA")</f>
      </c>
      <c r="Y81" s="15"/>
      <c r="Z81" s="13">
        <v>0</v>
      </c>
      <c r="AA81" s="14">
        <f>IFERROR(Z81/Z446, "NA")</f>
      </c>
      <c r="AB81" s="15"/>
      <c r="AC81" s="16">
        <f>IFERROR(Q81-Z81, "NA")</f>
      </c>
      <c r="AD81" s="14">
        <f>IFERROR(AC81/AC446, "NA")</f>
      </c>
    </row>
    <row r="82" hidden="1" ht="16.5" customHeight="1">
      <c t="s" r="A82" s="18">
        <v>78</v>
      </c>
      <c r="B82" s="13">
        <v>0</v>
      </c>
      <c r="C82" s="14">
        <f>IFERROR(B82/B446, "NA")</f>
      </c>
      <c r="D82" s="15"/>
      <c r="E82" s="13">
        <v>0</v>
      </c>
      <c r="F82" s="14">
        <f>IFERROR(E82/E446, "NA")</f>
      </c>
      <c r="G82" s="15"/>
      <c r="H82" s="16">
        <f>IFERROR(B82-E82, "NA")</f>
      </c>
      <c r="I82" s="14">
        <f>IFERROR(H82/H446, "NA")</f>
      </c>
      <c r="J82" s="15"/>
      <c r="K82" s="13">
        <v>0</v>
      </c>
      <c r="L82" s="14">
        <f>IFERROR(K82/K446, "NA")</f>
      </c>
      <c r="M82" s="15"/>
      <c r="N82" s="16">
        <f>IFERROR(B82-K82, "NA")</f>
      </c>
      <c r="O82" s="14">
        <f>IFERROR(N82/N446, "NA")</f>
      </c>
      <c r="P82" s="15"/>
      <c r="Q82" s="13">
        <v>0</v>
      </c>
      <c r="R82" s="14">
        <f>IFERROR(Q82/Q446, "NA")</f>
      </c>
      <c r="S82" s="15"/>
      <c r="T82" s="13">
        <v>0</v>
      </c>
      <c r="U82" s="14">
        <f>IFERROR(T82/T446, "NA")</f>
      </c>
      <c r="V82" s="15"/>
      <c r="W82" s="16">
        <f>IFERROR(Q82-T82, "NA")</f>
      </c>
      <c r="X82" s="14">
        <f>IFERROR(W82/W446, "NA")</f>
      </c>
      <c r="Y82" s="15"/>
      <c r="Z82" s="13">
        <v>0</v>
      </c>
      <c r="AA82" s="14">
        <f>IFERROR(Z82/Z446, "NA")</f>
      </c>
      <c r="AB82" s="15"/>
      <c r="AC82" s="16">
        <f>IFERROR(Q82-Z82, "NA")</f>
      </c>
      <c r="AD82" s="14">
        <f>IFERROR(AC82/AC446, "NA")</f>
      </c>
    </row>
    <row r="83" hidden="1" ht="16.5" customHeight="1">
      <c t="s" r="A83" s="18">
        <v>79</v>
      </c>
      <c r="B83" s="13">
        <v>0</v>
      </c>
      <c r="C83" s="14">
        <f>IFERROR(B83/B446, "NA")</f>
      </c>
      <c r="D83" s="15"/>
      <c r="E83" s="13">
        <v>0</v>
      </c>
      <c r="F83" s="14">
        <f>IFERROR(E83/E446, "NA")</f>
      </c>
      <c r="G83" s="15"/>
      <c r="H83" s="16">
        <f>IFERROR(B83-E83, "NA")</f>
      </c>
      <c r="I83" s="14">
        <f>IFERROR(H83/H446, "NA")</f>
      </c>
      <c r="J83" s="15"/>
      <c r="K83" s="13">
        <v>0</v>
      </c>
      <c r="L83" s="14">
        <f>IFERROR(K83/K446, "NA")</f>
      </c>
      <c r="M83" s="15"/>
      <c r="N83" s="16">
        <f>IFERROR(B83-K83, "NA")</f>
      </c>
      <c r="O83" s="14">
        <f>IFERROR(N83/N446, "NA")</f>
      </c>
      <c r="P83" s="15"/>
      <c r="Q83" s="13">
        <v>0</v>
      </c>
      <c r="R83" s="14">
        <f>IFERROR(Q83/Q446, "NA")</f>
      </c>
      <c r="S83" s="15"/>
      <c r="T83" s="13">
        <v>0</v>
      </c>
      <c r="U83" s="14">
        <f>IFERROR(T83/T446, "NA")</f>
      </c>
      <c r="V83" s="15"/>
      <c r="W83" s="16">
        <f>IFERROR(Q83-T83, "NA")</f>
      </c>
      <c r="X83" s="14">
        <f>IFERROR(W83/W446, "NA")</f>
      </c>
      <c r="Y83" s="15"/>
      <c r="Z83" s="13">
        <v>0</v>
      </c>
      <c r="AA83" s="14">
        <f>IFERROR(Z83/Z446, "NA")</f>
      </c>
      <c r="AB83" s="15"/>
      <c r="AC83" s="16">
        <f>IFERROR(Q83-Z83, "NA")</f>
      </c>
      <c r="AD83" s="14">
        <f>IFERROR(AC83/AC446, "NA")</f>
      </c>
    </row>
    <row r="84" hidden="1" ht="16.5" customHeight="1">
      <c t="s" r="A84" s="18">
        <v>80</v>
      </c>
      <c r="B84" s="13">
        <v>0</v>
      </c>
      <c r="C84" s="14">
        <f>IFERROR(B84/B446, "NA")</f>
      </c>
      <c r="D84" s="15"/>
      <c r="E84" s="13">
        <v>0</v>
      </c>
      <c r="F84" s="14">
        <f>IFERROR(E84/E446, "NA")</f>
      </c>
      <c r="G84" s="15"/>
      <c r="H84" s="16">
        <f>IFERROR(B84-E84, "NA")</f>
      </c>
      <c r="I84" s="14">
        <f>IFERROR(H84/H446, "NA")</f>
      </c>
      <c r="J84" s="15"/>
      <c r="K84" s="13">
        <v>0</v>
      </c>
      <c r="L84" s="14">
        <f>IFERROR(K84/K446, "NA")</f>
      </c>
      <c r="M84" s="15"/>
      <c r="N84" s="16">
        <f>IFERROR(B84-K84, "NA")</f>
      </c>
      <c r="O84" s="14">
        <f>IFERROR(N84/N446, "NA")</f>
      </c>
      <c r="P84" s="15"/>
      <c r="Q84" s="13">
        <v>0</v>
      </c>
      <c r="R84" s="14">
        <f>IFERROR(Q84/Q446, "NA")</f>
      </c>
      <c r="S84" s="15"/>
      <c r="T84" s="13">
        <v>0</v>
      </c>
      <c r="U84" s="14">
        <f>IFERROR(T84/T446, "NA")</f>
      </c>
      <c r="V84" s="15"/>
      <c r="W84" s="16">
        <f>IFERROR(Q84-T84, "NA")</f>
      </c>
      <c r="X84" s="14">
        <f>IFERROR(W84/W446, "NA")</f>
      </c>
      <c r="Y84" s="15"/>
      <c r="Z84" s="13">
        <v>0</v>
      </c>
      <c r="AA84" s="14">
        <f>IFERROR(Z84/Z446, "NA")</f>
      </c>
      <c r="AB84" s="15"/>
      <c r="AC84" s="16">
        <f>IFERROR(Q84-Z84, "NA")</f>
      </c>
      <c r="AD84" s="14">
        <f>IFERROR(AC84/AC446, "NA")</f>
      </c>
    </row>
    <row r="85" hidden="1" ht="16.5" customHeight="1">
      <c t="s" r="A85" s="18">
        <v>81</v>
      </c>
      <c r="B85" s="13">
        <v>0</v>
      </c>
      <c r="C85" s="14">
        <f>IFERROR(B85/B446, "NA")</f>
      </c>
      <c r="D85" s="15"/>
      <c r="E85" s="13">
        <v>0</v>
      </c>
      <c r="F85" s="14">
        <f>IFERROR(E85/E446, "NA")</f>
      </c>
      <c r="G85" s="15"/>
      <c r="H85" s="16">
        <f>IFERROR(B85-E85, "NA")</f>
      </c>
      <c r="I85" s="14">
        <f>IFERROR(H85/H446, "NA")</f>
      </c>
      <c r="J85" s="15"/>
      <c r="K85" s="13">
        <v>0</v>
      </c>
      <c r="L85" s="14">
        <f>IFERROR(K85/K446, "NA")</f>
      </c>
      <c r="M85" s="15"/>
      <c r="N85" s="16">
        <f>IFERROR(B85-K85, "NA")</f>
      </c>
      <c r="O85" s="14">
        <f>IFERROR(N85/N446, "NA")</f>
      </c>
      <c r="P85" s="15"/>
      <c r="Q85" s="13">
        <v>0</v>
      </c>
      <c r="R85" s="14">
        <f>IFERROR(Q85/Q446, "NA")</f>
      </c>
      <c r="S85" s="15"/>
      <c r="T85" s="13">
        <v>0</v>
      </c>
      <c r="U85" s="14">
        <f>IFERROR(T85/T446, "NA")</f>
      </c>
      <c r="V85" s="15"/>
      <c r="W85" s="16">
        <f>IFERROR(Q85-T85, "NA")</f>
      </c>
      <c r="X85" s="14">
        <f>IFERROR(W85/W446, "NA")</f>
      </c>
      <c r="Y85" s="15"/>
      <c r="Z85" s="13">
        <v>0</v>
      </c>
      <c r="AA85" s="14">
        <f>IFERROR(Z85/Z446, "NA")</f>
      </c>
      <c r="AB85" s="15"/>
      <c r="AC85" s="16">
        <f>IFERROR(Q85-Z85, "NA")</f>
      </c>
      <c r="AD85" s="14">
        <f>IFERROR(AC85/AC446, "NA")</f>
      </c>
    </row>
    <row r="86" hidden="1" ht="16.5" customHeight="1">
      <c t="s" r="A86" s="18">
        <v>82</v>
      </c>
      <c r="B86" s="13">
        <v>0</v>
      </c>
      <c r="C86" s="14">
        <f>IFERROR(B86/B446, "NA")</f>
      </c>
      <c r="D86" s="15"/>
      <c r="E86" s="13">
        <v>0</v>
      </c>
      <c r="F86" s="14">
        <f>IFERROR(E86/E446, "NA")</f>
      </c>
      <c r="G86" s="15"/>
      <c r="H86" s="16">
        <f>IFERROR(B86-E86, "NA")</f>
      </c>
      <c r="I86" s="14">
        <f>IFERROR(H86/H446, "NA")</f>
      </c>
      <c r="J86" s="15"/>
      <c r="K86" s="13">
        <v>0</v>
      </c>
      <c r="L86" s="14">
        <f>IFERROR(K86/K446, "NA")</f>
      </c>
      <c r="M86" s="15"/>
      <c r="N86" s="16">
        <f>IFERROR(B86-K86, "NA")</f>
      </c>
      <c r="O86" s="14">
        <f>IFERROR(N86/N446, "NA")</f>
      </c>
      <c r="P86" s="15"/>
      <c r="Q86" s="13">
        <v>0</v>
      </c>
      <c r="R86" s="14">
        <f>IFERROR(Q86/Q446, "NA")</f>
      </c>
      <c r="S86" s="15"/>
      <c r="T86" s="13">
        <v>0</v>
      </c>
      <c r="U86" s="14">
        <f>IFERROR(T86/T446, "NA")</f>
      </c>
      <c r="V86" s="15"/>
      <c r="W86" s="16">
        <f>IFERROR(Q86-T86, "NA")</f>
      </c>
      <c r="X86" s="14">
        <f>IFERROR(W86/W446, "NA")</f>
      </c>
      <c r="Y86" s="15"/>
      <c r="Z86" s="13">
        <v>0</v>
      </c>
      <c r="AA86" s="14">
        <f>IFERROR(Z86/Z446, "NA")</f>
      </c>
      <c r="AB86" s="15"/>
      <c r="AC86" s="16">
        <f>IFERROR(Q86-Z86, "NA")</f>
      </c>
      <c r="AD86" s="14">
        <f>IFERROR(AC86/AC446, "NA")</f>
      </c>
    </row>
    <row r="87" hidden="1" ht="16.5" customHeight="1">
      <c t="s" r="A87" s="18">
        <v>83</v>
      </c>
      <c r="B87" s="13">
        <v>0</v>
      </c>
      <c r="C87" s="14">
        <f>IFERROR(B87/B446, "NA")</f>
      </c>
      <c r="D87" s="15"/>
      <c r="E87" s="13">
        <v>0</v>
      </c>
      <c r="F87" s="14">
        <f>IFERROR(E87/E446, "NA")</f>
      </c>
      <c r="G87" s="15"/>
      <c r="H87" s="16">
        <f>IFERROR(B87-E87, "NA")</f>
      </c>
      <c r="I87" s="14">
        <f>IFERROR(H87/H446, "NA")</f>
      </c>
      <c r="J87" s="15"/>
      <c r="K87" s="13">
        <v>0</v>
      </c>
      <c r="L87" s="14">
        <f>IFERROR(K87/K446, "NA")</f>
      </c>
      <c r="M87" s="15"/>
      <c r="N87" s="16">
        <f>IFERROR(B87-K87, "NA")</f>
      </c>
      <c r="O87" s="14">
        <f>IFERROR(N87/N446, "NA")</f>
      </c>
      <c r="P87" s="15"/>
      <c r="Q87" s="13">
        <v>0</v>
      </c>
      <c r="R87" s="14">
        <f>IFERROR(Q87/Q446, "NA")</f>
      </c>
      <c r="S87" s="15"/>
      <c r="T87" s="13">
        <v>0</v>
      </c>
      <c r="U87" s="14">
        <f>IFERROR(T87/T446, "NA")</f>
      </c>
      <c r="V87" s="15"/>
      <c r="W87" s="16">
        <f>IFERROR(Q87-T87, "NA")</f>
      </c>
      <c r="X87" s="14">
        <f>IFERROR(W87/W446, "NA")</f>
      </c>
      <c r="Y87" s="15"/>
      <c r="Z87" s="13">
        <v>0</v>
      </c>
      <c r="AA87" s="14">
        <f>IFERROR(Z87/Z446, "NA")</f>
      </c>
      <c r="AB87" s="15"/>
      <c r="AC87" s="16">
        <f>IFERROR(Q87-Z87, "NA")</f>
      </c>
      <c r="AD87" s="14">
        <f>IFERROR(AC87/AC446, "NA")</f>
      </c>
    </row>
    <row r="88" ht="16.5" customHeight="1">
      <c t="s" r="A88" s="19">
        <v>84</v>
      </c>
      <c r="B88" s="20">
        <f>IFERROR(B75+B76+B77+B78+B79+B80+B81+B82+B83+B84+B85+B86+B87, "NA")</f>
      </c>
      <c r="C88" s="21">
        <f>IFERROR(B88/B446, "NA")</f>
      </c>
      <c r="D88" s="8"/>
      <c r="E88" s="20">
        <f>IFERROR(E75+E76+E77+E78+E79+E80+E81+E82+E83+E84+E85+E86+E87, "NA")</f>
      </c>
      <c r="F88" s="21">
        <f>IFERROR(E88/E446, "NA")</f>
      </c>
      <c r="G88" s="8"/>
      <c r="H88" s="20">
        <f>IFERROR(B88-E88, "NA")</f>
      </c>
      <c r="I88" s="21">
        <f>IFERROR(H88/H446, "NA")</f>
      </c>
      <c r="J88" s="8"/>
      <c r="K88" s="20">
        <f>IFERROR(K75+K76+K77+K78+K79+K80+K81+K82+K83+K84+K85+K86+K87, "NA")</f>
      </c>
      <c r="L88" s="21">
        <f>IFERROR(K88/K446, "NA")</f>
      </c>
      <c r="M88" s="8"/>
      <c r="N88" s="20">
        <f>IFERROR(B88-K88, "NA")</f>
      </c>
      <c r="O88" s="21">
        <f>IFERROR(N88/N446, "NA")</f>
      </c>
      <c r="P88" s="8"/>
      <c r="Q88" s="20">
        <f>IFERROR(Q75+Q76+Q77+Q78+Q79+Q80+Q81+Q82+Q83+Q84+Q85+Q86+Q87, "NA")</f>
      </c>
      <c r="R88" s="21">
        <f>IFERROR(Q88/Q446, "NA")</f>
      </c>
      <c r="S88" s="8"/>
      <c r="T88" s="20">
        <f>IFERROR(T75+T76+T77+T78+T79+T80+T81+T82+T83+T84+T85+T86+T87, "NA")</f>
      </c>
      <c r="U88" s="21">
        <f>IFERROR(T88/T446, "NA")</f>
      </c>
      <c r="V88" s="8"/>
      <c r="W88" s="20">
        <f>IFERROR(Q88-T88, "NA")</f>
      </c>
      <c r="X88" s="21">
        <f>IFERROR(W88/W446, "NA")</f>
      </c>
      <c r="Y88" s="8"/>
      <c r="Z88" s="20">
        <f>IFERROR(Z75+Z76+Z77+Z78+Z79+Z80+Z81+Z82+Z83+Z84+Z85+Z86+Z87, "NA")</f>
      </c>
      <c r="AA88" s="21">
        <f>IFERROR(Z88/Z446, "NA")</f>
      </c>
      <c r="AB88" s="8"/>
      <c r="AC88" s="20">
        <f>IFERROR(Q88-Z88, "NA")</f>
      </c>
      <c r="AD88" s="21">
        <f>IFERROR(AC88/AC446, "NA")</f>
      </c>
    </row>
    <row r="89" hidden="1" ht="16.5" customHeight="1">
      <c t="s" r="A89" s="12">
        <v>85</v>
      </c>
      <c r="B89" s="13">
        <v>0</v>
      </c>
      <c r="C89" s="14">
        <f>IFERROR(B89/B446, "NA")</f>
      </c>
      <c r="D89" s="15"/>
      <c r="E89" s="13">
        <v>0</v>
      </c>
      <c r="F89" s="14">
        <f>IFERROR(E89/E446, "NA")</f>
      </c>
      <c r="G89" s="15"/>
      <c r="H89" s="16">
        <f>IFERROR(B89-E89, "NA")</f>
      </c>
      <c r="I89" s="14">
        <f>IFERROR(H89/H446, "NA")</f>
      </c>
      <c r="J89" s="15"/>
      <c r="K89" s="13">
        <v>0</v>
      </c>
      <c r="L89" s="14">
        <f>IFERROR(K89/K446, "NA")</f>
      </c>
      <c r="M89" s="15"/>
      <c r="N89" s="16">
        <f>IFERROR(B89-K89, "NA")</f>
      </c>
      <c r="O89" s="14">
        <f>IFERROR(N89/N446, "NA")</f>
      </c>
      <c r="P89" s="15"/>
      <c r="Q89" s="13">
        <v>0</v>
      </c>
      <c r="R89" s="14">
        <f>IFERROR(Q89/Q446, "NA")</f>
      </c>
      <c r="S89" s="15"/>
      <c r="T89" s="13">
        <v>0</v>
      </c>
      <c r="U89" s="14">
        <f>IFERROR(T89/T446, "NA")</f>
      </c>
      <c r="V89" s="15"/>
      <c r="W89" s="16">
        <f>IFERROR(Q89-T89, "NA")</f>
      </c>
      <c r="X89" s="14">
        <f>IFERROR(W89/W446, "NA")</f>
      </c>
      <c r="Y89" s="15"/>
      <c r="Z89" s="13">
        <v>0</v>
      </c>
      <c r="AA89" s="14">
        <f>IFERROR(Z89/Z446, "NA")</f>
      </c>
      <c r="AB89" s="15"/>
      <c r="AC89" s="16">
        <f>IFERROR(Q89-Z89, "NA")</f>
      </c>
      <c r="AD89" s="14">
        <f>IFERROR(AC89/AC446, "NA")</f>
      </c>
    </row>
    <row r="90" ht="16.5" customHeight="1">
      <c t="s" r="A90" s="12">
        <v>86</v>
      </c>
      <c r="B90" s="13">
        <v>-179.31999999999999</v>
      </c>
      <c r="C90" s="14">
        <f>IFERROR(B90/B446, "NA")</f>
      </c>
      <c r="D90" s="15"/>
      <c r="E90" s="13">
        <v>0</v>
      </c>
      <c r="F90" s="14">
        <f>IFERROR(E90/E446, "NA")</f>
      </c>
      <c r="G90" s="15"/>
      <c r="H90" s="16">
        <f>IFERROR(B90-E90, "NA")</f>
      </c>
      <c r="I90" s="14">
        <f>IFERROR(H90/H446, "NA")</f>
      </c>
      <c r="J90" s="15"/>
      <c r="K90" s="13">
        <v>0</v>
      </c>
      <c r="L90" s="14">
        <f>IFERROR(K90/K446, "NA")</f>
      </c>
      <c r="M90" s="15"/>
      <c r="N90" s="16">
        <f>IFERROR(B90-K90, "NA")</f>
      </c>
      <c r="O90" s="14">
        <f>IFERROR(N90/N446, "NA")</f>
      </c>
      <c r="P90" s="15"/>
      <c r="Q90" s="13">
        <v>-179.31999999999999</v>
      </c>
      <c r="R90" s="14">
        <f>IFERROR(Q90/Q446, "NA")</f>
      </c>
      <c r="S90" s="15"/>
      <c r="T90" s="13">
        <v>0</v>
      </c>
      <c r="U90" s="14">
        <f>IFERROR(T90/T446, "NA")</f>
      </c>
      <c r="V90" s="15"/>
      <c r="W90" s="16">
        <f>IFERROR(Q90-T90, "NA")</f>
      </c>
      <c r="X90" s="14">
        <f>IFERROR(W90/W446, "NA")</f>
      </c>
      <c r="Y90" s="15"/>
      <c r="Z90" s="13">
        <v>0</v>
      </c>
      <c r="AA90" s="14">
        <f>IFERROR(Z90/Z446, "NA")</f>
      </c>
      <c r="AB90" s="15"/>
      <c r="AC90" s="16">
        <f>IFERROR(Q90-Z90, "NA")</f>
      </c>
      <c r="AD90" s="14">
        <f>IFERROR(AC90/AC446, "NA")</f>
      </c>
    </row>
    <row r="91" hidden="1" ht="16.5" customHeight="1">
      <c t="s" r="A91" s="12">
        <v>87</v>
      </c>
      <c r="B91" s="13">
        <v>0</v>
      </c>
      <c r="C91" s="14">
        <f>IFERROR(B91/B446, "NA")</f>
      </c>
      <c r="D91" s="15"/>
      <c r="E91" s="13">
        <v>0</v>
      </c>
      <c r="F91" s="14">
        <f>IFERROR(E91/E446, "NA")</f>
      </c>
      <c r="G91" s="15"/>
      <c r="H91" s="16">
        <f>IFERROR(B91-E91, "NA")</f>
      </c>
      <c r="I91" s="14">
        <f>IFERROR(H91/H446, "NA")</f>
      </c>
      <c r="J91" s="15"/>
      <c r="K91" s="13">
        <v>0</v>
      </c>
      <c r="L91" s="14">
        <f>IFERROR(K91/K446, "NA")</f>
      </c>
      <c r="M91" s="15"/>
      <c r="N91" s="16">
        <f>IFERROR(B91-K91, "NA")</f>
      </c>
      <c r="O91" s="14">
        <f>IFERROR(N91/N446, "NA")</f>
      </c>
      <c r="P91" s="15"/>
      <c r="Q91" s="13">
        <v>0</v>
      </c>
      <c r="R91" s="14">
        <f>IFERROR(Q91/Q446, "NA")</f>
      </c>
      <c r="S91" s="15"/>
      <c r="T91" s="13">
        <v>0</v>
      </c>
      <c r="U91" s="14">
        <f>IFERROR(T91/T446, "NA")</f>
      </c>
      <c r="V91" s="15"/>
      <c r="W91" s="16">
        <f>IFERROR(Q91-T91, "NA")</f>
      </c>
      <c r="X91" s="14">
        <f>IFERROR(W91/W446, "NA")</f>
      </c>
      <c r="Y91" s="15"/>
      <c r="Z91" s="13">
        <v>0</v>
      </c>
      <c r="AA91" s="14">
        <f>IFERROR(Z91/Z446, "NA")</f>
      </c>
      <c r="AB91" s="15"/>
      <c r="AC91" s="16">
        <f>IFERROR(Q91-Z91, "NA")</f>
      </c>
      <c r="AD91" s="14">
        <f>IFERROR(AC91/AC446, "NA")</f>
      </c>
    </row>
    <row r="92" hidden="1" ht="16.5" customHeight="1">
      <c t="s" r="A92" s="12">
        <v>88</v>
      </c>
      <c r="B92" s="13">
        <v>0</v>
      </c>
      <c r="C92" s="14">
        <f>IFERROR(B92/B446, "NA")</f>
      </c>
      <c r="D92" s="15"/>
      <c r="E92" s="13">
        <v>0</v>
      </c>
      <c r="F92" s="14">
        <f>IFERROR(E92/E446, "NA")</f>
      </c>
      <c r="G92" s="15"/>
      <c r="H92" s="16">
        <f>IFERROR(B92-E92, "NA")</f>
      </c>
      <c r="I92" s="14">
        <f>IFERROR(H92/H446, "NA")</f>
      </c>
      <c r="J92" s="15"/>
      <c r="K92" s="13">
        <v>0</v>
      </c>
      <c r="L92" s="14">
        <f>IFERROR(K92/K446, "NA")</f>
      </c>
      <c r="M92" s="15"/>
      <c r="N92" s="16">
        <f>IFERROR(B92-K92, "NA")</f>
      </c>
      <c r="O92" s="14">
        <f>IFERROR(N92/N446, "NA")</f>
      </c>
      <c r="P92" s="15"/>
      <c r="Q92" s="13">
        <v>0</v>
      </c>
      <c r="R92" s="14">
        <f>IFERROR(Q92/Q446, "NA")</f>
      </c>
      <c r="S92" s="15"/>
      <c r="T92" s="13">
        <v>0</v>
      </c>
      <c r="U92" s="14">
        <f>IFERROR(T92/T446, "NA")</f>
      </c>
      <c r="V92" s="15"/>
      <c r="W92" s="16">
        <f>IFERROR(Q92-T92, "NA")</f>
      </c>
      <c r="X92" s="14">
        <f>IFERROR(W92/W446, "NA")</f>
      </c>
      <c r="Y92" s="15"/>
      <c r="Z92" s="13">
        <v>0</v>
      </c>
      <c r="AA92" s="14">
        <f>IFERROR(Z92/Z446, "NA")</f>
      </c>
      <c r="AB92" s="15"/>
      <c r="AC92" s="16">
        <f>IFERROR(Q92-Z92, "NA")</f>
      </c>
      <c r="AD92" s="14">
        <f>IFERROR(AC92/AC446, "NA")</f>
      </c>
    </row>
    <row r="93" ht="16.5" customHeight="1">
      <c t="s" r="A93" s="17">
        <v>89</v>
      </c>
      <c r="B93" s="8"/>
      <c r="C93" s="9"/>
      <c r="D93" s="10"/>
      <c r="E93" s="8"/>
      <c r="F93" s="9"/>
      <c r="G93" s="10"/>
      <c r="H93" s="8"/>
      <c r="I93" s="9"/>
      <c r="J93" s="10"/>
      <c r="K93" s="8"/>
      <c r="L93" s="9"/>
      <c r="M93" s="10"/>
      <c r="N93" s="8"/>
      <c r="O93" s="9"/>
      <c r="P93" s="10"/>
      <c r="Q93" s="8"/>
      <c r="R93" s="9"/>
      <c r="S93" s="10"/>
      <c r="T93" s="8"/>
      <c r="U93" s="9"/>
      <c r="V93" s="10"/>
      <c r="W93" s="8"/>
      <c r="X93" s="9"/>
      <c r="Y93" s="10"/>
      <c r="Z93" s="8"/>
      <c r="AA93" s="9"/>
      <c r="AB93" s="10"/>
      <c r="AC93" s="8"/>
      <c r="AD93" s="9"/>
    </row>
    <row r="94" ht="16.5" customHeight="1">
      <c t="s" r="A94" s="18">
        <v>89</v>
      </c>
      <c r="B94" s="13">
        <v>0</v>
      </c>
      <c r="C94" s="14">
        <f>IFERROR(B94/B446, "NA")</f>
      </c>
      <c r="D94" s="15"/>
      <c r="E94" s="13">
        <v>-4564.3599999999997</v>
      </c>
      <c r="F94" s="14">
        <f>IFERROR(E94/E446, "NA")</f>
      </c>
      <c r="G94" s="15"/>
      <c r="H94" s="16">
        <f>IFERROR(B94-E94, "NA")</f>
      </c>
      <c r="I94" s="14">
        <f>IFERROR(H94/H446, "NA")</f>
      </c>
      <c r="J94" s="15"/>
      <c r="K94" s="13">
        <v>0</v>
      </c>
      <c r="L94" s="14">
        <f>IFERROR(K94/K446, "NA")</f>
      </c>
      <c r="M94" s="15"/>
      <c r="N94" s="16">
        <f>IFERROR(B94-K94, "NA")</f>
      </c>
      <c r="O94" s="14">
        <f>IFERROR(N94/N446, "NA")</f>
      </c>
      <c r="P94" s="15"/>
      <c r="Q94" s="13">
        <v>0</v>
      </c>
      <c r="R94" s="14">
        <f>IFERROR(Q94/Q446, "NA")</f>
      </c>
      <c r="S94" s="15"/>
      <c r="T94" s="13">
        <v>-4564.3599999999997</v>
      </c>
      <c r="U94" s="14">
        <f>IFERROR(T94/T446, "NA")</f>
      </c>
      <c r="V94" s="15"/>
      <c r="W94" s="16">
        <f>IFERROR(Q94-T94, "NA")</f>
      </c>
      <c r="X94" s="14">
        <f>IFERROR(W94/W446, "NA")</f>
      </c>
      <c r="Y94" s="15"/>
      <c r="Z94" s="13">
        <v>0</v>
      </c>
      <c r="AA94" s="14">
        <f>IFERROR(Z94/Z446, "NA")</f>
      </c>
      <c r="AB94" s="15"/>
      <c r="AC94" s="16">
        <f>IFERROR(Q94-Z94, "NA")</f>
      </c>
      <c r="AD94" s="14">
        <f>IFERROR(AC94/AC446, "NA")</f>
      </c>
    </row>
    <row r="95" hidden="1" ht="16.5" customHeight="1">
      <c t="s" r="A95" s="18">
        <v>90</v>
      </c>
      <c r="B95" s="13">
        <v>0</v>
      </c>
      <c r="C95" s="14">
        <f>IFERROR(B95/B446, "NA")</f>
      </c>
      <c r="D95" s="15"/>
      <c r="E95" s="13">
        <v>0</v>
      </c>
      <c r="F95" s="14">
        <f>IFERROR(E95/E446, "NA")</f>
      </c>
      <c r="G95" s="15"/>
      <c r="H95" s="16">
        <f>IFERROR(B95-E95, "NA")</f>
      </c>
      <c r="I95" s="14">
        <f>IFERROR(H95/H446, "NA")</f>
      </c>
      <c r="J95" s="15"/>
      <c r="K95" s="13">
        <v>0</v>
      </c>
      <c r="L95" s="14">
        <f>IFERROR(K95/K446, "NA")</f>
      </c>
      <c r="M95" s="15"/>
      <c r="N95" s="16">
        <f>IFERROR(B95-K95, "NA")</f>
      </c>
      <c r="O95" s="14">
        <f>IFERROR(N95/N446, "NA")</f>
      </c>
      <c r="P95" s="15"/>
      <c r="Q95" s="13">
        <v>0</v>
      </c>
      <c r="R95" s="14">
        <f>IFERROR(Q95/Q446, "NA")</f>
      </c>
      <c r="S95" s="15"/>
      <c r="T95" s="13">
        <v>0</v>
      </c>
      <c r="U95" s="14">
        <f>IFERROR(T95/T446, "NA")</f>
      </c>
      <c r="V95" s="15"/>
      <c r="W95" s="16">
        <f>IFERROR(Q95-T95, "NA")</f>
      </c>
      <c r="X95" s="14">
        <f>IFERROR(W95/W446, "NA")</f>
      </c>
      <c r="Y95" s="15"/>
      <c r="Z95" s="13">
        <v>0</v>
      </c>
      <c r="AA95" s="14">
        <f>IFERROR(Z95/Z446, "NA")</f>
      </c>
      <c r="AB95" s="15"/>
      <c r="AC95" s="16">
        <f>IFERROR(Q95-Z95, "NA")</f>
      </c>
      <c r="AD95" s="14">
        <f>IFERROR(AC95/AC446, "NA")</f>
      </c>
    </row>
    <row r="96" ht="16.5" customHeight="1">
      <c t="s" r="A96" s="18">
        <v>91</v>
      </c>
      <c r="B96" s="13">
        <v>-1336.3599999999999</v>
      </c>
      <c r="C96" s="14">
        <f>IFERROR(B96/B446, "NA")</f>
      </c>
      <c r="D96" s="15"/>
      <c r="E96" s="13">
        <v>0</v>
      </c>
      <c r="F96" s="14">
        <f>IFERROR(E96/E446, "NA")</f>
      </c>
      <c r="G96" s="15"/>
      <c r="H96" s="16">
        <f>IFERROR(B96-E96, "NA")</f>
      </c>
      <c r="I96" s="14">
        <f>IFERROR(H96/H446, "NA")</f>
      </c>
      <c r="J96" s="15"/>
      <c r="K96" s="13">
        <v>-1493.1500000000001</v>
      </c>
      <c r="L96" s="14">
        <f>IFERROR(K96/K446, "NA")</f>
      </c>
      <c r="M96" s="15"/>
      <c r="N96" s="16">
        <f>IFERROR(B96-K96, "NA")</f>
      </c>
      <c r="O96" s="14">
        <f>IFERROR(N96/N446, "NA")</f>
      </c>
      <c r="P96" s="15"/>
      <c r="Q96" s="13">
        <v>-1336.3599999999999</v>
      </c>
      <c r="R96" s="14">
        <f>IFERROR(Q96/Q446, "NA")</f>
      </c>
      <c r="S96" s="15"/>
      <c r="T96" s="13">
        <v>0</v>
      </c>
      <c r="U96" s="14">
        <f>IFERROR(T96/T446, "NA")</f>
      </c>
      <c r="V96" s="15"/>
      <c r="W96" s="16">
        <f>IFERROR(Q96-T96, "NA")</f>
      </c>
      <c r="X96" s="14">
        <f>IFERROR(W96/W446, "NA")</f>
      </c>
      <c r="Y96" s="15"/>
      <c r="Z96" s="13">
        <v>-1493.1500000000001</v>
      </c>
      <c r="AA96" s="14">
        <f>IFERROR(Z96/Z446, "NA")</f>
      </c>
      <c r="AB96" s="15"/>
      <c r="AC96" s="16">
        <f>IFERROR(Q96-Z96, "NA")</f>
      </c>
      <c r="AD96" s="14">
        <f>IFERROR(AC96/AC446, "NA")</f>
      </c>
    </row>
    <row r="97" hidden="1" ht="16.5" customHeight="1">
      <c t="s" r="A97" s="18">
        <v>92</v>
      </c>
      <c r="B97" s="13">
        <v>0</v>
      </c>
      <c r="C97" s="14">
        <f>IFERROR(B97/B446, "NA")</f>
      </c>
      <c r="D97" s="15"/>
      <c r="E97" s="13">
        <v>0</v>
      </c>
      <c r="F97" s="14">
        <f>IFERROR(E97/E446, "NA")</f>
      </c>
      <c r="G97" s="15"/>
      <c r="H97" s="16">
        <f>IFERROR(B97-E97, "NA")</f>
      </c>
      <c r="I97" s="14">
        <f>IFERROR(H97/H446, "NA")</f>
      </c>
      <c r="J97" s="15"/>
      <c r="K97" s="13">
        <v>0</v>
      </c>
      <c r="L97" s="14">
        <f>IFERROR(K97/K446, "NA")</f>
      </c>
      <c r="M97" s="15"/>
      <c r="N97" s="16">
        <f>IFERROR(B97-K97, "NA")</f>
      </c>
      <c r="O97" s="14">
        <f>IFERROR(N97/N446, "NA")</f>
      </c>
      <c r="P97" s="15"/>
      <c r="Q97" s="13">
        <v>0</v>
      </c>
      <c r="R97" s="14">
        <f>IFERROR(Q97/Q446, "NA")</f>
      </c>
      <c r="S97" s="15"/>
      <c r="T97" s="13">
        <v>0</v>
      </c>
      <c r="U97" s="14">
        <f>IFERROR(T97/T446, "NA")</f>
      </c>
      <c r="V97" s="15"/>
      <c r="W97" s="16">
        <f>IFERROR(Q97-T97, "NA")</f>
      </c>
      <c r="X97" s="14">
        <f>IFERROR(W97/W446, "NA")</f>
      </c>
      <c r="Y97" s="15"/>
      <c r="Z97" s="13">
        <v>0</v>
      </c>
      <c r="AA97" s="14">
        <f>IFERROR(Z97/Z446, "NA")</f>
      </c>
      <c r="AB97" s="15"/>
      <c r="AC97" s="16">
        <f>IFERROR(Q97-Z97, "NA")</f>
      </c>
      <c r="AD97" s="14">
        <f>IFERROR(AC97/AC446, "NA")</f>
      </c>
    </row>
    <row r="98" ht="16.5" customHeight="1">
      <c t="s" r="A98" s="18">
        <v>93</v>
      </c>
      <c r="B98" s="13">
        <v>-2797.77</v>
      </c>
      <c r="C98" s="14">
        <f>IFERROR(B98/B446, "NA")</f>
      </c>
      <c r="D98" s="15"/>
      <c r="E98" s="13">
        <v>0</v>
      </c>
      <c r="F98" s="14">
        <f>IFERROR(E98/E446, "NA")</f>
      </c>
      <c r="G98" s="15"/>
      <c r="H98" s="16">
        <f>IFERROR(B98-E98, "NA")</f>
      </c>
      <c r="I98" s="14">
        <f>IFERROR(H98/H446, "NA")</f>
      </c>
      <c r="J98" s="15"/>
      <c r="K98" s="13">
        <v>-2036.77</v>
      </c>
      <c r="L98" s="14">
        <f>IFERROR(K98/K446, "NA")</f>
      </c>
      <c r="M98" s="15"/>
      <c r="N98" s="16">
        <f>IFERROR(B98-K98, "NA")</f>
      </c>
      <c r="O98" s="14">
        <f>IFERROR(N98/N446, "NA")</f>
      </c>
      <c r="P98" s="15"/>
      <c r="Q98" s="13">
        <v>-2797.77</v>
      </c>
      <c r="R98" s="14">
        <f>IFERROR(Q98/Q446, "NA")</f>
      </c>
      <c r="S98" s="15"/>
      <c r="T98" s="13">
        <v>0</v>
      </c>
      <c r="U98" s="14">
        <f>IFERROR(T98/T446, "NA")</f>
      </c>
      <c r="V98" s="15"/>
      <c r="W98" s="16">
        <f>IFERROR(Q98-T98, "NA")</f>
      </c>
      <c r="X98" s="14">
        <f>IFERROR(W98/W446, "NA")</f>
      </c>
      <c r="Y98" s="15"/>
      <c r="Z98" s="13">
        <v>-2036.77</v>
      </c>
      <c r="AA98" s="14">
        <f>IFERROR(Z98/Z446, "NA")</f>
      </c>
      <c r="AB98" s="15"/>
      <c r="AC98" s="16">
        <f>IFERROR(Q98-Z98, "NA")</f>
      </c>
      <c r="AD98" s="14">
        <f>IFERROR(AC98/AC446, "NA")</f>
      </c>
    </row>
    <row r="99" hidden="1" ht="16.5" customHeight="1">
      <c t="s" r="A99" s="18">
        <v>94</v>
      </c>
      <c r="B99" s="13">
        <v>0</v>
      </c>
      <c r="C99" s="14">
        <f>IFERROR(B99/B446, "NA")</f>
      </c>
      <c r="D99" s="15"/>
      <c r="E99" s="13">
        <v>0</v>
      </c>
      <c r="F99" s="14">
        <f>IFERROR(E99/E446, "NA")</f>
      </c>
      <c r="G99" s="15"/>
      <c r="H99" s="16">
        <f>IFERROR(B99-E99, "NA")</f>
      </c>
      <c r="I99" s="14">
        <f>IFERROR(H99/H446, "NA")</f>
      </c>
      <c r="J99" s="15"/>
      <c r="K99" s="13">
        <v>0</v>
      </c>
      <c r="L99" s="14">
        <f>IFERROR(K99/K446, "NA")</f>
      </c>
      <c r="M99" s="15"/>
      <c r="N99" s="16">
        <f>IFERROR(B99-K99, "NA")</f>
      </c>
      <c r="O99" s="14">
        <f>IFERROR(N99/N446, "NA")</f>
      </c>
      <c r="P99" s="15"/>
      <c r="Q99" s="13">
        <v>0</v>
      </c>
      <c r="R99" s="14">
        <f>IFERROR(Q99/Q446, "NA")</f>
      </c>
      <c r="S99" s="15"/>
      <c r="T99" s="13">
        <v>0</v>
      </c>
      <c r="U99" s="14">
        <f>IFERROR(T99/T446, "NA")</f>
      </c>
      <c r="V99" s="15"/>
      <c r="W99" s="16">
        <f>IFERROR(Q99-T99, "NA")</f>
      </c>
      <c r="X99" s="14">
        <f>IFERROR(W99/W446, "NA")</f>
      </c>
      <c r="Y99" s="15"/>
      <c r="Z99" s="13">
        <v>0</v>
      </c>
      <c r="AA99" s="14">
        <f>IFERROR(Z99/Z446, "NA")</f>
      </c>
      <c r="AB99" s="15"/>
      <c r="AC99" s="16">
        <f>IFERROR(Q99-Z99, "NA")</f>
      </c>
      <c r="AD99" s="14">
        <f>IFERROR(AC99/AC446, "NA")</f>
      </c>
    </row>
    <row r="100" ht="16.5" customHeight="1">
      <c t="s" r="A100" s="18">
        <v>95</v>
      </c>
      <c r="B100" s="13">
        <v>-31.390000000000001</v>
      </c>
      <c r="C100" s="14">
        <f>IFERROR(B100/B446, "NA")</f>
      </c>
      <c r="D100" s="15"/>
      <c r="E100" s="13">
        <v>0</v>
      </c>
      <c r="F100" s="14">
        <f>IFERROR(E100/E446, "NA")</f>
      </c>
      <c r="G100" s="15"/>
      <c r="H100" s="16">
        <f>IFERROR(B100-E100, "NA")</f>
      </c>
      <c r="I100" s="14">
        <f>IFERROR(H100/H446, "NA")</f>
      </c>
      <c r="J100" s="15"/>
      <c r="K100" s="13">
        <v>-361.32999999999998</v>
      </c>
      <c r="L100" s="14">
        <f>IFERROR(K100/K446, "NA")</f>
      </c>
      <c r="M100" s="15"/>
      <c r="N100" s="16">
        <f>IFERROR(B100-K100, "NA")</f>
      </c>
      <c r="O100" s="14">
        <f>IFERROR(N100/N446, "NA")</f>
      </c>
      <c r="P100" s="15"/>
      <c r="Q100" s="13">
        <v>-31.390000000000001</v>
      </c>
      <c r="R100" s="14">
        <f>IFERROR(Q100/Q446, "NA")</f>
      </c>
      <c r="S100" s="15"/>
      <c r="T100" s="13">
        <v>0</v>
      </c>
      <c r="U100" s="14">
        <f>IFERROR(T100/T446, "NA")</f>
      </c>
      <c r="V100" s="15"/>
      <c r="W100" s="16">
        <f>IFERROR(Q100-T100, "NA")</f>
      </c>
      <c r="X100" s="14">
        <f>IFERROR(W100/W446, "NA")</f>
      </c>
      <c r="Y100" s="15"/>
      <c r="Z100" s="13">
        <v>-361.32999999999998</v>
      </c>
      <c r="AA100" s="14">
        <f>IFERROR(Z100/Z446, "NA")</f>
      </c>
      <c r="AB100" s="15"/>
      <c r="AC100" s="16">
        <f>IFERROR(Q100-Z100, "NA")</f>
      </c>
      <c r="AD100" s="14">
        <f>IFERROR(AC100/AC446, "NA")</f>
      </c>
    </row>
    <row r="101" hidden="1" ht="16.5" customHeight="1">
      <c t="s" r="A101" s="18">
        <v>96</v>
      </c>
      <c r="B101" s="13">
        <v>0</v>
      </c>
      <c r="C101" s="14">
        <f>IFERROR(B101/B446, "NA")</f>
      </c>
      <c r="D101" s="15"/>
      <c r="E101" s="13">
        <v>0</v>
      </c>
      <c r="F101" s="14">
        <f>IFERROR(E101/E446, "NA")</f>
      </c>
      <c r="G101" s="15"/>
      <c r="H101" s="16">
        <f>IFERROR(B101-E101, "NA")</f>
      </c>
      <c r="I101" s="14">
        <f>IFERROR(H101/H446, "NA")</f>
      </c>
      <c r="J101" s="15"/>
      <c r="K101" s="13">
        <v>0</v>
      </c>
      <c r="L101" s="14">
        <f>IFERROR(K101/K446, "NA")</f>
      </c>
      <c r="M101" s="15"/>
      <c r="N101" s="16">
        <f>IFERROR(B101-K101, "NA")</f>
      </c>
      <c r="O101" s="14">
        <f>IFERROR(N101/N446, "NA")</f>
      </c>
      <c r="P101" s="15"/>
      <c r="Q101" s="13">
        <v>0</v>
      </c>
      <c r="R101" s="14">
        <f>IFERROR(Q101/Q446, "NA")</f>
      </c>
      <c r="S101" s="15"/>
      <c r="T101" s="13">
        <v>0</v>
      </c>
      <c r="U101" s="14">
        <f>IFERROR(T101/T446, "NA")</f>
      </c>
      <c r="V101" s="15"/>
      <c r="W101" s="16">
        <f>IFERROR(Q101-T101, "NA")</f>
      </c>
      <c r="X101" s="14">
        <f>IFERROR(W101/W446, "NA")</f>
      </c>
      <c r="Y101" s="15"/>
      <c r="Z101" s="13">
        <v>0</v>
      </c>
      <c r="AA101" s="14">
        <f>IFERROR(Z101/Z446, "NA")</f>
      </c>
      <c r="AB101" s="15"/>
      <c r="AC101" s="16">
        <f>IFERROR(Q101-Z101, "NA")</f>
      </c>
      <c r="AD101" s="14">
        <f>IFERROR(AC101/AC446, "NA")</f>
      </c>
    </row>
    <row r="102" ht="16.5" customHeight="1">
      <c t="s" r="A102" s="18">
        <v>97</v>
      </c>
      <c r="B102" s="13">
        <v>-221.33000000000001</v>
      </c>
      <c r="C102" s="14">
        <f>IFERROR(B102/B446, "NA")</f>
      </c>
      <c r="D102" s="15"/>
      <c r="E102" s="13">
        <v>0</v>
      </c>
      <c r="F102" s="14">
        <f>IFERROR(E102/E446, "NA")</f>
      </c>
      <c r="G102" s="15"/>
      <c r="H102" s="16">
        <f>IFERROR(B102-E102, "NA")</f>
      </c>
      <c r="I102" s="14">
        <f>IFERROR(H102/H446, "NA")</f>
      </c>
      <c r="J102" s="15"/>
      <c r="K102" s="13">
        <v>-223.62</v>
      </c>
      <c r="L102" s="14">
        <f>IFERROR(K102/K446, "NA")</f>
      </c>
      <c r="M102" s="15"/>
      <c r="N102" s="16">
        <f>IFERROR(B102-K102, "NA")</f>
      </c>
      <c r="O102" s="14">
        <f>IFERROR(N102/N446, "NA")</f>
      </c>
      <c r="P102" s="15"/>
      <c r="Q102" s="13">
        <v>-221.33000000000001</v>
      </c>
      <c r="R102" s="14">
        <f>IFERROR(Q102/Q446, "NA")</f>
      </c>
      <c r="S102" s="15"/>
      <c r="T102" s="13">
        <v>0</v>
      </c>
      <c r="U102" s="14">
        <f>IFERROR(T102/T446, "NA")</f>
      </c>
      <c r="V102" s="15"/>
      <c r="W102" s="16">
        <f>IFERROR(Q102-T102, "NA")</f>
      </c>
      <c r="X102" s="14">
        <f>IFERROR(W102/W446, "NA")</f>
      </c>
      <c r="Y102" s="15"/>
      <c r="Z102" s="13">
        <v>-223.62</v>
      </c>
      <c r="AA102" s="14">
        <f>IFERROR(Z102/Z446, "NA")</f>
      </c>
      <c r="AB102" s="15"/>
      <c r="AC102" s="16">
        <f>IFERROR(Q102-Z102, "NA")</f>
      </c>
      <c r="AD102" s="14">
        <f>IFERROR(AC102/AC446, "NA")</f>
      </c>
    </row>
    <row r="103" ht="16.5" customHeight="1">
      <c t="s" r="A103" s="18">
        <v>98</v>
      </c>
      <c r="B103" s="13">
        <v>-10</v>
      </c>
      <c r="C103" s="14">
        <f>IFERROR(B103/B446, "NA")</f>
      </c>
      <c r="D103" s="15"/>
      <c r="E103" s="13">
        <v>0</v>
      </c>
      <c r="F103" s="14">
        <f>IFERROR(E103/E446, "NA")</f>
      </c>
      <c r="G103" s="15"/>
      <c r="H103" s="16">
        <f>IFERROR(B103-E103, "NA")</f>
      </c>
      <c r="I103" s="14">
        <f>IFERROR(H103/H446, "NA")</f>
      </c>
      <c r="J103" s="15"/>
      <c r="K103" s="13">
        <v>0</v>
      </c>
      <c r="L103" s="14">
        <f>IFERROR(K103/K446, "NA")</f>
      </c>
      <c r="M103" s="15"/>
      <c r="N103" s="16">
        <f>IFERROR(B103-K103, "NA")</f>
      </c>
      <c r="O103" s="14">
        <f>IFERROR(N103/N446, "NA")</f>
      </c>
      <c r="P103" s="15"/>
      <c r="Q103" s="13">
        <v>-10</v>
      </c>
      <c r="R103" s="14">
        <f>IFERROR(Q103/Q446, "NA")</f>
      </c>
      <c r="S103" s="15"/>
      <c r="T103" s="13">
        <v>0</v>
      </c>
      <c r="U103" s="14">
        <f>IFERROR(T103/T446, "NA")</f>
      </c>
      <c r="V103" s="15"/>
      <c r="W103" s="16">
        <f>IFERROR(Q103-T103, "NA")</f>
      </c>
      <c r="X103" s="14">
        <f>IFERROR(W103/W446, "NA")</f>
      </c>
      <c r="Y103" s="15"/>
      <c r="Z103" s="13">
        <v>0</v>
      </c>
      <c r="AA103" s="14">
        <f>IFERROR(Z103/Z446, "NA")</f>
      </c>
      <c r="AB103" s="15"/>
      <c r="AC103" s="16">
        <f>IFERROR(Q103-Z103, "NA")</f>
      </c>
      <c r="AD103" s="14">
        <f>IFERROR(AC103/AC446, "NA")</f>
      </c>
    </row>
    <row r="104" ht="16.5" customHeight="1">
      <c t="s" r="A104" s="18">
        <v>99</v>
      </c>
      <c r="B104" s="13">
        <v>-472.55000000000001</v>
      </c>
      <c r="C104" s="14">
        <f>IFERROR(B104/B446, "NA")</f>
      </c>
      <c r="D104" s="15"/>
      <c r="E104" s="13">
        <v>0</v>
      </c>
      <c r="F104" s="14">
        <f>IFERROR(E104/E446, "NA")</f>
      </c>
      <c r="G104" s="15"/>
      <c r="H104" s="16">
        <f>IFERROR(B104-E104, "NA")</f>
      </c>
      <c r="I104" s="14">
        <f>IFERROR(H104/H446, "NA")</f>
      </c>
      <c r="J104" s="15"/>
      <c r="K104" s="13">
        <v>-571.73000000000002</v>
      </c>
      <c r="L104" s="14">
        <f>IFERROR(K104/K446, "NA")</f>
      </c>
      <c r="M104" s="15"/>
      <c r="N104" s="16">
        <f>IFERROR(B104-K104, "NA")</f>
      </c>
      <c r="O104" s="14">
        <f>IFERROR(N104/N446, "NA")</f>
      </c>
      <c r="P104" s="15"/>
      <c r="Q104" s="13">
        <v>-472.55000000000001</v>
      </c>
      <c r="R104" s="14">
        <f>IFERROR(Q104/Q446, "NA")</f>
      </c>
      <c r="S104" s="15"/>
      <c r="T104" s="13">
        <v>0</v>
      </c>
      <c r="U104" s="14">
        <f>IFERROR(T104/T446, "NA")</f>
      </c>
      <c r="V104" s="15"/>
      <c r="W104" s="16">
        <f>IFERROR(Q104-T104, "NA")</f>
      </c>
      <c r="X104" s="14">
        <f>IFERROR(W104/W446, "NA")</f>
      </c>
      <c r="Y104" s="15"/>
      <c r="Z104" s="13">
        <v>-571.73000000000002</v>
      </c>
      <c r="AA104" s="14">
        <f>IFERROR(Z104/Z446, "NA")</f>
      </c>
      <c r="AB104" s="15"/>
      <c r="AC104" s="16">
        <f>IFERROR(Q104-Z104, "NA")</f>
      </c>
      <c r="AD104" s="14">
        <f>IFERROR(AC104/AC446, "NA")</f>
      </c>
    </row>
    <row r="105" hidden="1" ht="16.5" customHeight="1">
      <c t="s" r="A105" s="18">
        <v>100</v>
      </c>
      <c r="B105" s="13">
        <v>0</v>
      </c>
      <c r="C105" s="14">
        <f>IFERROR(B105/B446, "NA")</f>
      </c>
      <c r="D105" s="15"/>
      <c r="E105" s="13">
        <v>0</v>
      </c>
      <c r="F105" s="14">
        <f>IFERROR(E105/E446, "NA")</f>
      </c>
      <c r="G105" s="15"/>
      <c r="H105" s="16">
        <f>IFERROR(B105-E105, "NA")</f>
      </c>
      <c r="I105" s="14">
        <f>IFERROR(H105/H446, "NA")</f>
      </c>
      <c r="J105" s="15"/>
      <c r="K105" s="13">
        <v>0</v>
      </c>
      <c r="L105" s="14">
        <f>IFERROR(K105/K446, "NA")</f>
      </c>
      <c r="M105" s="15"/>
      <c r="N105" s="16">
        <f>IFERROR(B105-K105, "NA")</f>
      </c>
      <c r="O105" s="14">
        <f>IFERROR(N105/N446, "NA")</f>
      </c>
      <c r="P105" s="15"/>
      <c r="Q105" s="13">
        <v>0</v>
      </c>
      <c r="R105" s="14">
        <f>IFERROR(Q105/Q446, "NA")</f>
      </c>
      <c r="S105" s="15"/>
      <c r="T105" s="13">
        <v>0</v>
      </c>
      <c r="U105" s="14">
        <f>IFERROR(T105/T446, "NA")</f>
      </c>
      <c r="V105" s="15"/>
      <c r="W105" s="16">
        <f>IFERROR(Q105-T105, "NA")</f>
      </c>
      <c r="X105" s="14">
        <f>IFERROR(W105/W446, "NA")</f>
      </c>
      <c r="Y105" s="15"/>
      <c r="Z105" s="13">
        <v>0</v>
      </c>
      <c r="AA105" s="14">
        <f>IFERROR(Z105/Z446, "NA")</f>
      </c>
      <c r="AB105" s="15"/>
      <c r="AC105" s="16">
        <f>IFERROR(Q105-Z105, "NA")</f>
      </c>
      <c r="AD105" s="14">
        <f>IFERROR(AC105/AC446, "NA")</f>
      </c>
    </row>
    <row r="106" ht="16.5" customHeight="1">
      <c t="s" r="A106" s="18">
        <v>101</v>
      </c>
      <c r="B106" s="13">
        <v>-33.990000000000002</v>
      </c>
      <c r="C106" s="14">
        <f>IFERROR(B106/B446, "NA")</f>
      </c>
      <c r="D106" s="15"/>
      <c r="E106" s="13">
        <v>0</v>
      </c>
      <c r="F106" s="14">
        <f>IFERROR(E106/E446, "NA")</f>
      </c>
      <c r="G106" s="15"/>
      <c r="H106" s="16">
        <f>IFERROR(B106-E106, "NA")</f>
      </c>
      <c r="I106" s="14">
        <f>IFERROR(H106/H446, "NA")</f>
      </c>
      <c r="J106" s="15"/>
      <c r="K106" s="13">
        <v>-5</v>
      </c>
      <c r="L106" s="14">
        <f>IFERROR(K106/K446, "NA")</f>
      </c>
      <c r="M106" s="15"/>
      <c r="N106" s="16">
        <f>IFERROR(B106-K106, "NA")</f>
      </c>
      <c r="O106" s="14">
        <f>IFERROR(N106/N446, "NA")</f>
      </c>
      <c r="P106" s="15"/>
      <c r="Q106" s="13">
        <v>-33.990000000000002</v>
      </c>
      <c r="R106" s="14">
        <f>IFERROR(Q106/Q446, "NA")</f>
      </c>
      <c r="S106" s="15"/>
      <c r="T106" s="13">
        <v>0</v>
      </c>
      <c r="U106" s="14">
        <f>IFERROR(T106/T446, "NA")</f>
      </c>
      <c r="V106" s="15"/>
      <c r="W106" s="16">
        <f>IFERROR(Q106-T106, "NA")</f>
      </c>
      <c r="X106" s="14">
        <f>IFERROR(W106/W446, "NA")</f>
      </c>
      <c r="Y106" s="15"/>
      <c r="Z106" s="13">
        <v>-5</v>
      </c>
      <c r="AA106" s="14">
        <f>IFERROR(Z106/Z446, "NA")</f>
      </c>
      <c r="AB106" s="15"/>
      <c r="AC106" s="16">
        <f>IFERROR(Q106-Z106, "NA")</f>
      </c>
      <c r="AD106" s="14">
        <f>IFERROR(AC106/AC446, "NA")</f>
      </c>
    </row>
    <row r="107" hidden="1" ht="16.5" customHeight="1">
      <c t="s" r="A107" s="18">
        <v>102</v>
      </c>
      <c r="B107" s="13">
        <v>0</v>
      </c>
      <c r="C107" s="14">
        <f>IFERROR(B107/B446, "NA")</f>
      </c>
      <c r="D107" s="15"/>
      <c r="E107" s="13">
        <v>0</v>
      </c>
      <c r="F107" s="14">
        <f>IFERROR(E107/E446, "NA")</f>
      </c>
      <c r="G107" s="15"/>
      <c r="H107" s="16">
        <f>IFERROR(B107-E107, "NA")</f>
      </c>
      <c r="I107" s="14">
        <f>IFERROR(H107/H446, "NA")</f>
      </c>
      <c r="J107" s="15"/>
      <c r="K107" s="13">
        <v>0</v>
      </c>
      <c r="L107" s="14">
        <f>IFERROR(K107/K446, "NA")</f>
      </c>
      <c r="M107" s="15"/>
      <c r="N107" s="16">
        <f>IFERROR(B107-K107, "NA")</f>
      </c>
      <c r="O107" s="14">
        <f>IFERROR(N107/N446, "NA")</f>
      </c>
      <c r="P107" s="15"/>
      <c r="Q107" s="13">
        <v>0</v>
      </c>
      <c r="R107" s="14">
        <f>IFERROR(Q107/Q446, "NA")</f>
      </c>
      <c r="S107" s="15"/>
      <c r="T107" s="13">
        <v>0</v>
      </c>
      <c r="U107" s="14">
        <f>IFERROR(T107/T446, "NA")</f>
      </c>
      <c r="V107" s="15"/>
      <c r="W107" s="16">
        <f>IFERROR(Q107-T107, "NA")</f>
      </c>
      <c r="X107" s="14">
        <f>IFERROR(W107/W446, "NA")</f>
      </c>
      <c r="Y107" s="15"/>
      <c r="Z107" s="13">
        <v>0</v>
      </c>
      <c r="AA107" s="14">
        <f>IFERROR(Z107/Z446, "NA")</f>
      </c>
      <c r="AB107" s="15"/>
      <c r="AC107" s="16">
        <f>IFERROR(Q107-Z107, "NA")</f>
      </c>
      <c r="AD107" s="14">
        <f>IFERROR(AC107/AC446, "NA")</f>
      </c>
    </row>
    <row r="108" hidden="1" ht="16.5" customHeight="1">
      <c t="s" r="A108" s="18">
        <v>103</v>
      </c>
      <c r="B108" s="13">
        <v>0</v>
      </c>
      <c r="C108" s="14">
        <f>IFERROR(B108/B446, "NA")</f>
      </c>
      <c r="D108" s="15"/>
      <c r="E108" s="13">
        <v>0</v>
      </c>
      <c r="F108" s="14">
        <f>IFERROR(E108/E446, "NA")</f>
      </c>
      <c r="G108" s="15"/>
      <c r="H108" s="16">
        <f>IFERROR(B108-E108, "NA")</f>
      </c>
      <c r="I108" s="14">
        <f>IFERROR(H108/H446, "NA")</f>
      </c>
      <c r="J108" s="15"/>
      <c r="K108" s="13">
        <v>0</v>
      </c>
      <c r="L108" s="14">
        <f>IFERROR(K108/K446, "NA")</f>
      </c>
      <c r="M108" s="15"/>
      <c r="N108" s="16">
        <f>IFERROR(B108-K108, "NA")</f>
      </c>
      <c r="O108" s="14">
        <f>IFERROR(N108/N446, "NA")</f>
      </c>
      <c r="P108" s="15"/>
      <c r="Q108" s="13">
        <v>0</v>
      </c>
      <c r="R108" s="14">
        <f>IFERROR(Q108/Q446, "NA")</f>
      </c>
      <c r="S108" s="15"/>
      <c r="T108" s="13">
        <v>0</v>
      </c>
      <c r="U108" s="14">
        <f>IFERROR(T108/T446, "NA")</f>
      </c>
      <c r="V108" s="15"/>
      <c r="W108" s="16">
        <f>IFERROR(Q108-T108, "NA")</f>
      </c>
      <c r="X108" s="14">
        <f>IFERROR(W108/W446, "NA")</f>
      </c>
      <c r="Y108" s="15"/>
      <c r="Z108" s="13">
        <v>0</v>
      </c>
      <c r="AA108" s="14">
        <f>IFERROR(Z108/Z446, "NA")</f>
      </c>
      <c r="AB108" s="15"/>
      <c r="AC108" s="16">
        <f>IFERROR(Q108-Z108, "NA")</f>
      </c>
      <c r="AD108" s="14">
        <f>IFERROR(AC108/AC446, "NA")</f>
      </c>
    </row>
    <row r="109" hidden="1" ht="16.5" customHeight="1">
      <c t="s" r="A109" s="18">
        <v>104</v>
      </c>
      <c r="B109" s="13">
        <v>0</v>
      </c>
      <c r="C109" s="14">
        <f>IFERROR(B109/B446, "NA")</f>
      </c>
      <c r="D109" s="15"/>
      <c r="E109" s="13">
        <v>0</v>
      </c>
      <c r="F109" s="14">
        <f>IFERROR(E109/E446, "NA")</f>
      </c>
      <c r="G109" s="15"/>
      <c r="H109" s="16">
        <f>IFERROR(B109-E109, "NA")</f>
      </c>
      <c r="I109" s="14">
        <f>IFERROR(H109/H446, "NA")</f>
      </c>
      <c r="J109" s="15"/>
      <c r="K109" s="13">
        <v>0</v>
      </c>
      <c r="L109" s="14">
        <f>IFERROR(K109/K446, "NA")</f>
      </c>
      <c r="M109" s="15"/>
      <c r="N109" s="16">
        <f>IFERROR(B109-K109, "NA")</f>
      </c>
      <c r="O109" s="14">
        <f>IFERROR(N109/N446, "NA")</f>
      </c>
      <c r="P109" s="15"/>
      <c r="Q109" s="13">
        <v>0</v>
      </c>
      <c r="R109" s="14">
        <f>IFERROR(Q109/Q446, "NA")</f>
      </c>
      <c r="S109" s="15"/>
      <c r="T109" s="13">
        <v>0</v>
      </c>
      <c r="U109" s="14">
        <f>IFERROR(T109/T446, "NA")</f>
      </c>
      <c r="V109" s="15"/>
      <c r="W109" s="16">
        <f>IFERROR(Q109-T109, "NA")</f>
      </c>
      <c r="X109" s="14">
        <f>IFERROR(W109/W446, "NA")</f>
      </c>
      <c r="Y109" s="15"/>
      <c r="Z109" s="13">
        <v>0</v>
      </c>
      <c r="AA109" s="14">
        <f>IFERROR(Z109/Z446, "NA")</f>
      </c>
      <c r="AB109" s="15"/>
      <c r="AC109" s="16">
        <f>IFERROR(Q109-Z109, "NA")</f>
      </c>
      <c r="AD109" s="14">
        <f>IFERROR(AC109/AC446, "NA")</f>
      </c>
    </row>
    <row r="110" hidden="1" ht="16.5" customHeight="1">
      <c t="s" r="A110" s="18">
        <v>105</v>
      </c>
      <c r="B110" s="13">
        <v>0</v>
      </c>
      <c r="C110" s="14">
        <f>IFERROR(B110/B446, "NA")</f>
      </c>
      <c r="D110" s="15"/>
      <c r="E110" s="13">
        <v>0</v>
      </c>
      <c r="F110" s="14">
        <f>IFERROR(E110/E446, "NA")</f>
      </c>
      <c r="G110" s="15"/>
      <c r="H110" s="16">
        <f>IFERROR(B110-E110, "NA")</f>
      </c>
      <c r="I110" s="14">
        <f>IFERROR(H110/H446, "NA")</f>
      </c>
      <c r="J110" s="15"/>
      <c r="K110" s="13">
        <v>0</v>
      </c>
      <c r="L110" s="14">
        <f>IFERROR(K110/K446, "NA")</f>
      </c>
      <c r="M110" s="15"/>
      <c r="N110" s="16">
        <f>IFERROR(B110-K110, "NA")</f>
      </c>
      <c r="O110" s="14">
        <f>IFERROR(N110/N446, "NA")</f>
      </c>
      <c r="P110" s="15"/>
      <c r="Q110" s="13">
        <v>0</v>
      </c>
      <c r="R110" s="14">
        <f>IFERROR(Q110/Q446, "NA")</f>
      </c>
      <c r="S110" s="15"/>
      <c r="T110" s="13">
        <v>0</v>
      </c>
      <c r="U110" s="14">
        <f>IFERROR(T110/T446, "NA")</f>
      </c>
      <c r="V110" s="15"/>
      <c r="W110" s="16">
        <f>IFERROR(Q110-T110, "NA")</f>
      </c>
      <c r="X110" s="14">
        <f>IFERROR(W110/W446, "NA")</f>
      </c>
      <c r="Y110" s="15"/>
      <c r="Z110" s="13">
        <v>0</v>
      </c>
      <c r="AA110" s="14">
        <f>IFERROR(Z110/Z446, "NA")</f>
      </c>
      <c r="AB110" s="15"/>
      <c r="AC110" s="16">
        <f>IFERROR(Q110-Z110, "NA")</f>
      </c>
      <c r="AD110" s="14">
        <f>IFERROR(AC110/AC446, "NA")</f>
      </c>
    </row>
    <row r="111" hidden="1" ht="16.5" customHeight="1">
      <c t="s" r="A111" s="18">
        <v>106</v>
      </c>
      <c r="B111" s="13">
        <v>0</v>
      </c>
      <c r="C111" s="14">
        <f>IFERROR(B111/B446, "NA")</f>
      </c>
      <c r="D111" s="15"/>
      <c r="E111" s="13">
        <v>0</v>
      </c>
      <c r="F111" s="14">
        <f>IFERROR(E111/E446, "NA")</f>
      </c>
      <c r="G111" s="15"/>
      <c r="H111" s="16">
        <f>IFERROR(B111-E111, "NA")</f>
      </c>
      <c r="I111" s="14">
        <f>IFERROR(H111/H446, "NA")</f>
      </c>
      <c r="J111" s="15"/>
      <c r="K111" s="13">
        <v>0</v>
      </c>
      <c r="L111" s="14">
        <f>IFERROR(K111/K446, "NA")</f>
      </c>
      <c r="M111" s="15"/>
      <c r="N111" s="16">
        <f>IFERROR(B111-K111, "NA")</f>
      </c>
      <c r="O111" s="14">
        <f>IFERROR(N111/N446, "NA")</f>
      </c>
      <c r="P111" s="15"/>
      <c r="Q111" s="13">
        <v>0</v>
      </c>
      <c r="R111" s="14">
        <f>IFERROR(Q111/Q446, "NA")</f>
      </c>
      <c r="S111" s="15"/>
      <c r="T111" s="13">
        <v>0</v>
      </c>
      <c r="U111" s="14">
        <f>IFERROR(T111/T446, "NA")</f>
      </c>
      <c r="V111" s="15"/>
      <c r="W111" s="16">
        <f>IFERROR(Q111-T111, "NA")</f>
      </c>
      <c r="X111" s="14">
        <f>IFERROR(W111/W446, "NA")</f>
      </c>
      <c r="Y111" s="15"/>
      <c r="Z111" s="13">
        <v>0</v>
      </c>
      <c r="AA111" s="14">
        <f>IFERROR(Z111/Z446, "NA")</f>
      </c>
      <c r="AB111" s="15"/>
      <c r="AC111" s="16">
        <f>IFERROR(Q111-Z111, "NA")</f>
      </c>
      <c r="AD111" s="14">
        <f>IFERROR(AC111/AC446, "NA")</f>
      </c>
    </row>
    <row r="112" hidden="1" ht="16.5" customHeight="1">
      <c t="s" r="A112" s="18">
        <v>107</v>
      </c>
      <c r="B112" s="13">
        <v>0</v>
      </c>
      <c r="C112" s="14">
        <f>IFERROR(B112/B446, "NA")</f>
      </c>
      <c r="D112" s="15"/>
      <c r="E112" s="13">
        <v>0</v>
      </c>
      <c r="F112" s="14">
        <f>IFERROR(E112/E446, "NA")</f>
      </c>
      <c r="G112" s="15"/>
      <c r="H112" s="16">
        <f>IFERROR(B112-E112, "NA")</f>
      </c>
      <c r="I112" s="14">
        <f>IFERROR(H112/H446, "NA")</f>
      </c>
      <c r="J112" s="15"/>
      <c r="K112" s="13">
        <v>0</v>
      </c>
      <c r="L112" s="14">
        <f>IFERROR(K112/K446, "NA")</f>
      </c>
      <c r="M112" s="15"/>
      <c r="N112" s="16">
        <f>IFERROR(B112-K112, "NA")</f>
      </c>
      <c r="O112" s="14">
        <f>IFERROR(N112/N446, "NA")</f>
      </c>
      <c r="P112" s="15"/>
      <c r="Q112" s="13">
        <v>0</v>
      </c>
      <c r="R112" s="14">
        <f>IFERROR(Q112/Q446, "NA")</f>
      </c>
      <c r="S112" s="15"/>
      <c r="T112" s="13">
        <v>0</v>
      </c>
      <c r="U112" s="14">
        <f>IFERROR(T112/T446, "NA")</f>
      </c>
      <c r="V112" s="15"/>
      <c r="W112" s="16">
        <f>IFERROR(Q112-T112, "NA")</f>
      </c>
      <c r="X112" s="14">
        <f>IFERROR(W112/W446, "NA")</f>
      </c>
      <c r="Y112" s="15"/>
      <c r="Z112" s="13">
        <v>0</v>
      </c>
      <c r="AA112" s="14">
        <f>IFERROR(Z112/Z446, "NA")</f>
      </c>
      <c r="AB112" s="15"/>
      <c r="AC112" s="16">
        <f>IFERROR(Q112-Z112, "NA")</f>
      </c>
      <c r="AD112" s="14">
        <f>IFERROR(AC112/AC446, "NA")</f>
      </c>
    </row>
    <row r="113" hidden="1" ht="16.5" customHeight="1">
      <c t="s" r="A113" s="18">
        <v>108</v>
      </c>
      <c r="B113" s="13">
        <v>0</v>
      </c>
      <c r="C113" s="14">
        <f>IFERROR(B113/B446, "NA")</f>
      </c>
      <c r="D113" s="15"/>
      <c r="E113" s="13">
        <v>0</v>
      </c>
      <c r="F113" s="14">
        <f>IFERROR(E113/E446, "NA")</f>
      </c>
      <c r="G113" s="15"/>
      <c r="H113" s="16">
        <f>IFERROR(B113-E113, "NA")</f>
      </c>
      <c r="I113" s="14">
        <f>IFERROR(H113/H446, "NA")</f>
      </c>
      <c r="J113" s="15"/>
      <c r="K113" s="13">
        <v>0</v>
      </c>
      <c r="L113" s="14">
        <f>IFERROR(K113/K446, "NA")</f>
      </c>
      <c r="M113" s="15"/>
      <c r="N113" s="16">
        <f>IFERROR(B113-K113, "NA")</f>
      </c>
      <c r="O113" s="14">
        <f>IFERROR(N113/N446, "NA")</f>
      </c>
      <c r="P113" s="15"/>
      <c r="Q113" s="13">
        <v>0</v>
      </c>
      <c r="R113" s="14">
        <f>IFERROR(Q113/Q446, "NA")</f>
      </c>
      <c r="S113" s="15"/>
      <c r="T113" s="13">
        <v>0</v>
      </c>
      <c r="U113" s="14">
        <f>IFERROR(T113/T446, "NA")</f>
      </c>
      <c r="V113" s="15"/>
      <c r="W113" s="16">
        <f>IFERROR(Q113-T113, "NA")</f>
      </c>
      <c r="X113" s="14">
        <f>IFERROR(W113/W446, "NA")</f>
      </c>
      <c r="Y113" s="15"/>
      <c r="Z113" s="13">
        <v>0</v>
      </c>
      <c r="AA113" s="14">
        <f>IFERROR(Z113/Z446, "NA")</f>
      </c>
      <c r="AB113" s="15"/>
      <c r="AC113" s="16">
        <f>IFERROR(Q113-Z113, "NA")</f>
      </c>
      <c r="AD113" s="14">
        <f>IFERROR(AC113/AC446, "NA")</f>
      </c>
    </row>
    <row r="114" hidden="1" ht="16.5" customHeight="1">
      <c t="s" r="A114" s="18">
        <v>109</v>
      </c>
      <c r="B114" s="13">
        <v>0</v>
      </c>
      <c r="C114" s="14">
        <f>IFERROR(B114/B446, "NA")</f>
      </c>
      <c r="D114" s="15"/>
      <c r="E114" s="13">
        <v>0</v>
      </c>
      <c r="F114" s="14">
        <f>IFERROR(E114/E446, "NA")</f>
      </c>
      <c r="G114" s="15"/>
      <c r="H114" s="16">
        <f>IFERROR(B114-E114, "NA")</f>
      </c>
      <c r="I114" s="14">
        <f>IFERROR(H114/H446, "NA")</f>
      </c>
      <c r="J114" s="15"/>
      <c r="K114" s="13">
        <v>0</v>
      </c>
      <c r="L114" s="14">
        <f>IFERROR(K114/K446, "NA")</f>
      </c>
      <c r="M114" s="15"/>
      <c r="N114" s="16">
        <f>IFERROR(B114-K114, "NA")</f>
      </c>
      <c r="O114" s="14">
        <f>IFERROR(N114/N446, "NA")</f>
      </c>
      <c r="P114" s="15"/>
      <c r="Q114" s="13">
        <v>0</v>
      </c>
      <c r="R114" s="14">
        <f>IFERROR(Q114/Q446, "NA")</f>
      </c>
      <c r="S114" s="15"/>
      <c r="T114" s="13">
        <v>0</v>
      </c>
      <c r="U114" s="14">
        <f>IFERROR(T114/T446, "NA")</f>
      </c>
      <c r="V114" s="15"/>
      <c r="W114" s="16">
        <f>IFERROR(Q114-T114, "NA")</f>
      </c>
      <c r="X114" s="14">
        <f>IFERROR(W114/W446, "NA")</f>
      </c>
      <c r="Y114" s="15"/>
      <c r="Z114" s="13">
        <v>0</v>
      </c>
      <c r="AA114" s="14">
        <f>IFERROR(Z114/Z446, "NA")</f>
      </c>
      <c r="AB114" s="15"/>
      <c r="AC114" s="16">
        <f>IFERROR(Q114-Z114, "NA")</f>
      </c>
      <c r="AD114" s="14">
        <f>IFERROR(AC114/AC446, "NA")</f>
      </c>
    </row>
    <row r="115" hidden="1" ht="16.5" customHeight="1">
      <c t="s" r="A115" s="18">
        <v>110</v>
      </c>
      <c r="B115" s="13">
        <v>0</v>
      </c>
      <c r="C115" s="14">
        <f>IFERROR(B115/B446, "NA")</f>
      </c>
      <c r="D115" s="15"/>
      <c r="E115" s="13">
        <v>0</v>
      </c>
      <c r="F115" s="14">
        <f>IFERROR(E115/E446, "NA")</f>
      </c>
      <c r="G115" s="15"/>
      <c r="H115" s="16">
        <f>IFERROR(B115-E115, "NA")</f>
      </c>
      <c r="I115" s="14">
        <f>IFERROR(H115/H446, "NA")</f>
      </c>
      <c r="J115" s="15"/>
      <c r="K115" s="13">
        <v>0</v>
      </c>
      <c r="L115" s="14">
        <f>IFERROR(K115/K446, "NA")</f>
      </c>
      <c r="M115" s="15"/>
      <c r="N115" s="16">
        <f>IFERROR(B115-K115, "NA")</f>
      </c>
      <c r="O115" s="14">
        <f>IFERROR(N115/N446, "NA")</f>
      </c>
      <c r="P115" s="15"/>
      <c r="Q115" s="13">
        <v>0</v>
      </c>
      <c r="R115" s="14">
        <f>IFERROR(Q115/Q446, "NA")</f>
      </c>
      <c r="S115" s="15"/>
      <c r="T115" s="13">
        <v>0</v>
      </c>
      <c r="U115" s="14">
        <f>IFERROR(T115/T446, "NA")</f>
      </c>
      <c r="V115" s="15"/>
      <c r="W115" s="16">
        <f>IFERROR(Q115-T115, "NA")</f>
      </c>
      <c r="X115" s="14">
        <f>IFERROR(W115/W446, "NA")</f>
      </c>
      <c r="Y115" s="15"/>
      <c r="Z115" s="13">
        <v>0</v>
      </c>
      <c r="AA115" s="14">
        <f>IFERROR(Z115/Z446, "NA")</f>
      </c>
      <c r="AB115" s="15"/>
      <c r="AC115" s="16">
        <f>IFERROR(Q115-Z115, "NA")</f>
      </c>
      <c r="AD115" s="14">
        <f>IFERROR(AC115/AC446, "NA")</f>
      </c>
    </row>
    <row r="116" hidden="1" ht="16.5" customHeight="1">
      <c t="s" r="A116" s="18">
        <v>111</v>
      </c>
      <c r="B116" s="13">
        <v>0</v>
      </c>
      <c r="C116" s="14">
        <f>IFERROR(B116/B446, "NA")</f>
      </c>
      <c r="D116" s="15"/>
      <c r="E116" s="13">
        <v>0</v>
      </c>
      <c r="F116" s="14">
        <f>IFERROR(E116/E446, "NA")</f>
      </c>
      <c r="G116" s="15"/>
      <c r="H116" s="16">
        <f>IFERROR(B116-E116, "NA")</f>
      </c>
      <c r="I116" s="14">
        <f>IFERROR(H116/H446, "NA")</f>
      </c>
      <c r="J116" s="15"/>
      <c r="K116" s="13">
        <v>0</v>
      </c>
      <c r="L116" s="14">
        <f>IFERROR(K116/K446, "NA")</f>
      </c>
      <c r="M116" s="15"/>
      <c r="N116" s="16">
        <f>IFERROR(B116-K116, "NA")</f>
      </c>
      <c r="O116" s="14">
        <f>IFERROR(N116/N446, "NA")</f>
      </c>
      <c r="P116" s="15"/>
      <c r="Q116" s="13">
        <v>0</v>
      </c>
      <c r="R116" s="14">
        <f>IFERROR(Q116/Q446, "NA")</f>
      </c>
      <c r="S116" s="15"/>
      <c r="T116" s="13">
        <v>0</v>
      </c>
      <c r="U116" s="14">
        <f>IFERROR(T116/T446, "NA")</f>
      </c>
      <c r="V116" s="15"/>
      <c r="W116" s="16">
        <f>IFERROR(Q116-T116, "NA")</f>
      </c>
      <c r="X116" s="14">
        <f>IFERROR(W116/W446, "NA")</f>
      </c>
      <c r="Y116" s="15"/>
      <c r="Z116" s="13">
        <v>0</v>
      </c>
      <c r="AA116" s="14">
        <f>IFERROR(Z116/Z446, "NA")</f>
      </c>
      <c r="AB116" s="15"/>
      <c r="AC116" s="16">
        <f>IFERROR(Q116-Z116, "NA")</f>
      </c>
      <c r="AD116" s="14">
        <f>IFERROR(AC116/AC446, "NA")</f>
      </c>
    </row>
    <row r="117" hidden="1" ht="16.5" customHeight="1">
      <c t="s" r="A117" s="18">
        <v>112</v>
      </c>
      <c r="B117" s="13">
        <v>0</v>
      </c>
      <c r="C117" s="14">
        <f>IFERROR(B117/B446, "NA")</f>
      </c>
      <c r="D117" s="15"/>
      <c r="E117" s="13">
        <v>0</v>
      </c>
      <c r="F117" s="14">
        <f>IFERROR(E117/E446, "NA")</f>
      </c>
      <c r="G117" s="15"/>
      <c r="H117" s="16">
        <f>IFERROR(B117-E117, "NA")</f>
      </c>
      <c r="I117" s="14">
        <f>IFERROR(H117/H446, "NA")</f>
      </c>
      <c r="J117" s="15"/>
      <c r="K117" s="13">
        <v>0</v>
      </c>
      <c r="L117" s="14">
        <f>IFERROR(K117/K446, "NA")</f>
      </c>
      <c r="M117" s="15"/>
      <c r="N117" s="16">
        <f>IFERROR(B117-K117, "NA")</f>
      </c>
      <c r="O117" s="14">
        <f>IFERROR(N117/N446, "NA")</f>
      </c>
      <c r="P117" s="15"/>
      <c r="Q117" s="13">
        <v>0</v>
      </c>
      <c r="R117" s="14">
        <f>IFERROR(Q117/Q446, "NA")</f>
      </c>
      <c r="S117" s="15"/>
      <c r="T117" s="13">
        <v>0</v>
      </c>
      <c r="U117" s="14">
        <f>IFERROR(T117/T446, "NA")</f>
      </c>
      <c r="V117" s="15"/>
      <c r="W117" s="16">
        <f>IFERROR(Q117-T117, "NA")</f>
      </c>
      <c r="X117" s="14">
        <f>IFERROR(W117/W446, "NA")</f>
      </c>
      <c r="Y117" s="15"/>
      <c r="Z117" s="13">
        <v>0</v>
      </c>
      <c r="AA117" s="14">
        <f>IFERROR(Z117/Z446, "NA")</f>
      </c>
      <c r="AB117" s="15"/>
      <c r="AC117" s="16">
        <f>IFERROR(Q117-Z117, "NA")</f>
      </c>
      <c r="AD117" s="14">
        <f>IFERROR(AC117/AC446, "NA")</f>
      </c>
    </row>
    <row r="118" ht="16.5" customHeight="1">
      <c t="s" r="A118" s="19">
        <v>113</v>
      </c>
      <c r="B118" s="20">
        <f>IFERROR(B94+B95+B96+B97+B98+B99+B100+B101+B102+B103+B104+B105+B106+B107+B108+B109+B110+B111+B112+B113+B114+B115+B116+B117, "NA")</f>
      </c>
      <c r="C118" s="21">
        <f>IFERROR(B118/B446, "NA")</f>
      </c>
      <c r="D118" s="8"/>
      <c r="E118" s="20">
        <f>IFERROR(E94+E95+E96+E97+E98+E99+E100+E101+E102+E103+E104+E105+E106+E107+E108+E109+E110+E111+E112+E113+E114+E115+E116+E117, "NA")</f>
      </c>
      <c r="F118" s="21">
        <f>IFERROR(E118/E446, "NA")</f>
      </c>
      <c r="G118" s="8"/>
      <c r="H118" s="20">
        <f>IFERROR(B118-E118, "NA")</f>
      </c>
      <c r="I118" s="21">
        <f>IFERROR(H118/H446, "NA")</f>
      </c>
      <c r="J118" s="8"/>
      <c r="K118" s="20">
        <f>IFERROR(K94+K95+K96+K97+K98+K99+K100+K101+K102+K103+K104+K105+K106+K107+K108+K109+K110+K111+K112+K113+K114+K115+K116+K117, "NA")</f>
      </c>
      <c r="L118" s="21">
        <f>IFERROR(K118/K446, "NA")</f>
      </c>
      <c r="M118" s="8"/>
      <c r="N118" s="20">
        <f>IFERROR(B118-K118, "NA")</f>
      </c>
      <c r="O118" s="21">
        <f>IFERROR(N118/N446, "NA")</f>
      </c>
      <c r="P118" s="8"/>
      <c r="Q118" s="20">
        <f>IFERROR(Q94+Q95+Q96+Q97+Q98+Q99+Q100+Q101+Q102+Q103+Q104+Q105+Q106+Q107+Q108+Q109+Q110+Q111+Q112+Q113+Q114+Q115+Q116+Q117, "NA")</f>
      </c>
      <c r="R118" s="21">
        <f>IFERROR(Q118/Q446, "NA")</f>
      </c>
      <c r="S118" s="8"/>
      <c r="T118" s="20">
        <f>IFERROR(T94+T95+T96+T97+T98+T99+T100+T101+T102+T103+T104+T105+T106+T107+T108+T109+T110+T111+T112+T113+T114+T115+T116+T117, "NA")</f>
      </c>
      <c r="U118" s="21">
        <f>IFERROR(T118/T446, "NA")</f>
      </c>
      <c r="V118" s="8"/>
      <c r="W118" s="20">
        <f>IFERROR(Q118-T118, "NA")</f>
      </c>
      <c r="X118" s="21">
        <f>IFERROR(W118/W446, "NA")</f>
      </c>
      <c r="Y118" s="8"/>
      <c r="Z118" s="20">
        <f>IFERROR(Z94+Z95+Z96+Z97+Z98+Z99+Z100+Z101+Z102+Z103+Z104+Z105+Z106+Z107+Z108+Z109+Z110+Z111+Z112+Z113+Z114+Z115+Z116+Z117, "NA")</f>
      </c>
      <c r="AA118" s="21">
        <f>IFERROR(Z118/Z446, "NA")</f>
      </c>
      <c r="AB118" s="8"/>
      <c r="AC118" s="20">
        <f>IFERROR(Q118-Z118, "NA")</f>
      </c>
      <c r="AD118" s="21">
        <f>IFERROR(AC118/AC446, "NA")</f>
      </c>
    </row>
    <row r="119" hidden="1" ht="16.5" customHeight="1">
      <c t="s" r="A119" s="12">
        <v>114</v>
      </c>
      <c r="B119" s="13">
        <v>0</v>
      </c>
      <c r="C119" s="14">
        <f>IFERROR(B119/B446, "NA")</f>
      </c>
      <c r="D119" s="15"/>
      <c r="E119" s="13">
        <v>0</v>
      </c>
      <c r="F119" s="14">
        <f>IFERROR(E119/E446, "NA")</f>
      </c>
      <c r="G119" s="15"/>
      <c r="H119" s="16">
        <f>IFERROR(B119-E119, "NA")</f>
      </c>
      <c r="I119" s="14">
        <f>IFERROR(H119/H446, "NA")</f>
      </c>
      <c r="J119" s="15"/>
      <c r="K119" s="13">
        <v>0</v>
      </c>
      <c r="L119" s="14">
        <f>IFERROR(K119/K446, "NA")</f>
      </c>
      <c r="M119" s="15"/>
      <c r="N119" s="16">
        <f>IFERROR(B119-K119, "NA")</f>
      </c>
      <c r="O119" s="14">
        <f>IFERROR(N119/N446, "NA")</f>
      </c>
      <c r="P119" s="15"/>
      <c r="Q119" s="13">
        <v>0</v>
      </c>
      <c r="R119" s="14">
        <f>IFERROR(Q119/Q446, "NA")</f>
      </c>
      <c r="S119" s="15"/>
      <c r="T119" s="13">
        <v>0</v>
      </c>
      <c r="U119" s="14">
        <f>IFERROR(T119/T446, "NA")</f>
      </c>
      <c r="V119" s="15"/>
      <c r="W119" s="16">
        <f>IFERROR(Q119-T119, "NA")</f>
      </c>
      <c r="X119" s="14">
        <f>IFERROR(W119/W446, "NA")</f>
      </c>
      <c r="Y119" s="15"/>
      <c r="Z119" s="13">
        <v>0</v>
      </c>
      <c r="AA119" s="14">
        <f>IFERROR(Z119/Z446, "NA")</f>
      </c>
      <c r="AB119" s="15"/>
      <c r="AC119" s="16">
        <f>IFERROR(Q119-Z119, "NA")</f>
      </c>
      <c r="AD119" s="14">
        <f>IFERROR(AC119/AC446, "NA")</f>
      </c>
    </row>
    <row r="120" hidden="1" ht="16.5" customHeight="1">
      <c t="s" r="A120" s="12">
        <v>115</v>
      </c>
      <c r="B120" s="13">
        <v>0</v>
      </c>
      <c r="C120" s="14">
        <f>IFERROR(B120/B446, "NA")</f>
      </c>
      <c r="D120" s="15"/>
      <c r="E120" s="13">
        <v>0</v>
      </c>
      <c r="F120" s="14">
        <f>IFERROR(E120/E446, "NA")</f>
      </c>
      <c r="G120" s="15"/>
      <c r="H120" s="16">
        <f>IFERROR(B120-E120, "NA")</f>
      </c>
      <c r="I120" s="14">
        <f>IFERROR(H120/H446, "NA")</f>
      </c>
      <c r="J120" s="15"/>
      <c r="K120" s="13">
        <v>0</v>
      </c>
      <c r="L120" s="14">
        <f>IFERROR(K120/K446, "NA")</f>
      </c>
      <c r="M120" s="15"/>
      <c r="N120" s="16">
        <f>IFERROR(B120-K120, "NA")</f>
      </c>
      <c r="O120" s="14">
        <f>IFERROR(N120/N446, "NA")</f>
      </c>
      <c r="P120" s="15"/>
      <c r="Q120" s="13">
        <v>0</v>
      </c>
      <c r="R120" s="14">
        <f>IFERROR(Q120/Q446, "NA")</f>
      </c>
      <c r="S120" s="15"/>
      <c r="T120" s="13">
        <v>0</v>
      </c>
      <c r="U120" s="14">
        <f>IFERROR(T120/T446, "NA")</f>
      </c>
      <c r="V120" s="15"/>
      <c r="W120" s="16">
        <f>IFERROR(Q120-T120, "NA")</f>
      </c>
      <c r="X120" s="14">
        <f>IFERROR(W120/W446, "NA")</f>
      </c>
      <c r="Y120" s="15"/>
      <c r="Z120" s="13">
        <v>0</v>
      </c>
      <c r="AA120" s="14">
        <f>IFERROR(Z120/Z446, "NA")</f>
      </c>
      <c r="AB120" s="15"/>
      <c r="AC120" s="16">
        <f>IFERROR(Q120-Z120, "NA")</f>
      </c>
      <c r="AD120" s="14">
        <f>IFERROR(AC120/AC446, "NA")</f>
      </c>
    </row>
    <row r="121" hidden="1" ht="16.5" customHeight="1">
      <c t="s" r="A121" s="12">
        <v>116</v>
      </c>
      <c r="B121" s="13">
        <v>0</v>
      </c>
      <c r="C121" s="14">
        <f>IFERROR(B121/B446, "NA")</f>
      </c>
      <c r="D121" s="15"/>
      <c r="E121" s="13">
        <v>0</v>
      </c>
      <c r="F121" s="14">
        <f>IFERROR(E121/E446, "NA")</f>
      </c>
      <c r="G121" s="15"/>
      <c r="H121" s="16">
        <f>IFERROR(B121-E121, "NA")</f>
      </c>
      <c r="I121" s="14">
        <f>IFERROR(H121/H446, "NA")</f>
      </c>
      <c r="J121" s="15"/>
      <c r="K121" s="13">
        <v>0</v>
      </c>
      <c r="L121" s="14">
        <f>IFERROR(K121/K446, "NA")</f>
      </c>
      <c r="M121" s="15"/>
      <c r="N121" s="16">
        <f>IFERROR(B121-K121, "NA")</f>
      </c>
      <c r="O121" s="14">
        <f>IFERROR(N121/N446, "NA")</f>
      </c>
      <c r="P121" s="15"/>
      <c r="Q121" s="13">
        <v>0</v>
      </c>
      <c r="R121" s="14">
        <f>IFERROR(Q121/Q446, "NA")</f>
      </c>
      <c r="S121" s="15"/>
      <c r="T121" s="13">
        <v>0</v>
      </c>
      <c r="U121" s="14">
        <f>IFERROR(T121/T446, "NA")</f>
      </c>
      <c r="V121" s="15"/>
      <c r="W121" s="16">
        <f>IFERROR(Q121-T121, "NA")</f>
      </c>
      <c r="X121" s="14">
        <f>IFERROR(W121/W446, "NA")</f>
      </c>
      <c r="Y121" s="15"/>
      <c r="Z121" s="13">
        <v>0</v>
      </c>
      <c r="AA121" s="14">
        <f>IFERROR(Z121/Z446, "NA")</f>
      </c>
      <c r="AB121" s="15"/>
      <c r="AC121" s="16">
        <f>IFERROR(Q121-Z121, "NA")</f>
      </c>
      <c r="AD121" s="14">
        <f>IFERROR(AC121/AC446, "NA")</f>
      </c>
    </row>
    <row r="122" ht="16.5" customHeight="1">
      <c t="s" r="A122" s="25">
        <v>117</v>
      </c>
      <c r="B122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, "NA")</f>
      </c>
      <c r="C122" s="21">
        <f>IFERROR(B122/B446, "NA")</f>
      </c>
      <c r="D122" s="8"/>
      <c r="E122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, "NA")</f>
      </c>
      <c r="F122" s="21">
        <f>IFERROR(E122/E446, "NA")</f>
      </c>
      <c r="G122" s="8"/>
      <c r="H122" s="20">
        <f>IFERROR(B122-E122, "NA")</f>
      </c>
      <c r="I122" s="21">
        <f>IFERROR(H122/H446, "NA")</f>
      </c>
      <c r="J122" s="8"/>
      <c r="K122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, "NA")</f>
      </c>
      <c r="L122" s="21">
        <f>IFERROR(K122/K446, "NA")</f>
      </c>
      <c r="M122" s="8"/>
      <c r="N122" s="20">
        <f>IFERROR(B122-K122, "NA")</f>
      </c>
      <c r="O122" s="21">
        <f>IFERROR(N122/N446, "NA")</f>
      </c>
      <c r="P122" s="8"/>
      <c r="Q122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, "NA")</f>
      </c>
      <c r="R122" s="21">
        <f>IFERROR(Q122/Q446, "NA")</f>
      </c>
      <c r="S122" s="8"/>
      <c r="T122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, "NA")</f>
      </c>
      <c r="U122" s="21">
        <f>IFERROR(T122/T446, "NA")</f>
      </c>
      <c r="V122" s="8"/>
      <c r="W122" s="20">
        <f>IFERROR(Q122-T122, "NA")</f>
      </c>
      <c r="X122" s="21">
        <f>IFERROR(W122/W446, "NA")</f>
      </c>
      <c r="Y122" s="8"/>
      <c r="Z122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, "NA")</f>
      </c>
      <c r="AA122" s="21">
        <f>IFERROR(Z122/Z446, "NA")</f>
      </c>
      <c r="AB122" s="8"/>
      <c r="AC122" s="20">
        <f>IFERROR(Q122-Z122, "NA")</f>
      </c>
      <c r="AD122" s="21">
        <f>IFERROR(AC122/AC446, "NA")</f>
      </c>
    </row>
    <row r="123" hidden="1" ht="16.5" customHeight="1">
      <c t="s" r="A123" s="26">
        <v>118</v>
      </c>
      <c r="B123" s="13">
        <v>0</v>
      </c>
      <c r="C123" s="14">
        <f>IFERROR(B123/B446, "NA")</f>
      </c>
      <c r="D123" s="15"/>
      <c r="E123" s="13">
        <v>0</v>
      </c>
      <c r="F123" s="14">
        <f>IFERROR(E123/E446, "NA")</f>
      </c>
      <c r="G123" s="15"/>
      <c r="H123" s="16">
        <f>IFERROR(B123-E123, "NA")</f>
      </c>
      <c r="I123" s="14">
        <f>IFERROR(H123/H446, "NA")</f>
      </c>
      <c r="J123" s="15"/>
      <c r="K123" s="13">
        <v>0</v>
      </c>
      <c r="L123" s="14">
        <f>IFERROR(K123/K446, "NA")</f>
      </c>
      <c r="M123" s="15"/>
      <c r="N123" s="16">
        <f>IFERROR(B123-K123, "NA")</f>
      </c>
      <c r="O123" s="14">
        <f>IFERROR(N123/N446, "NA")</f>
      </c>
      <c r="P123" s="15"/>
      <c r="Q123" s="13">
        <v>0</v>
      </c>
      <c r="R123" s="14">
        <f>IFERROR(Q123/Q446, "NA")</f>
      </c>
      <c r="S123" s="15"/>
      <c r="T123" s="13">
        <v>0</v>
      </c>
      <c r="U123" s="14">
        <f>IFERROR(T123/T446, "NA")</f>
      </c>
      <c r="V123" s="15"/>
      <c r="W123" s="16">
        <f>IFERROR(Q123-T123, "NA")</f>
      </c>
      <c r="X123" s="14">
        <f>IFERROR(W123/W446, "NA")</f>
      </c>
      <c r="Y123" s="15"/>
      <c r="Z123" s="13">
        <v>0</v>
      </c>
      <c r="AA123" s="14">
        <f>IFERROR(Z123/Z446, "NA")</f>
      </c>
      <c r="AB123" s="15"/>
      <c r="AC123" s="16">
        <f>IFERROR(Q123-Z123, "NA")</f>
      </c>
      <c r="AD123" s="14">
        <f>IFERROR(AC123/AC446, "NA")</f>
      </c>
    </row>
    <row r="124" ht="16.5" customHeight="1">
      <c t="s" r="A124" s="27">
        <v>117</v>
      </c>
      <c r="B124" s="20">
        <f>IFERROR(B8+B10+B11+B12+B13+B14+B15+B16+B17+B19+B21+B22+B23+B24+B25+B26+B27+B28+B31+B32+B33+B34+B35+B36+B37+B38+B39+B42+B43+B44+B46+B47+B48+B49+B50+B51+B52+B53+B54+B55+B56+B57+B58+B59+B60+B64+B65+B66+B67+B68+B69+B70+B71+B72+B75+B76+B77+B78+B79+B80+B81+B82+B83+B84+B85+B86+B87+B89+B90+B91+B92+B94+B95+B96+B97+B98+B99+B100+B101+B102+B103+B104+B105+B106+B107+B108+B109+B110+B111+B112+B113+B114+B115+B116+B117+B119+B120+B121+B123, "NA")</f>
      </c>
      <c r="C124" s="21">
        <f>IFERROR(B124/B446, "NA")</f>
      </c>
      <c r="D124" s="8"/>
      <c r="E124" s="20">
        <f>IFERROR(E8+E10+E11+E12+E13+E14+E15+E16+E17+E19+E21+E22+E23+E24+E25+E26+E27+E28+E31+E32+E33+E34+E35+E36+E37+E38+E39+E42+E43+E44+E46+E47+E48+E49+E50+E51+E52+E53+E54+E55+E56+E57+E58+E59+E60+E64+E65+E66+E67+E68+E69+E70+E71+E72+E75+E76+E77+E78+E79+E80+E81+E82+E83+E84+E85+E86+E87+E89+E90+E91+E92+E94+E95+E96+E97+E98+E99+E100+E101+E102+E103+E104+E105+E106+E107+E108+E109+E110+E111+E112+E113+E114+E115+E116+E117+E119+E120+E121+E123, "NA")</f>
      </c>
      <c r="F124" s="21">
        <f>IFERROR(E124/E446, "NA")</f>
      </c>
      <c r="G124" s="8"/>
      <c r="H124" s="20">
        <f>IFERROR(B124-E124, "NA")</f>
      </c>
      <c r="I124" s="21">
        <f>IFERROR(H124/H446, "NA")</f>
      </c>
      <c r="J124" s="8"/>
      <c r="K124" s="20">
        <f>IFERROR(K8+K10+K11+K12+K13+K14+K15+K16+K17+K19+K21+K22+K23+K24+K25+K26+K27+K28+K31+K32+K33+K34+K35+K36+K37+K38+K39+K42+K43+K44+K46+K47+K48+K49+K50+K51+K52+K53+K54+K55+K56+K57+K58+K59+K60+K64+K65+K66+K67+K68+K69+K70+K71+K72+K75+K76+K77+K78+K79+K80+K81+K82+K83+K84+K85+K86+K87+K89+K90+K91+K92+K94+K95+K96+K97+K98+K99+K100+K101+K102+K103+K104+K105+K106+K107+K108+K109+K110+K111+K112+K113+K114+K115+K116+K117+K119+K120+K121+K123, "NA")</f>
      </c>
      <c r="L124" s="21">
        <f>IFERROR(K124/K446, "NA")</f>
      </c>
      <c r="M124" s="8"/>
      <c r="N124" s="20">
        <f>IFERROR(B124-K124, "NA")</f>
      </c>
      <c r="O124" s="21">
        <f>IFERROR(N124/N446, "NA")</f>
      </c>
      <c r="P124" s="8"/>
      <c r="Q124" s="20">
        <f>IFERROR(Q8+Q10+Q11+Q12+Q13+Q14+Q15+Q16+Q17+Q19+Q21+Q22+Q23+Q24+Q25+Q26+Q27+Q28+Q31+Q32+Q33+Q34+Q35+Q36+Q37+Q38+Q39+Q42+Q43+Q44+Q46+Q47+Q48+Q49+Q50+Q51+Q52+Q53+Q54+Q55+Q56+Q57+Q58+Q59+Q60+Q64+Q65+Q66+Q67+Q68+Q69+Q70+Q71+Q72+Q75+Q76+Q77+Q78+Q79+Q80+Q81+Q82+Q83+Q84+Q85+Q86+Q87+Q89+Q90+Q91+Q92+Q94+Q95+Q96+Q97+Q98+Q99+Q100+Q101+Q102+Q103+Q104+Q105+Q106+Q107+Q108+Q109+Q110+Q111+Q112+Q113+Q114+Q115+Q116+Q117+Q119+Q120+Q121+Q123, "NA")</f>
      </c>
      <c r="R124" s="21">
        <f>IFERROR(Q124/Q446, "NA")</f>
      </c>
      <c r="S124" s="8"/>
      <c r="T124" s="20">
        <f>IFERROR(T8+T10+T11+T12+T13+T14+T15+T16+T17+T19+T21+T22+T23+T24+T25+T26+T27+T28+T31+T32+T33+T34+T35+T36+T37+T38+T39+T42+T43+T44+T46+T47+T48+T49+T50+T51+T52+T53+T54+T55+T56+T57+T58+T59+T60+T64+T65+T66+T67+T68+T69+T70+T71+T72+T75+T76+T77+T78+T79+T80+T81+T82+T83+T84+T85+T86+T87+T89+T90+T91+T92+T94+T95+T96+T97+T98+T99+T100+T101+T102+T103+T104+T105+T106+T107+T108+T109+T110+T111+T112+T113+T114+T115+T116+T117+T119+T120+T121+T123, "NA")</f>
      </c>
      <c r="U124" s="21">
        <f>IFERROR(T124/T446, "NA")</f>
      </c>
      <c r="V124" s="8"/>
      <c r="W124" s="20">
        <f>IFERROR(Q124-T124, "NA")</f>
      </c>
      <c r="X124" s="21">
        <f>IFERROR(W124/W446, "NA")</f>
      </c>
      <c r="Y124" s="8"/>
      <c r="Z124" s="20">
        <f>IFERROR(Z8+Z10+Z11+Z12+Z13+Z14+Z15+Z16+Z17+Z19+Z21+Z22+Z23+Z24+Z25+Z26+Z27+Z28+Z31+Z32+Z33+Z34+Z35+Z36+Z37+Z38+Z39+Z42+Z43+Z44+Z46+Z47+Z48+Z49+Z50+Z51+Z52+Z53+Z54+Z55+Z56+Z57+Z58+Z59+Z60+Z64+Z65+Z66+Z67+Z68+Z69+Z70+Z71+Z72+Z75+Z76+Z77+Z78+Z79+Z80+Z81+Z82+Z83+Z84+Z85+Z86+Z87+Z89+Z90+Z91+Z92+Z94+Z95+Z96+Z97+Z98+Z99+Z100+Z101+Z102+Z103+Z104+Z105+Z106+Z107+Z108+Z109+Z110+Z111+Z112+Z113+Z114+Z115+Z116+Z117+Z119+Z120+Z121+Z123, "NA")</f>
      </c>
      <c r="AA124" s="21">
        <f>IFERROR(Z124/Z446, "NA")</f>
      </c>
      <c r="AB124" s="8"/>
      <c r="AC124" s="20">
        <f>IFERROR(Q124-Z124, "NA")</f>
      </c>
      <c r="AD124" s="21">
        <f>IFERROR(AC124/AC446, "NA")</f>
      </c>
    </row>
    <row r="125" ht="16.5" customHeight="1">
      <c t="s" r="A125" s="7">
        <v>119</v>
      </c>
      <c r="B125" s="8"/>
      <c r="C125" s="9"/>
      <c r="D125" s="10"/>
      <c r="E125" s="8"/>
      <c r="F125" s="9"/>
      <c r="G125" s="10"/>
      <c r="H125" s="8"/>
      <c r="I125" s="9"/>
      <c r="J125" s="10"/>
      <c r="K125" s="8"/>
      <c r="L125" s="9"/>
      <c r="M125" s="10"/>
      <c r="N125" s="8"/>
      <c r="O125" s="9"/>
      <c r="P125" s="10"/>
      <c r="Q125" s="8"/>
      <c r="R125" s="9"/>
      <c r="S125" s="10"/>
      <c r="T125" s="8"/>
      <c r="U125" s="9"/>
      <c r="V125" s="10"/>
      <c r="W125" s="8"/>
      <c r="X125" s="9"/>
      <c r="Y125" s="10"/>
      <c r="Z125" s="8"/>
      <c r="AA125" s="9"/>
      <c r="AB125" s="10"/>
      <c r="AC125" s="8"/>
      <c r="AD125" s="9"/>
    </row>
    <row r="126" ht="16.5" customHeight="1">
      <c t="s" r="A126" s="11">
        <v>120</v>
      </c>
      <c r="B126" s="8"/>
      <c r="C126" s="9"/>
      <c r="D126" s="10"/>
      <c r="E126" s="8"/>
      <c r="F126" s="9"/>
      <c r="G126" s="10"/>
      <c r="H126" s="8"/>
      <c r="I126" s="9"/>
      <c r="J126" s="10"/>
      <c r="K126" s="8"/>
      <c r="L126" s="9"/>
      <c r="M126" s="10"/>
      <c r="N126" s="8"/>
      <c r="O126" s="9"/>
      <c r="P126" s="10"/>
      <c r="Q126" s="8"/>
      <c r="R126" s="9"/>
      <c r="S126" s="10"/>
      <c r="T126" s="8"/>
      <c r="U126" s="9"/>
      <c r="V126" s="10"/>
      <c r="W126" s="8"/>
      <c r="X126" s="9"/>
      <c r="Y126" s="10"/>
      <c r="Z126" s="8"/>
      <c r="AA126" s="9"/>
      <c r="AB126" s="10"/>
      <c r="AC126" s="8"/>
      <c r="AD126" s="9"/>
    </row>
    <row r="127" hidden="1" ht="16.5" customHeight="1">
      <c t="s" r="A127" s="12">
        <v>120</v>
      </c>
      <c r="B127" s="13">
        <v>0</v>
      </c>
      <c r="C127" s="14">
        <f>IFERROR(B127/B446, "NA")</f>
      </c>
      <c r="D127" s="15"/>
      <c r="E127" s="13">
        <v>0</v>
      </c>
      <c r="F127" s="14">
        <f>IFERROR(E127/E446, "NA")</f>
      </c>
      <c r="G127" s="15"/>
      <c r="H127" s="16">
        <f>IFERROR(-(B127-E127), "NA")</f>
      </c>
      <c r="I127" s="14">
        <f>IFERROR(H127/H446, "NA")</f>
      </c>
      <c r="J127" s="15"/>
      <c r="K127" s="13">
        <v>0</v>
      </c>
      <c r="L127" s="14">
        <f>IFERROR(K127/K446, "NA")</f>
      </c>
      <c r="M127" s="15"/>
      <c r="N127" s="16">
        <f>IFERROR(-(B127-K127), "NA")</f>
      </c>
      <c r="O127" s="14">
        <f>IFERROR(N127/N446, "NA")</f>
      </c>
      <c r="P127" s="15"/>
      <c r="Q127" s="13">
        <v>0</v>
      </c>
      <c r="R127" s="14">
        <f>IFERROR(Q127/Q446, "NA")</f>
      </c>
      <c r="S127" s="15"/>
      <c r="T127" s="13">
        <v>0</v>
      </c>
      <c r="U127" s="14">
        <f>IFERROR(T127/T446, "NA")</f>
      </c>
      <c r="V127" s="15"/>
      <c r="W127" s="16">
        <f>IFERROR(-(Q127-T127), "NA")</f>
      </c>
      <c r="X127" s="14">
        <f>IFERROR(W127/W446, "NA")</f>
      </c>
      <c r="Y127" s="15"/>
      <c r="Z127" s="13">
        <v>0</v>
      </c>
      <c r="AA127" s="14">
        <f>IFERROR(Z127/Z446, "NA")</f>
      </c>
      <c r="AB127" s="15"/>
      <c r="AC127" s="16">
        <f>IFERROR(-(Q127-Z127), "NA")</f>
      </c>
      <c r="AD127" s="14">
        <f>IFERROR(AC127/AC446, "NA")</f>
      </c>
    </row>
    <row r="128" ht="16.5" customHeight="1">
      <c t="s" r="A128" s="17">
        <v>121</v>
      </c>
      <c r="B128" s="8"/>
      <c r="C128" s="9"/>
      <c r="D128" s="10"/>
      <c r="E128" s="8"/>
      <c r="F128" s="9"/>
      <c r="G128" s="10"/>
      <c r="H128" s="8"/>
      <c r="I128" s="9"/>
      <c r="J128" s="10"/>
      <c r="K128" s="8"/>
      <c r="L128" s="9"/>
      <c r="M128" s="10"/>
      <c r="N128" s="8"/>
      <c r="O128" s="9"/>
      <c r="P128" s="10"/>
      <c r="Q128" s="8"/>
      <c r="R128" s="9"/>
      <c r="S128" s="10"/>
      <c r="T128" s="8"/>
      <c r="U128" s="9"/>
      <c r="V128" s="10"/>
      <c r="W128" s="8"/>
      <c r="X128" s="9"/>
      <c r="Y128" s="10"/>
      <c r="Z128" s="8"/>
      <c r="AA128" s="9"/>
      <c r="AB128" s="10"/>
      <c r="AC128" s="8"/>
      <c r="AD128" s="9"/>
    </row>
    <row r="129" ht="16.5" customHeight="1">
      <c t="s" r="A129" s="18">
        <v>121</v>
      </c>
      <c r="B129" s="13">
        <v>0</v>
      </c>
      <c r="C129" s="14">
        <f>IFERROR(B129/B446, "NA")</f>
      </c>
      <c r="D129" s="15"/>
      <c r="E129" s="13">
        <v>22336.220000000001</v>
      </c>
      <c r="F129" s="14">
        <f>IFERROR(E129/E446, "NA")</f>
      </c>
      <c r="G129" s="15"/>
      <c r="H129" s="16">
        <f>IFERROR(-(B129-E129), "NA")</f>
      </c>
      <c r="I129" s="14">
        <f>IFERROR(H129/H446, "NA")</f>
      </c>
      <c r="J129" s="15"/>
      <c r="K129" s="13">
        <v>0</v>
      </c>
      <c r="L129" s="14">
        <f>IFERROR(K129/K446, "NA")</f>
      </c>
      <c r="M129" s="15"/>
      <c r="N129" s="16">
        <f>IFERROR(-(B129-K129), "NA")</f>
      </c>
      <c r="O129" s="14">
        <f>IFERROR(N129/N446, "NA")</f>
      </c>
      <c r="P129" s="15"/>
      <c r="Q129" s="13">
        <v>0</v>
      </c>
      <c r="R129" s="14">
        <f>IFERROR(Q129/Q446, "NA")</f>
      </c>
      <c r="S129" s="15"/>
      <c r="T129" s="13">
        <v>22336.220000000001</v>
      </c>
      <c r="U129" s="14">
        <f>IFERROR(T129/T446, "NA")</f>
      </c>
      <c r="V129" s="15"/>
      <c r="W129" s="16">
        <f>IFERROR(-(Q129-T129), "NA")</f>
      </c>
      <c r="X129" s="14">
        <f>IFERROR(W129/W446, "NA")</f>
      </c>
      <c r="Y129" s="15"/>
      <c r="Z129" s="13">
        <v>0</v>
      </c>
      <c r="AA129" s="14">
        <f>IFERROR(Z129/Z446, "NA")</f>
      </c>
      <c r="AB129" s="15"/>
      <c r="AC129" s="16">
        <f>IFERROR(-(Q129-Z129), "NA")</f>
      </c>
      <c r="AD129" s="14">
        <f>IFERROR(AC129/AC446, "NA")</f>
      </c>
    </row>
    <row r="130" ht="16.5" customHeight="1">
      <c t="s" r="A130" s="18">
        <v>122</v>
      </c>
      <c r="B130" s="13">
        <v>5105.5</v>
      </c>
      <c r="C130" s="14">
        <f>IFERROR(B130/B446, "NA")</f>
      </c>
      <c r="D130" s="15"/>
      <c r="E130" s="13">
        <v>0</v>
      </c>
      <c r="F130" s="14">
        <f>IFERROR(E130/E446, "NA")</f>
      </c>
      <c r="G130" s="15"/>
      <c r="H130" s="16">
        <f>IFERROR(-(B130-E130), "NA")</f>
      </c>
      <c r="I130" s="14">
        <f>IFERROR(H130/H446, "NA")</f>
      </c>
      <c r="J130" s="15"/>
      <c r="K130" s="13">
        <v>5755.29</v>
      </c>
      <c r="L130" s="14">
        <f>IFERROR(K130/K446, "NA")</f>
      </c>
      <c r="M130" s="15"/>
      <c r="N130" s="16">
        <f>IFERROR(-(B130-K130), "NA")</f>
      </c>
      <c r="O130" s="14">
        <f>IFERROR(N130/N446, "NA")</f>
      </c>
      <c r="P130" s="15"/>
      <c r="Q130" s="13">
        <v>5105.5</v>
      </c>
      <c r="R130" s="14">
        <f>IFERROR(Q130/Q446, "NA")</f>
      </c>
      <c r="S130" s="15"/>
      <c r="T130" s="13">
        <v>0</v>
      </c>
      <c r="U130" s="14">
        <f>IFERROR(T130/T446, "NA")</f>
      </c>
      <c r="V130" s="15"/>
      <c r="W130" s="16">
        <f>IFERROR(-(Q130-T130), "NA")</f>
      </c>
      <c r="X130" s="14">
        <f>IFERROR(W130/W446, "NA")</f>
      </c>
      <c r="Y130" s="15"/>
      <c r="Z130" s="13">
        <v>5755.29</v>
      </c>
      <c r="AA130" s="14">
        <f>IFERROR(Z130/Z446, "NA")</f>
      </c>
      <c r="AB130" s="15"/>
      <c r="AC130" s="16">
        <f>IFERROR(-(Q130-Z130), "NA")</f>
      </c>
      <c r="AD130" s="14">
        <f>IFERROR(AC130/AC446, "NA")</f>
      </c>
    </row>
    <row r="131" ht="16.5" customHeight="1">
      <c t="s" r="A131" s="18">
        <v>123</v>
      </c>
      <c r="B131" s="13">
        <v>2859.8899999999999</v>
      </c>
      <c r="C131" s="14">
        <f>IFERROR(B131/B446, "NA")</f>
      </c>
      <c r="D131" s="15"/>
      <c r="E131" s="13">
        <v>0</v>
      </c>
      <c r="F131" s="14">
        <f>IFERROR(E131/E446, "NA")</f>
      </c>
      <c r="G131" s="15"/>
      <c r="H131" s="16">
        <f>IFERROR(-(B131-E131), "NA")</f>
      </c>
      <c r="I131" s="14">
        <f>IFERROR(H131/H446, "NA")</f>
      </c>
      <c r="J131" s="15"/>
      <c r="K131" s="13">
        <v>2963.0900000000001</v>
      </c>
      <c r="L131" s="14">
        <f>IFERROR(K131/K446, "NA")</f>
      </c>
      <c r="M131" s="15"/>
      <c r="N131" s="16">
        <f>IFERROR(-(B131-K131), "NA")</f>
      </c>
      <c r="O131" s="14">
        <f>IFERROR(N131/N446, "NA")</f>
      </c>
      <c r="P131" s="15"/>
      <c r="Q131" s="13">
        <v>2859.8899999999999</v>
      </c>
      <c r="R131" s="14">
        <f>IFERROR(Q131/Q446, "NA")</f>
      </c>
      <c r="S131" s="15"/>
      <c r="T131" s="13">
        <v>0</v>
      </c>
      <c r="U131" s="14">
        <f>IFERROR(T131/T446, "NA")</f>
      </c>
      <c r="V131" s="15"/>
      <c r="W131" s="16">
        <f>IFERROR(-(Q131-T131), "NA")</f>
      </c>
      <c r="X131" s="14">
        <f>IFERROR(W131/W446, "NA")</f>
      </c>
      <c r="Y131" s="15"/>
      <c r="Z131" s="13">
        <v>2963.0900000000001</v>
      </c>
      <c r="AA131" s="14">
        <f>IFERROR(Z131/Z446, "NA")</f>
      </c>
      <c r="AB131" s="15"/>
      <c r="AC131" s="16">
        <f>IFERROR(-(Q131-Z131), "NA")</f>
      </c>
      <c r="AD131" s="14">
        <f>IFERROR(AC131/AC446, "NA")</f>
      </c>
    </row>
    <row r="132" ht="16.5" customHeight="1">
      <c t="s" r="A132" s="18">
        <v>124</v>
      </c>
      <c r="B132" s="13">
        <v>2832.6700000000001</v>
      </c>
      <c r="C132" s="14">
        <f>IFERROR(B132/B446, "NA")</f>
      </c>
      <c r="D132" s="15"/>
      <c r="E132" s="13">
        <v>0</v>
      </c>
      <c r="F132" s="14">
        <f>IFERROR(E132/E446, "NA")</f>
      </c>
      <c r="G132" s="15"/>
      <c r="H132" s="16">
        <f>IFERROR(-(B132-E132), "NA")</f>
      </c>
      <c r="I132" s="14">
        <f>IFERROR(H132/H446, "NA")</f>
      </c>
      <c r="J132" s="15"/>
      <c r="K132" s="13">
        <v>3674.6599999999999</v>
      </c>
      <c r="L132" s="14">
        <f>IFERROR(K132/K446, "NA")</f>
      </c>
      <c r="M132" s="15"/>
      <c r="N132" s="16">
        <f>IFERROR(-(B132-K132), "NA")</f>
      </c>
      <c r="O132" s="14">
        <f>IFERROR(N132/N446, "NA")</f>
      </c>
      <c r="P132" s="15"/>
      <c r="Q132" s="13">
        <v>2832.6700000000001</v>
      </c>
      <c r="R132" s="14">
        <f>IFERROR(Q132/Q446, "NA")</f>
      </c>
      <c r="S132" s="15"/>
      <c r="T132" s="13">
        <v>0</v>
      </c>
      <c r="U132" s="14">
        <f>IFERROR(T132/T446, "NA")</f>
      </c>
      <c r="V132" s="15"/>
      <c r="W132" s="16">
        <f>IFERROR(-(Q132-T132), "NA")</f>
      </c>
      <c r="X132" s="14">
        <f>IFERROR(W132/W446, "NA")</f>
      </c>
      <c r="Y132" s="15"/>
      <c r="Z132" s="13">
        <v>3674.6599999999999</v>
      </c>
      <c r="AA132" s="14">
        <f>IFERROR(Z132/Z446, "NA")</f>
      </c>
      <c r="AB132" s="15"/>
      <c r="AC132" s="16">
        <f>IFERROR(-(Q132-Z132), "NA")</f>
      </c>
      <c r="AD132" s="14">
        <f>IFERROR(AC132/AC446, "NA")</f>
      </c>
    </row>
    <row r="133" ht="16.5" customHeight="1">
      <c t="s" r="A133" s="18">
        <v>125</v>
      </c>
      <c r="B133" s="13">
        <v>2268.6199999999999</v>
      </c>
      <c r="C133" s="14">
        <f>IFERROR(B133/B446, "NA")</f>
      </c>
      <c r="D133" s="15"/>
      <c r="E133" s="13">
        <v>0</v>
      </c>
      <c r="F133" s="14">
        <f>IFERROR(E133/E446, "NA")</f>
      </c>
      <c r="G133" s="15"/>
      <c r="H133" s="16">
        <f>IFERROR(-(B133-E133), "NA")</f>
      </c>
      <c r="I133" s="14">
        <f>IFERROR(H133/H446, "NA")</f>
      </c>
      <c r="J133" s="15"/>
      <c r="K133" s="13">
        <v>2372</v>
      </c>
      <c r="L133" s="14">
        <f>IFERROR(K133/K446, "NA")</f>
      </c>
      <c r="M133" s="15"/>
      <c r="N133" s="16">
        <f>IFERROR(-(B133-K133), "NA")</f>
      </c>
      <c r="O133" s="14">
        <f>IFERROR(N133/N446, "NA")</f>
      </c>
      <c r="P133" s="15"/>
      <c r="Q133" s="13">
        <v>2268.6199999999999</v>
      </c>
      <c r="R133" s="14">
        <f>IFERROR(Q133/Q446, "NA")</f>
      </c>
      <c r="S133" s="15"/>
      <c r="T133" s="13">
        <v>0</v>
      </c>
      <c r="U133" s="14">
        <f>IFERROR(T133/T446, "NA")</f>
      </c>
      <c r="V133" s="15"/>
      <c r="W133" s="16">
        <f>IFERROR(-(Q133-T133), "NA")</f>
      </c>
      <c r="X133" s="14">
        <f>IFERROR(W133/W446, "NA")</f>
      </c>
      <c r="Y133" s="15"/>
      <c r="Z133" s="13">
        <v>2372</v>
      </c>
      <c r="AA133" s="14">
        <f>IFERROR(Z133/Z446, "NA")</f>
      </c>
      <c r="AB133" s="15"/>
      <c r="AC133" s="16">
        <f>IFERROR(-(Q133-Z133), "NA")</f>
      </c>
      <c r="AD133" s="14">
        <f>IFERROR(AC133/AC446, "NA")</f>
      </c>
    </row>
    <row r="134" ht="16.5" customHeight="1">
      <c t="s" r="A134" s="18">
        <v>126</v>
      </c>
      <c r="B134" s="13">
        <v>1255.78</v>
      </c>
      <c r="C134" s="14">
        <f>IFERROR(B134/B446, "NA")</f>
      </c>
      <c r="D134" s="15"/>
      <c r="E134" s="13">
        <v>0</v>
      </c>
      <c r="F134" s="14">
        <f>IFERROR(E134/E446, "NA")</f>
      </c>
      <c r="G134" s="15"/>
      <c r="H134" s="16">
        <f>IFERROR(-(B134-E134), "NA")</f>
      </c>
      <c r="I134" s="14">
        <f>IFERROR(H134/H446, "NA")</f>
      </c>
      <c r="J134" s="15"/>
      <c r="K134" s="13">
        <v>926.46000000000004</v>
      </c>
      <c r="L134" s="14">
        <f>IFERROR(K134/K446, "NA")</f>
      </c>
      <c r="M134" s="15"/>
      <c r="N134" s="16">
        <f>IFERROR(-(B134-K134), "NA")</f>
      </c>
      <c r="O134" s="14">
        <f>IFERROR(N134/N446, "NA")</f>
      </c>
      <c r="P134" s="15"/>
      <c r="Q134" s="13">
        <v>1255.78</v>
      </c>
      <c r="R134" s="14">
        <f>IFERROR(Q134/Q446, "NA")</f>
      </c>
      <c r="S134" s="15"/>
      <c r="T134" s="13">
        <v>0</v>
      </c>
      <c r="U134" s="14">
        <f>IFERROR(T134/T446, "NA")</f>
      </c>
      <c r="V134" s="15"/>
      <c r="W134" s="16">
        <f>IFERROR(-(Q134-T134), "NA")</f>
      </c>
      <c r="X134" s="14">
        <f>IFERROR(W134/W446, "NA")</f>
      </c>
      <c r="Y134" s="15"/>
      <c r="Z134" s="13">
        <v>926.46000000000004</v>
      </c>
      <c r="AA134" s="14">
        <f>IFERROR(Z134/Z446, "NA")</f>
      </c>
      <c r="AB134" s="15"/>
      <c r="AC134" s="16">
        <f>IFERROR(-(Q134-Z134), "NA")</f>
      </c>
      <c r="AD134" s="14">
        <f>IFERROR(AC134/AC446, "NA")</f>
      </c>
    </row>
    <row r="135" ht="16.5" customHeight="1">
      <c t="s" r="A135" s="18">
        <v>127</v>
      </c>
      <c r="B135" s="13">
        <v>712.88</v>
      </c>
      <c r="C135" s="14">
        <f>IFERROR(B135/B446, "NA")</f>
      </c>
      <c r="D135" s="15"/>
      <c r="E135" s="13">
        <v>0</v>
      </c>
      <c r="F135" s="14">
        <f>IFERROR(E135/E446, "NA")</f>
      </c>
      <c r="G135" s="15"/>
      <c r="H135" s="16">
        <f>IFERROR(-(B135-E135), "NA")</f>
      </c>
      <c r="I135" s="14">
        <f>IFERROR(H135/H446, "NA")</f>
      </c>
      <c r="J135" s="15"/>
      <c r="K135" s="13">
        <v>797.10000000000002</v>
      </c>
      <c r="L135" s="14">
        <f>IFERROR(K135/K446, "NA")</f>
      </c>
      <c r="M135" s="15"/>
      <c r="N135" s="16">
        <f>IFERROR(-(B135-K135), "NA")</f>
      </c>
      <c r="O135" s="14">
        <f>IFERROR(N135/N446, "NA")</f>
      </c>
      <c r="P135" s="15"/>
      <c r="Q135" s="13">
        <v>712.88</v>
      </c>
      <c r="R135" s="14">
        <f>IFERROR(Q135/Q446, "NA")</f>
      </c>
      <c r="S135" s="15"/>
      <c r="T135" s="13">
        <v>0</v>
      </c>
      <c r="U135" s="14">
        <f>IFERROR(T135/T446, "NA")</f>
      </c>
      <c r="V135" s="15"/>
      <c r="W135" s="16">
        <f>IFERROR(-(Q135-T135), "NA")</f>
      </c>
      <c r="X135" s="14">
        <f>IFERROR(W135/W446, "NA")</f>
      </c>
      <c r="Y135" s="15"/>
      <c r="Z135" s="13">
        <v>797.10000000000002</v>
      </c>
      <c r="AA135" s="14">
        <f>IFERROR(Z135/Z446, "NA")</f>
      </c>
      <c r="AB135" s="15"/>
      <c r="AC135" s="16">
        <f>IFERROR(-(Q135-Z135), "NA")</f>
      </c>
      <c r="AD135" s="14">
        <f>IFERROR(AC135/AC446, "NA")</f>
      </c>
    </row>
    <row r="136" ht="16.5" customHeight="1">
      <c t="s" r="A136" s="18">
        <v>128</v>
      </c>
      <c r="B136" s="13">
        <v>0</v>
      </c>
      <c r="C136" s="14">
        <f>IFERROR(B136/B446, "NA")</f>
      </c>
      <c r="D136" s="15"/>
      <c r="E136" s="13">
        <v>0</v>
      </c>
      <c r="F136" s="14">
        <f>IFERROR(E136/E446, "NA")</f>
      </c>
      <c r="G136" s="15"/>
      <c r="H136" s="16">
        <f>IFERROR(-(B136-E136), "NA")</f>
      </c>
      <c r="I136" s="14">
        <f>IFERROR(H136/H446, "NA")</f>
      </c>
      <c r="J136" s="15"/>
      <c r="K136" s="13">
        <v>739.08000000000004</v>
      </c>
      <c r="L136" s="14">
        <f>IFERROR(K136/K446, "NA")</f>
      </c>
      <c r="M136" s="15"/>
      <c r="N136" s="16">
        <f>IFERROR(-(B136-K136), "NA")</f>
      </c>
      <c r="O136" s="14">
        <f>IFERROR(N136/N446, "NA")</f>
      </c>
      <c r="P136" s="15"/>
      <c r="Q136" s="13">
        <v>0</v>
      </c>
      <c r="R136" s="14">
        <f>IFERROR(Q136/Q446, "NA")</f>
      </c>
      <c r="S136" s="15"/>
      <c r="T136" s="13">
        <v>0</v>
      </c>
      <c r="U136" s="14">
        <f>IFERROR(T136/T446, "NA")</f>
      </c>
      <c r="V136" s="15"/>
      <c r="W136" s="16">
        <f>IFERROR(-(Q136-T136), "NA")</f>
      </c>
      <c r="X136" s="14">
        <f>IFERROR(W136/W446, "NA")</f>
      </c>
      <c r="Y136" s="15"/>
      <c r="Z136" s="13">
        <v>739.08000000000004</v>
      </c>
      <c r="AA136" s="14">
        <f>IFERROR(Z136/Z446, "NA")</f>
      </c>
      <c r="AB136" s="15"/>
      <c r="AC136" s="16">
        <f>IFERROR(-(Q136-Z136), "NA")</f>
      </c>
      <c r="AD136" s="14">
        <f>IFERROR(AC136/AC446, "NA")</f>
      </c>
    </row>
    <row r="137" ht="16.5" customHeight="1">
      <c t="s" r="A137" s="18">
        <v>129</v>
      </c>
      <c r="B137" s="13">
        <v>579.28999999999996</v>
      </c>
      <c r="C137" s="14">
        <f>IFERROR(B137/B446, "NA")</f>
      </c>
      <c r="D137" s="15"/>
      <c r="E137" s="13">
        <v>0</v>
      </c>
      <c r="F137" s="14">
        <f>IFERROR(E137/E446, "NA")</f>
      </c>
      <c r="G137" s="15"/>
      <c r="H137" s="16">
        <f>IFERROR(-(B137-E137), "NA")</f>
      </c>
      <c r="I137" s="14">
        <f>IFERROR(H137/H446, "NA")</f>
      </c>
      <c r="J137" s="15"/>
      <c r="K137" s="13">
        <v>533.97000000000003</v>
      </c>
      <c r="L137" s="14">
        <f>IFERROR(K137/K446, "NA")</f>
      </c>
      <c r="M137" s="15"/>
      <c r="N137" s="16">
        <f>IFERROR(-(B137-K137), "NA")</f>
      </c>
      <c r="O137" s="14">
        <f>IFERROR(N137/N446, "NA")</f>
      </c>
      <c r="P137" s="15"/>
      <c r="Q137" s="13">
        <v>579.28999999999996</v>
      </c>
      <c r="R137" s="14">
        <f>IFERROR(Q137/Q446, "NA")</f>
      </c>
      <c r="S137" s="15"/>
      <c r="T137" s="13">
        <v>0</v>
      </c>
      <c r="U137" s="14">
        <f>IFERROR(T137/T446, "NA")</f>
      </c>
      <c r="V137" s="15"/>
      <c r="W137" s="16">
        <f>IFERROR(-(Q137-T137), "NA")</f>
      </c>
      <c r="X137" s="14">
        <f>IFERROR(W137/W446, "NA")</f>
      </c>
      <c r="Y137" s="15"/>
      <c r="Z137" s="13">
        <v>533.97000000000003</v>
      </c>
      <c r="AA137" s="14">
        <f>IFERROR(Z137/Z446, "NA")</f>
      </c>
      <c r="AB137" s="15"/>
      <c r="AC137" s="16">
        <f>IFERROR(-(Q137-Z137), "NA")</f>
      </c>
      <c r="AD137" s="14">
        <f>IFERROR(AC137/AC446, "NA")</f>
      </c>
    </row>
    <row r="138" ht="16.5" customHeight="1">
      <c t="s" r="A138" s="18">
        <v>130</v>
      </c>
      <c r="B138" s="13">
        <v>7287.7600000000002</v>
      </c>
      <c r="C138" s="14">
        <f>IFERROR(B138/B446, "NA")</f>
      </c>
      <c r="D138" s="15"/>
      <c r="E138" s="13">
        <v>0</v>
      </c>
      <c r="F138" s="14">
        <f>IFERROR(E138/E446, "NA")</f>
      </c>
      <c r="G138" s="15"/>
      <c r="H138" s="16">
        <f>IFERROR(-(B138-E138), "NA")</f>
      </c>
      <c r="I138" s="14">
        <f>IFERROR(H138/H446, "NA")</f>
      </c>
      <c r="J138" s="15"/>
      <c r="K138" s="13">
        <v>5136.96</v>
      </c>
      <c r="L138" s="14">
        <f>IFERROR(K138/K446, "NA")</f>
      </c>
      <c r="M138" s="15"/>
      <c r="N138" s="16">
        <f>IFERROR(-(B138-K138), "NA")</f>
      </c>
      <c r="O138" s="14">
        <f>IFERROR(N138/N446, "NA")</f>
      </c>
      <c r="P138" s="15"/>
      <c r="Q138" s="13">
        <v>7287.7600000000002</v>
      </c>
      <c r="R138" s="14">
        <f>IFERROR(Q138/Q446, "NA")</f>
      </c>
      <c r="S138" s="15"/>
      <c r="T138" s="13">
        <v>0</v>
      </c>
      <c r="U138" s="14">
        <f>IFERROR(T138/T446, "NA")</f>
      </c>
      <c r="V138" s="15"/>
      <c r="W138" s="16">
        <f>IFERROR(-(Q138-T138), "NA")</f>
      </c>
      <c r="X138" s="14">
        <f>IFERROR(W138/W446, "NA")</f>
      </c>
      <c r="Y138" s="15"/>
      <c r="Z138" s="13">
        <v>5136.96</v>
      </c>
      <c r="AA138" s="14">
        <f>IFERROR(Z138/Z446, "NA")</f>
      </c>
      <c r="AB138" s="15"/>
      <c r="AC138" s="16">
        <f>IFERROR(-(Q138-Z138), "NA")</f>
      </c>
      <c r="AD138" s="14">
        <f>IFERROR(AC138/AC446, "NA")</f>
      </c>
    </row>
    <row r="139" hidden="1" ht="16.5" customHeight="1">
      <c t="s" r="A139" s="18">
        <v>131</v>
      </c>
      <c r="B139" s="13">
        <v>0</v>
      </c>
      <c r="C139" s="14">
        <f>IFERROR(B139/B446, "NA")</f>
      </c>
      <c r="D139" s="15"/>
      <c r="E139" s="13">
        <v>0</v>
      </c>
      <c r="F139" s="14">
        <f>IFERROR(E139/E446, "NA")</f>
      </c>
      <c r="G139" s="15"/>
      <c r="H139" s="16">
        <f>IFERROR(-(B139-E139), "NA")</f>
      </c>
      <c r="I139" s="14">
        <f>IFERROR(H139/H446, "NA")</f>
      </c>
      <c r="J139" s="15"/>
      <c r="K139" s="13">
        <v>0</v>
      </c>
      <c r="L139" s="14">
        <f>IFERROR(K139/K446, "NA")</f>
      </c>
      <c r="M139" s="15"/>
      <c r="N139" s="16">
        <f>IFERROR(-(B139-K139), "NA")</f>
      </c>
      <c r="O139" s="14">
        <f>IFERROR(N139/N446, "NA")</f>
      </c>
      <c r="P139" s="15"/>
      <c r="Q139" s="13">
        <v>0</v>
      </c>
      <c r="R139" s="14">
        <f>IFERROR(Q139/Q446, "NA")</f>
      </c>
      <c r="S139" s="15"/>
      <c r="T139" s="13">
        <v>0</v>
      </c>
      <c r="U139" s="14">
        <f>IFERROR(T139/T446, "NA")</f>
      </c>
      <c r="V139" s="15"/>
      <c r="W139" s="16">
        <f>IFERROR(-(Q139-T139), "NA")</f>
      </c>
      <c r="X139" s="14">
        <f>IFERROR(W139/W446, "NA")</f>
      </c>
      <c r="Y139" s="15"/>
      <c r="Z139" s="13">
        <v>0</v>
      </c>
      <c r="AA139" s="14">
        <f>IFERROR(Z139/Z446, "NA")</f>
      </c>
      <c r="AB139" s="15"/>
      <c r="AC139" s="16">
        <f>IFERROR(-(Q139-Z139), "NA")</f>
      </c>
      <c r="AD139" s="14">
        <f>IFERROR(AC139/AC446, "NA")</f>
      </c>
    </row>
    <row r="140" hidden="1" ht="16.5" customHeight="1">
      <c t="s" r="A140" s="18">
        <v>132</v>
      </c>
      <c r="B140" s="13">
        <v>0</v>
      </c>
      <c r="C140" s="14">
        <f>IFERROR(B140/B446, "NA")</f>
      </c>
      <c r="D140" s="15"/>
      <c r="E140" s="13">
        <v>0</v>
      </c>
      <c r="F140" s="14">
        <f>IFERROR(E140/E446, "NA")</f>
      </c>
      <c r="G140" s="15"/>
      <c r="H140" s="16">
        <f>IFERROR(-(B140-E140), "NA")</f>
      </c>
      <c r="I140" s="14">
        <f>IFERROR(H140/H446, "NA")</f>
      </c>
      <c r="J140" s="15"/>
      <c r="K140" s="13">
        <v>0</v>
      </c>
      <c r="L140" s="14">
        <f>IFERROR(K140/K446, "NA")</f>
      </c>
      <c r="M140" s="15"/>
      <c r="N140" s="16">
        <f>IFERROR(-(B140-K140), "NA")</f>
      </c>
      <c r="O140" s="14">
        <f>IFERROR(N140/N446, "NA")</f>
      </c>
      <c r="P140" s="15"/>
      <c r="Q140" s="13">
        <v>0</v>
      </c>
      <c r="R140" s="14">
        <f>IFERROR(Q140/Q446, "NA")</f>
      </c>
      <c r="S140" s="15"/>
      <c r="T140" s="13">
        <v>0</v>
      </c>
      <c r="U140" s="14">
        <f>IFERROR(T140/T446, "NA")</f>
      </c>
      <c r="V140" s="15"/>
      <c r="W140" s="16">
        <f>IFERROR(-(Q140-T140), "NA")</f>
      </c>
      <c r="X140" s="14">
        <f>IFERROR(W140/W446, "NA")</f>
      </c>
      <c r="Y140" s="15"/>
      <c r="Z140" s="13">
        <v>0</v>
      </c>
      <c r="AA140" s="14">
        <f>IFERROR(Z140/Z446, "NA")</f>
      </c>
      <c r="AB140" s="15"/>
      <c r="AC140" s="16">
        <f>IFERROR(-(Q140-Z140), "NA")</f>
      </c>
      <c r="AD140" s="14">
        <f>IFERROR(AC140/AC446, "NA")</f>
      </c>
    </row>
    <row r="141" ht="16.5" customHeight="1">
      <c t="s" r="A141" s="19">
        <v>133</v>
      </c>
      <c r="B141" s="20">
        <f>IFERROR(B129+B130+B131+B132+B133+B134+B135+B136+B137+B138+B139+B140, "NA")</f>
      </c>
      <c r="C141" s="21">
        <f>IFERROR(B141/B446, "NA")</f>
      </c>
      <c r="D141" s="8"/>
      <c r="E141" s="20">
        <f>IFERROR(E129+E130+E131+E132+E133+E134+E135+E136+E137+E138+E139+E140, "NA")</f>
      </c>
      <c r="F141" s="21">
        <f>IFERROR(E141/E446, "NA")</f>
      </c>
      <c r="G141" s="8"/>
      <c r="H141" s="20">
        <f>IFERROR(-(B141-E141), "NA")</f>
      </c>
      <c r="I141" s="21">
        <f>IFERROR(H141/H446, "NA")</f>
      </c>
      <c r="J141" s="8"/>
      <c r="K141" s="20">
        <f>IFERROR(K129+K130+K131+K132+K133+K134+K135+K136+K137+K138+K139+K140, "NA")</f>
      </c>
      <c r="L141" s="21">
        <f>IFERROR(K141/K446, "NA")</f>
      </c>
      <c r="M141" s="8"/>
      <c r="N141" s="20">
        <f>IFERROR(-(B141-K141), "NA")</f>
      </c>
      <c r="O141" s="21">
        <f>IFERROR(N141/N446, "NA")</f>
      </c>
      <c r="P141" s="8"/>
      <c r="Q141" s="20">
        <f>IFERROR(Q129+Q130+Q131+Q132+Q133+Q134+Q135+Q136+Q137+Q138+Q139+Q140, "NA")</f>
      </c>
      <c r="R141" s="21">
        <f>IFERROR(Q141/Q446, "NA")</f>
      </c>
      <c r="S141" s="8"/>
      <c r="T141" s="20">
        <f>IFERROR(T129+T130+T131+T132+T133+T134+T135+T136+T137+T138+T139+T140, "NA")</f>
      </c>
      <c r="U141" s="21">
        <f>IFERROR(T141/T446, "NA")</f>
      </c>
      <c r="V141" s="8"/>
      <c r="W141" s="20">
        <f>IFERROR(-(Q141-T141), "NA")</f>
      </c>
      <c r="X141" s="21">
        <f>IFERROR(W141/W446, "NA")</f>
      </c>
      <c r="Y141" s="8"/>
      <c r="Z141" s="20">
        <f>IFERROR(Z129+Z130+Z131+Z132+Z133+Z134+Z135+Z136+Z137+Z138+Z139+Z140, "NA")</f>
      </c>
      <c r="AA141" s="21">
        <f>IFERROR(Z141/Z446, "NA")</f>
      </c>
      <c r="AB141" s="8"/>
      <c r="AC141" s="20">
        <f>IFERROR(-(Q141-Z141), "NA")</f>
      </c>
      <c r="AD141" s="21">
        <f>IFERROR(AC141/AC446, "NA")</f>
      </c>
    </row>
    <row r="142" ht="16.5" customHeight="1">
      <c t="s" r="A142" s="17">
        <v>134</v>
      </c>
      <c r="B142" s="8"/>
      <c r="C142" s="9"/>
      <c r="D142" s="10"/>
      <c r="E142" s="8"/>
      <c r="F142" s="9"/>
      <c r="G142" s="10"/>
      <c r="H142" s="8"/>
      <c r="I142" s="9"/>
      <c r="J142" s="10"/>
      <c r="K142" s="8"/>
      <c r="L142" s="9"/>
      <c r="M142" s="10"/>
      <c r="N142" s="8"/>
      <c r="O142" s="9"/>
      <c r="P142" s="10"/>
      <c r="Q142" s="8"/>
      <c r="R142" s="9"/>
      <c r="S142" s="10"/>
      <c r="T142" s="8"/>
      <c r="U142" s="9"/>
      <c r="V142" s="10"/>
      <c r="W142" s="8"/>
      <c r="X142" s="9"/>
      <c r="Y142" s="10"/>
      <c r="Z142" s="8"/>
      <c r="AA142" s="9"/>
      <c r="AB142" s="10"/>
      <c r="AC142" s="8"/>
      <c r="AD142" s="9"/>
    </row>
    <row r="143" ht="16.5" customHeight="1">
      <c t="s" r="A143" s="18">
        <v>134</v>
      </c>
      <c r="B143" s="13">
        <v>0</v>
      </c>
      <c r="C143" s="14">
        <f>IFERROR(B143/B446, "NA")</f>
      </c>
      <c r="D143" s="15"/>
      <c r="E143" s="13">
        <v>1068.25</v>
      </c>
      <c r="F143" s="14">
        <f>IFERROR(E143/E446, "NA")</f>
      </c>
      <c r="G143" s="15"/>
      <c r="H143" s="16">
        <f>IFERROR(-(B143-E143), "NA")</f>
      </c>
      <c r="I143" s="14">
        <f>IFERROR(H143/H446, "NA")</f>
      </c>
      <c r="J143" s="15"/>
      <c r="K143" s="13">
        <v>0</v>
      </c>
      <c r="L143" s="14">
        <f>IFERROR(K143/K446, "NA")</f>
      </c>
      <c r="M143" s="15"/>
      <c r="N143" s="16">
        <f>IFERROR(-(B143-K143), "NA")</f>
      </c>
      <c r="O143" s="14">
        <f>IFERROR(N143/N446, "NA")</f>
      </c>
      <c r="P143" s="15"/>
      <c r="Q143" s="13">
        <v>0</v>
      </c>
      <c r="R143" s="14">
        <f>IFERROR(Q143/Q446, "NA")</f>
      </c>
      <c r="S143" s="15"/>
      <c r="T143" s="13">
        <v>1068.25</v>
      </c>
      <c r="U143" s="14">
        <f>IFERROR(T143/T446, "NA")</f>
      </c>
      <c r="V143" s="15"/>
      <c r="W143" s="16">
        <f>IFERROR(-(Q143-T143), "NA")</f>
      </c>
      <c r="X143" s="14">
        <f>IFERROR(W143/W446, "NA")</f>
      </c>
      <c r="Y143" s="15"/>
      <c r="Z143" s="13">
        <v>0</v>
      </c>
      <c r="AA143" s="14">
        <f>IFERROR(Z143/Z446, "NA")</f>
      </c>
      <c r="AB143" s="15"/>
      <c r="AC143" s="16">
        <f>IFERROR(-(Q143-Z143), "NA")</f>
      </c>
      <c r="AD143" s="14">
        <f>IFERROR(AC143/AC446, "NA")</f>
      </c>
    </row>
    <row r="144" ht="16.5" customHeight="1">
      <c t="s" r="A144" s="18">
        <v>135</v>
      </c>
      <c r="B144" s="13">
        <v>1134.3599999999999</v>
      </c>
      <c r="C144" s="14">
        <f>IFERROR(B144/B446, "NA")</f>
      </c>
      <c r="D144" s="15"/>
      <c r="E144" s="13">
        <v>0</v>
      </c>
      <c r="F144" s="14">
        <f>IFERROR(E144/E446, "NA")</f>
      </c>
      <c r="G144" s="15"/>
      <c r="H144" s="16">
        <f>IFERROR(-(B144-E144), "NA")</f>
      </c>
      <c r="I144" s="14">
        <f>IFERROR(H144/H446, "NA")</f>
      </c>
      <c r="J144" s="15"/>
      <c r="K144" s="13">
        <v>984.86000000000001</v>
      </c>
      <c r="L144" s="14">
        <f>IFERROR(K144/K446, "NA")</f>
      </c>
      <c r="M144" s="15"/>
      <c r="N144" s="16">
        <f>IFERROR(-(B144-K144), "NA")</f>
      </c>
      <c r="O144" s="14">
        <f>IFERROR(N144/N446, "NA")</f>
      </c>
      <c r="P144" s="15"/>
      <c r="Q144" s="13">
        <v>1134.3599999999999</v>
      </c>
      <c r="R144" s="14">
        <f>IFERROR(Q144/Q446, "NA")</f>
      </c>
      <c r="S144" s="15"/>
      <c r="T144" s="13">
        <v>0</v>
      </c>
      <c r="U144" s="14">
        <f>IFERROR(T144/T446, "NA")</f>
      </c>
      <c r="V144" s="15"/>
      <c r="W144" s="16">
        <f>IFERROR(-(Q144-T144), "NA")</f>
      </c>
      <c r="X144" s="14">
        <f>IFERROR(W144/W446, "NA")</f>
      </c>
      <c r="Y144" s="15"/>
      <c r="Z144" s="13">
        <v>984.86000000000001</v>
      </c>
      <c r="AA144" s="14">
        <f>IFERROR(Z144/Z446, "NA")</f>
      </c>
      <c r="AB144" s="15"/>
      <c r="AC144" s="16">
        <f>IFERROR(-(Q144-Z144), "NA")</f>
      </c>
      <c r="AD144" s="14">
        <f>IFERROR(AC144/AC446, "NA")</f>
      </c>
    </row>
    <row r="145" ht="16.5" customHeight="1">
      <c t="s" r="A145" s="18">
        <v>136</v>
      </c>
      <c r="B145" s="13">
        <v>36.109999999999999</v>
      </c>
      <c r="C145" s="14">
        <f>IFERROR(B145/B446, "NA")</f>
      </c>
      <c r="D145" s="15"/>
      <c r="E145" s="13">
        <v>0</v>
      </c>
      <c r="F145" s="14">
        <f>IFERROR(E145/E446, "NA")</f>
      </c>
      <c r="G145" s="15"/>
      <c r="H145" s="16">
        <f>IFERROR(-(B145-E145), "NA")</f>
      </c>
      <c r="I145" s="14">
        <f>IFERROR(H145/H446, "NA")</f>
      </c>
      <c r="J145" s="15"/>
      <c r="K145" s="13">
        <v>21.559999999999999</v>
      </c>
      <c r="L145" s="14">
        <f>IFERROR(K145/K446, "NA")</f>
      </c>
      <c r="M145" s="15"/>
      <c r="N145" s="16">
        <f>IFERROR(-(B145-K145), "NA")</f>
      </c>
      <c r="O145" s="14">
        <f>IFERROR(N145/N446, "NA")</f>
      </c>
      <c r="P145" s="15"/>
      <c r="Q145" s="13">
        <v>36.109999999999999</v>
      </c>
      <c r="R145" s="14">
        <f>IFERROR(Q145/Q446, "NA")</f>
      </c>
      <c r="S145" s="15"/>
      <c r="T145" s="13">
        <v>0</v>
      </c>
      <c r="U145" s="14">
        <f>IFERROR(T145/T446, "NA")</f>
      </c>
      <c r="V145" s="15"/>
      <c r="W145" s="16">
        <f>IFERROR(-(Q145-T145), "NA")</f>
      </c>
      <c r="X145" s="14">
        <f>IFERROR(W145/W446, "NA")</f>
      </c>
      <c r="Y145" s="15"/>
      <c r="Z145" s="13">
        <v>21.559999999999999</v>
      </c>
      <c r="AA145" s="14">
        <f>IFERROR(Z145/Z446, "NA")</f>
      </c>
      <c r="AB145" s="15"/>
      <c r="AC145" s="16">
        <f>IFERROR(-(Q145-Z145), "NA")</f>
      </c>
      <c r="AD145" s="14">
        <f>IFERROR(AC145/AC446, "NA")</f>
      </c>
    </row>
    <row r="146" ht="16.5" customHeight="1">
      <c t="s" r="A146" s="18">
        <v>137</v>
      </c>
      <c r="B146" s="13">
        <v>0</v>
      </c>
      <c r="C146" s="14">
        <f>IFERROR(B146/B446, "NA")</f>
      </c>
      <c r="D146" s="15"/>
      <c r="E146" s="13">
        <v>0</v>
      </c>
      <c r="F146" s="14">
        <f>IFERROR(E146/E446, "NA")</f>
      </c>
      <c r="G146" s="15"/>
      <c r="H146" s="16">
        <f>IFERROR(-(B146-E146), "NA")</f>
      </c>
      <c r="I146" s="14">
        <f>IFERROR(H146/H446, "NA")</f>
      </c>
      <c r="J146" s="15"/>
      <c r="K146" s="13">
        <v>57.990000000000002</v>
      </c>
      <c r="L146" s="14">
        <f>IFERROR(K146/K446, "NA")</f>
      </c>
      <c r="M146" s="15"/>
      <c r="N146" s="16">
        <f>IFERROR(-(B146-K146), "NA")</f>
      </c>
      <c r="O146" s="14">
        <f>IFERROR(N146/N446, "NA")</f>
      </c>
      <c r="P146" s="15"/>
      <c r="Q146" s="13">
        <v>0</v>
      </c>
      <c r="R146" s="14">
        <f>IFERROR(Q146/Q446, "NA")</f>
      </c>
      <c r="S146" s="15"/>
      <c r="T146" s="13">
        <v>0</v>
      </c>
      <c r="U146" s="14">
        <f>IFERROR(T146/T446, "NA")</f>
      </c>
      <c r="V146" s="15"/>
      <c r="W146" s="16">
        <f>IFERROR(-(Q146-T146), "NA")</f>
      </c>
      <c r="X146" s="14">
        <f>IFERROR(W146/W446, "NA")</f>
      </c>
      <c r="Y146" s="15"/>
      <c r="Z146" s="13">
        <v>57.990000000000002</v>
      </c>
      <c r="AA146" s="14">
        <f>IFERROR(Z146/Z446, "NA")</f>
      </c>
      <c r="AB146" s="15"/>
      <c r="AC146" s="16">
        <f>IFERROR(-(Q146-Z146), "NA")</f>
      </c>
      <c r="AD146" s="14">
        <f>IFERROR(AC146/AC446, "NA")</f>
      </c>
    </row>
    <row r="147" ht="16.5" customHeight="1">
      <c t="s" r="A147" s="18">
        <v>138</v>
      </c>
      <c r="B147" s="13">
        <v>11.59</v>
      </c>
      <c r="C147" s="14">
        <f>IFERROR(B147/B446, "NA")</f>
      </c>
      <c r="D147" s="15"/>
      <c r="E147" s="13">
        <v>0</v>
      </c>
      <c r="F147" s="14">
        <f>IFERROR(E147/E446, "NA")</f>
      </c>
      <c r="G147" s="15"/>
      <c r="H147" s="16">
        <f>IFERROR(-(B147-E147), "NA")</f>
      </c>
      <c r="I147" s="14">
        <f>IFERROR(H147/H446, "NA")</f>
      </c>
      <c r="J147" s="15"/>
      <c r="K147" s="13">
        <v>14.539999999999999</v>
      </c>
      <c r="L147" s="14">
        <f>IFERROR(K147/K446, "NA")</f>
      </c>
      <c r="M147" s="15"/>
      <c r="N147" s="16">
        <f>IFERROR(-(B147-K147), "NA")</f>
      </c>
      <c r="O147" s="14">
        <f>IFERROR(N147/N446, "NA")</f>
      </c>
      <c r="P147" s="15"/>
      <c r="Q147" s="13">
        <v>11.59</v>
      </c>
      <c r="R147" s="14">
        <f>IFERROR(Q147/Q446, "NA")</f>
      </c>
      <c r="S147" s="15"/>
      <c r="T147" s="13">
        <v>0</v>
      </c>
      <c r="U147" s="14">
        <f>IFERROR(T147/T446, "NA")</f>
      </c>
      <c r="V147" s="15"/>
      <c r="W147" s="16">
        <f>IFERROR(-(Q147-T147), "NA")</f>
      </c>
      <c r="X147" s="14">
        <f>IFERROR(W147/W446, "NA")</f>
      </c>
      <c r="Y147" s="15"/>
      <c r="Z147" s="13">
        <v>14.539999999999999</v>
      </c>
      <c r="AA147" s="14">
        <f>IFERROR(Z147/Z446, "NA")</f>
      </c>
      <c r="AB147" s="15"/>
      <c r="AC147" s="16">
        <f>IFERROR(-(Q147-Z147), "NA")</f>
      </c>
      <c r="AD147" s="14">
        <f>IFERROR(AC147/AC446, "NA")</f>
      </c>
    </row>
    <row r="148" ht="16.5" customHeight="1">
      <c t="s" r="A148" s="19">
        <v>139</v>
      </c>
      <c r="B148" s="20">
        <f>IFERROR(B143+B144+B145+B146+B147, "NA")</f>
      </c>
      <c r="C148" s="21">
        <f>IFERROR(B148/B446, "NA")</f>
      </c>
      <c r="D148" s="8"/>
      <c r="E148" s="20">
        <f>IFERROR(E143+E144+E145+E146+E147, "NA")</f>
      </c>
      <c r="F148" s="21">
        <f>IFERROR(E148/E446, "NA")</f>
      </c>
      <c r="G148" s="8"/>
      <c r="H148" s="20">
        <f>IFERROR(-(B148-E148), "NA")</f>
      </c>
      <c r="I148" s="21">
        <f>IFERROR(H148/H446, "NA")</f>
      </c>
      <c r="J148" s="8"/>
      <c r="K148" s="20">
        <f>IFERROR(K143+K144+K145+K146+K147, "NA")</f>
      </c>
      <c r="L148" s="21">
        <f>IFERROR(K148/K446, "NA")</f>
      </c>
      <c r="M148" s="8"/>
      <c r="N148" s="20">
        <f>IFERROR(-(B148-K148), "NA")</f>
      </c>
      <c r="O148" s="21">
        <f>IFERROR(N148/N446, "NA")</f>
      </c>
      <c r="P148" s="8"/>
      <c r="Q148" s="20">
        <f>IFERROR(Q143+Q144+Q145+Q146+Q147, "NA")</f>
      </c>
      <c r="R148" s="21">
        <f>IFERROR(Q148/Q446, "NA")</f>
      </c>
      <c r="S148" s="8"/>
      <c r="T148" s="20">
        <f>IFERROR(T143+T144+T145+T146+T147, "NA")</f>
      </c>
      <c r="U148" s="21">
        <f>IFERROR(T148/T446, "NA")</f>
      </c>
      <c r="V148" s="8"/>
      <c r="W148" s="20">
        <f>IFERROR(-(Q148-T148), "NA")</f>
      </c>
      <c r="X148" s="21">
        <f>IFERROR(W148/W446, "NA")</f>
      </c>
      <c r="Y148" s="8"/>
      <c r="Z148" s="20">
        <f>IFERROR(Z143+Z144+Z145+Z146+Z147, "NA")</f>
      </c>
      <c r="AA148" s="21">
        <f>IFERROR(Z148/Z446, "NA")</f>
      </c>
      <c r="AB148" s="8"/>
      <c r="AC148" s="20">
        <f>IFERROR(-(Q148-Z148), "NA")</f>
      </c>
      <c r="AD148" s="21">
        <f>IFERROR(AC148/AC446, "NA")</f>
      </c>
    </row>
    <row r="149" ht="16.5" customHeight="1">
      <c t="s" r="A149" s="25">
        <v>140</v>
      </c>
      <c r="B149" s="20">
        <f>IFERROR(B127+B129+B130+B131+B132+B133+B134+B135+B136+B137+B138+B139+B140+B143+B144+B145+B146+B147, "NA")</f>
      </c>
      <c r="C149" s="21">
        <f>IFERROR(B149/B446, "NA")</f>
      </c>
      <c r="D149" s="8"/>
      <c r="E149" s="20">
        <f>IFERROR(E127+E129+E130+E131+E132+E133+E134+E135+E136+E137+E138+E139+E140+E143+E144+E145+E146+E147, "NA")</f>
      </c>
      <c r="F149" s="21">
        <f>IFERROR(E149/E446, "NA")</f>
      </c>
      <c r="G149" s="8"/>
      <c r="H149" s="20">
        <f>IFERROR(-(B149-E149), "NA")</f>
      </c>
      <c r="I149" s="21">
        <f>IFERROR(H149/H446, "NA")</f>
      </c>
      <c r="J149" s="8"/>
      <c r="K149" s="20">
        <f>IFERROR(K127+K129+K130+K131+K132+K133+K134+K135+K136+K137+K138+K139+K140+K143+K144+K145+K146+K147, "NA")</f>
      </c>
      <c r="L149" s="21">
        <f>IFERROR(K149/K446, "NA")</f>
      </c>
      <c r="M149" s="8"/>
      <c r="N149" s="20">
        <f>IFERROR(-(B149-K149), "NA")</f>
      </c>
      <c r="O149" s="21">
        <f>IFERROR(N149/N446, "NA")</f>
      </c>
      <c r="P149" s="8"/>
      <c r="Q149" s="20">
        <f>IFERROR(Q127+Q129+Q130+Q131+Q132+Q133+Q134+Q135+Q136+Q137+Q138+Q139+Q140+Q143+Q144+Q145+Q146+Q147, "NA")</f>
      </c>
      <c r="R149" s="21">
        <f>IFERROR(Q149/Q446, "NA")</f>
      </c>
      <c r="S149" s="8"/>
      <c r="T149" s="20">
        <f>IFERROR(T127+T129+T130+T131+T132+T133+T134+T135+T136+T137+T138+T139+T140+T143+T144+T145+T146+T147, "NA")</f>
      </c>
      <c r="U149" s="21">
        <f>IFERROR(T149/T446, "NA")</f>
      </c>
      <c r="V149" s="8"/>
      <c r="W149" s="20">
        <f>IFERROR(-(Q149-T149), "NA")</f>
      </c>
      <c r="X149" s="21">
        <f>IFERROR(W149/W446, "NA")</f>
      </c>
      <c r="Y149" s="8"/>
      <c r="Z149" s="20">
        <f>IFERROR(Z127+Z129+Z130+Z131+Z132+Z133+Z134+Z135+Z136+Z137+Z138+Z139+Z140+Z143+Z144+Z145+Z146+Z147, "NA")</f>
      </c>
      <c r="AA149" s="21">
        <f>IFERROR(Z149/Z446, "NA")</f>
      </c>
      <c r="AB149" s="8"/>
      <c r="AC149" s="20">
        <f>IFERROR(-(Q149-Z149), "NA")</f>
      </c>
      <c r="AD149" s="21">
        <f>IFERROR(AC149/AC446, "NA")</f>
      </c>
    </row>
    <row r="150" ht="16.5" customHeight="1">
      <c t="s" r="A150" s="11">
        <v>141</v>
      </c>
      <c r="B150" s="8"/>
      <c r="C150" s="9"/>
      <c r="D150" s="10"/>
      <c r="E150" s="8"/>
      <c r="F150" s="9"/>
      <c r="G150" s="10"/>
      <c r="H150" s="8"/>
      <c r="I150" s="9"/>
      <c r="J150" s="10"/>
      <c r="K150" s="8"/>
      <c r="L150" s="9"/>
      <c r="M150" s="10"/>
      <c r="N150" s="8"/>
      <c r="O150" s="9"/>
      <c r="P150" s="10"/>
      <c r="Q150" s="8"/>
      <c r="R150" s="9"/>
      <c r="S150" s="10"/>
      <c r="T150" s="8"/>
      <c r="U150" s="9"/>
      <c r="V150" s="10"/>
      <c r="W150" s="8"/>
      <c r="X150" s="9"/>
      <c r="Y150" s="10"/>
      <c r="Z150" s="8"/>
      <c r="AA150" s="9"/>
      <c r="AB150" s="10"/>
      <c r="AC150" s="8"/>
      <c r="AD150" s="9"/>
    </row>
    <row r="151" hidden="1" ht="16.5" customHeight="1">
      <c t="s" r="A151" s="12">
        <v>141</v>
      </c>
      <c r="B151" s="13">
        <v>0</v>
      </c>
      <c r="C151" s="14">
        <f>IFERROR(B151/B446, "NA")</f>
      </c>
      <c r="D151" s="15"/>
      <c r="E151" s="13">
        <v>0</v>
      </c>
      <c r="F151" s="14">
        <f>IFERROR(E151/E446, "NA")</f>
      </c>
      <c r="G151" s="15"/>
      <c r="H151" s="16">
        <f>IFERROR(-(B151-E151), "NA")</f>
      </c>
      <c r="I151" s="14">
        <f>IFERROR(H151/H446, "NA")</f>
      </c>
      <c r="J151" s="15"/>
      <c r="K151" s="13">
        <v>0</v>
      </c>
      <c r="L151" s="14">
        <f>IFERROR(K151/K446, "NA")</f>
      </c>
      <c r="M151" s="15"/>
      <c r="N151" s="16">
        <f>IFERROR(-(B151-K151), "NA")</f>
      </c>
      <c r="O151" s="14">
        <f>IFERROR(N151/N446, "NA")</f>
      </c>
      <c r="P151" s="15"/>
      <c r="Q151" s="13">
        <v>0</v>
      </c>
      <c r="R151" s="14">
        <f>IFERROR(Q151/Q446, "NA")</f>
      </c>
      <c r="S151" s="15"/>
      <c r="T151" s="13">
        <v>0</v>
      </c>
      <c r="U151" s="14">
        <f>IFERROR(T151/T446, "NA")</f>
      </c>
      <c r="V151" s="15"/>
      <c r="W151" s="16">
        <f>IFERROR(-(Q151-T151), "NA")</f>
      </c>
      <c r="X151" s="14">
        <f>IFERROR(W151/W446, "NA")</f>
      </c>
      <c r="Y151" s="15"/>
      <c r="Z151" s="13">
        <v>0</v>
      </c>
      <c r="AA151" s="14">
        <f>IFERROR(Z151/Z446, "NA")</f>
      </c>
      <c r="AB151" s="15"/>
      <c r="AC151" s="16">
        <f>IFERROR(-(Q151-Z151), "NA")</f>
      </c>
      <c r="AD151" s="14">
        <f>IFERROR(AC151/AC446, "NA")</f>
      </c>
    </row>
    <row r="152" ht="16.5" customHeight="1">
      <c t="s" r="A152" s="17">
        <v>142</v>
      </c>
      <c r="B152" s="8"/>
      <c r="C152" s="9"/>
      <c r="D152" s="10"/>
      <c r="E152" s="8"/>
      <c r="F152" s="9"/>
      <c r="G152" s="10"/>
      <c r="H152" s="8"/>
      <c r="I152" s="9"/>
      <c r="J152" s="10"/>
      <c r="K152" s="8"/>
      <c r="L152" s="9"/>
      <c r="M152" s="10"/>
      <c r="N152" s="8"/>
      <c r="O152" s="9"/>
      <c r="P152" s="10"/>
      <c r="Q152" s="8"/>
      <c r="R152" s="9"/>
      <c r="S152" s="10"/>
      <c r="T152" s="8"/>
      <c r="U152" s="9"/>
      <c r="V152" s="10"/>
      <c r="W152" s="8"/>
      <c r="X152" s="9"/>
      <c r="Y152" s="10"/>
      <c r="Z152" s="8"/>
      <c r="AA152" s="9"/>
      <c r="AB152" s="10"/>
      <c r="AC152" s="8"/>
      <c r="AD152" s="9"/>
    </row>
    <row r="153" ht="16.5" customHeight="1">
      <c t="s" r="A153" s="18">
        <v>142</v>
      </c>
      <c r="B153" s="13">
        <v>0</v>
      </c>
      <c r="C153" s="14">
        <f>IFERROR(B153/B446, "NA")</f>
      </c>
      <c r="D153" s="15"/>
      <c r="E153" s="13">
        <v>3981.6700000000001</v>
      </c>
      <c r="F153" s="14">
        <f>IFERROR(E153/E446, "NA")</f>
      </c>
      <c r="G153" s="15"/>
      <c r="H153" s="16">
        <f>IFERROR(-(B153-E153), "NA")</f>
      </c>
      <c r="I153" s="14">
        <f>IFERROR(H153/H446, "NA")</f>
      </c>
      <c r="J153" s="15"/>
      <c r="K153" s="13">
        <v>0</v>
      </c>
      <c r="L153" s="14">
        <f>IFERROR(K153/K446, "NA")</f>
      </c>
      <c r="M153" s="15"/>
      <c r="N153" s="16">
        <f>IFERROR(-(B153-K153), "NA")</f>
      </c>
      <c r="O153" s="14">
        <f>IFERROR(N153/N446, "NA")</f>
      </c>
      <c r="P153" s="15"/>
      <c r="Q153" s="13">
        <v>0</v>
      </c>
      <c r="R153" s="14">
        <f>IFERROR(Q153/Q446, "NA")</f>
      </c>
      <c r="S153" s="15"/>
      <c r="T153" s="13">
        <v>3981.6700000000001</v>
      </c>
      <c r="U153" s="14">
        <f>IFERROR(T153/T446, "NA")</f>
      </c>
      <c r="V153" s="15"/>
      <c r="W153" s="16">
        <f>IFERROR(-(Q153-T153), "NA")</f>
      </c>
      <c r="X153" s="14">
        <f>IFERROR(W153/W446, "NA")</f>
      </c>
      <c r="Y153" s="15"/>
      <c r="Z153" s="13">
        <v>0</v>
      </c>
      <c r="AA153" s="14">
        <f>IFERROR(Z153/Z446, "NA")</f>
      </c>
      <c r="AB153" s="15"/>
      <c r="AC153" s="16">
        <f>IFERROR(-(Q153-Z153), "NA")</f>
      </c>
      <c r="AD153" s="14">
        <f>IFERROR(AC153/AC446, "NA")</f>
      </c>
    </row>
    <row r="154" ht="16.5" customHeight="1">
      <c t="s" r="A154" s="18">
        <v>143</v>
      </c>
      <c r="B154" s="13">
        <v>3180.8800000000001</v>
      </c>
      <c r="C154" s="14">
        <f>IFERROR(B154/B446, "NA")</f>
      </c>
      <c r="D154" s="15"/>
      <c r="E154" s="13">
        <v>0</v>
      </c>
      <c r="F154" s="14">
        <f>IFERROR(E154/E446, "NA")</f>
      </c>
      <c r="G154" s="15"/>
      <c r="H154" s="16">
        <f>IFERROR(-(B154-E154), "NA")</f>
      </c>
      <c r="I154" s="14">
        <f>IFERROR(H154/H446, "NA")</f>
      </c>
      <c r="J154" s="15"/>
      <c r="K154" s="13">
        <v>2669.27</v>
      </c>
      <c r="L154" s="14">
        <f>IFERROR(K154/K446, "NA")</f>
      </c>
      <c r="M154" s="15"/>
      <c r="N154" s="16">
        <f>IFERROR(-(B154-K154), "NA")</f>
      </c>
      <c r="O154" s="14">
        <f>IFERROR(N154/N446, "NA")</f>
      </c>
      <c r="P154" s="15"/>
      <c r="Q154" s="13">
        <v>3180.8800000000001</v>
      </c>
      <c r="R154" s="14">
        <f>IFERROR(Q154/Q446, "NA")</f>
      </c>
      <c r="S154" s="15"/>
      <c r="T154" s="13">
        <v>0</v>
      </c>
      <c r="U154" s="14">
        <f>IFERROR(T154/T446, "NA")</f>
      </c>
      <c r="V154" s="15"/>
      <c r="W154" s="16">
        <f>IFERROR(-(Q154-T154), "NA")</f>
      </c>
      <c r="X154" s="14">
        <f>IFERROR(W154/W446, "NA")</f>
      </c>
      <c r="Y154" s="15"/>
      <c r="Z154" s="13">
        <v>2669.27</v>
      </c>
      <c r="AA154" s="14">
        <f>IFERROR(Z154/Z446, "NA")</f>
      </c>
      <c r="AB154" s="15"/>
      <c r="AC154" s="16">
        <f>IFERROR(-(Q154-Z154), "NA")</f>
      </c>
      <c r="AD154" s="14">
        <f>IFERROR(AC154/AC446, "NA")</f>
      </c>
    </row>
    <row r="155" ht="16.5" customHeight="1">
      <c t="s" r="A155" s="18">
        <v>144</v>
      </c>
      <c r="B155" s="13">
        <v>724.26999999999998</v>
      </c>
      <c r="C155" s="14">
        <f>IFERROR(B155/B446, "NA")</f>
      </c>
      <c r="D155" s="15"/>
      <c r="E155" s="13">
        <v>0</v>
      </c>
      <c r="F155" s="14">
        <f>IFERROR(E155/E446, "NA")</f>
      </c>
      <c r="G155" s="15"/>
      <c r="H155" s="16">
        <f>IFERROR(-(B155-E155), "NA")</f>
      </c>
      <c r="I155" s="14">
        <f>IFERROR(H155/H446, "NA")</f>
      </c>
      <c r="J155" s="15"/>
      <c r="K155" s="13">
        <v>880.71000000000004</v>
      </c>
      <c r="L155" s="14">
        <f>IFERROR(K155/K446, "NA")</f>
      </c>
      <c r="M155" s="15"/>
      <c r="N155" s="16">
        <f>IFERROR(-(B155-K155), "NA")</f>
      </c>
      <c r="O155" s="14">
        <f>IFERROR(N155/N446, "NA")</f>
      </c>
      <c r="P155" s="15"/>
      <c r="Q155" s="13">
        <v>724.26999999999998</v>
      </c>
      <c r="R155" s="14">
        <f>IFERROR(Q155/Q446, "NA")</f>
      </c>
      <c r="S155" s="15"/>
      <c r="T155" s="13">
        <v>0</v>
      </c>
      <c r="U155" s="14">
        <f>IFERROR(T155/T446, "NA")</f>
      </c>
      <c r="V155" s="15"/>
      <c r="W155" s="16">
        <f>IFERROR(-(Q155-T155), "NA")</f>
      </c>
      <c r="X155" s="14">
        <f>IFERROR(W155/W446, "NA")</f>
      </c>
      <c r="Y155" s="15"/>
      <c r="Z155" s="13">
        <v>880.71000000000004</v>
      </c>
      <c r="AA155" s="14">
        <f>IFERROR(Z155/Z446, "NA")</f>
      </c>
      <c r="AB155" s="15"/>
      <c r="AC155" s="16">
        <f>IFERROR(-(Q155-Z155), "NA")</f>
      </c>
      <c r="AD155" s="14">
        <f>IFERROR(AC155/AC446, "NA")</f>
      </c>
    </row>
    <row r="156" hidden="1" ht="16.5" customHeight="1">
      <c t="s" r="A156" s="18">
        <v>145</v>
      </c>
      <c r="B156" s="13">
        <v>0</v>
      </c>
      <c r="C156" s="14">
        <f>IFERROR(B156/B446, "NA")</f>
      </c>
      <c r="D156" s="15"/>
      <c r="E156" s="13">
        <v>0</v>
      </c>
      <c r="F156" s="14">
        <f>IFERROR(E156/E446, "NA")</f>
      </c>
      <c r="G156" s="15"/>
      <c r="H156" s="16">
        <f>IFERROR(-(B156-E156), "NA")</f>
      </c>
      <c r="I156" s="14">
        <f>IFERROR(H156/H446, "NA")</f>
      </c>
      <c r="J156" s="15"/>
      <c r="K156" s="13">
        <v>0</v>
      </c>
      <c r="L156" s="14">
        <f>IFERROR(K156/K446, "NA")</f>
      </c>
      <c r="M156" s="15"/>
      <c r="N156" s="16">
        <f>IFERROR(-(B156-K156), "NA")</f>
      </c>
      <c r="O156" s="14">
        <f>IFERROR(N156/N446, "NA")</f>
      </c>
      <c r="P156" s="15"/>
      <c r="Q156" s="13">
        <v>0</v>
      </c>
      <c r="R156" s="14">
        <f>IFERROR(Q156/Q446, "NA")</f>
      </c>
      <c r="S156" s="15"/>
      <c r="T156" s="13">
        <v>0</v>
      </c>
      <c r="U156" s="14">
        <f>IFERROR(T156/T446, "NA")</f>
      </c>
      <c r="V156" s="15"/>
      <c r="W156" s="16">
        <f>IFERROR(-(Q156-T156), "NA")</f>
      </c>
      <c r="X156" s="14">
        <f>IFERROR(W156/W446, "NA")</f>
      </c>
      <c r="Y156" s="15"/>
      <c r="Z156" s="13">
        <v>0</v>
      </c>
      <c r="AA156" s="14">
        <f>IFERROR(Z156/Z446, "NA")</f>
      </c>
      <c r="AB156" s="15"/>
      <c r="AC156" s="16">
        <f>IFERROR(-(Q156-Z156), "NA")</f>
      </c>
      <c r="AD156" s="14">
        <f>IFERROR(AC156/AC446, "NA")</f>
      </c>
    </row>
    <row r="157" hidden="1" ht="16.5" customHeight="1">
      <c t="s" r="A157" s="18">
        <v>146</v>
      </c>
      <c r="B157" s="13">
        <v>0</v>
      </c>
      <c r="C157" s="14">
        <f>IFERROR(B157/B446, "NA")</f>
      </c>
      <c r="D157" s="15"/>
      <c r="E157" s="13">
        <v>0</v>
      </c>
      <c r="F157" s="14">
        <f>IFERROR(E157/E446, "NA")</f>
      </c>
      <c r="G157" s="15"/>
      <c r="H157" s="16">
        <f>IFERROR(-(B157-E157), "NA")</f>
      </c>
      <c r="I157" s="14">
        <f>IFERROR(H157/H446, "NA")</f>
      </c>
      <c r="J157" s="15"/>
      <c r="K157" s="13">
        <v>0</v>
      </c>
      <c r="L157" s="14">
        <f>IFERROR(K157/K446, "NA")</f>
      </c>
      <c r="M157" s="15"/>
      <c r="N157" s="16">
        <f>IFERROR(-(B157-K157), "NA")</f>
      </c>
      <c r="O157" s="14">
        <f>IFERROR(N157/N446, "NA")</f>
      </c>
      <c r="P157" s="15"/>
      <c r="Q157" s="13">
        <v>0</v>
      </c>
      <c r="R157" s="14">
        <f>IFERROR(Q157/Q446, "NA")</f>
      </c>
      <c r="S157" s="15"/>
      <c r="T157" s="13">
        <v>0</v>
      </c>
      <c r="U157" s="14">
        <f>IFERROR(T157/T446, "NA")</f>
      </c>
      <c r="V157" s="15"/>
      <c r="W157" s="16">
        <f>IFERROR(-(Q157-T157), "NA")</f>
      </c>
      <c r="X157" s="14">
        <f>IFERROR(W157/W446, "NA")</f>
      </c>
      <c r="Y157" s="15"/>
      <c r="Z157" s="13">
        <v>0</v>
      </c>
      <c r="AA157" s="14">
        <f>IFERROR(Z157/Z446, "NA")</f>
      </c>
      <c r="AB157" s="15"/>
      <c r="AC157" s="16">
        <f>IFERROR(-(Q157-Z157), "NA")</f>
      </c>
      <c r="AD157" s="14">
        <f>IFERROR(AC157/AC446, "NA")</f>
      </c>
    </row>
    <row r="158" ht="16.5" customHeight="1">
      <c t="s" r="A158" s="19">
        <v>147</v>
      </c>
      <c r="B158" s="20">
        <f>IFERROR(B153+B154+B155+B156+B157, "NA")</f>
      </c>
      <c r="C158" s="21">
        <f>IFERROR(B158/B446, "NA")</f>
      </c>
      <c r="D158" s="8"/>
      <c r="E158" s="20">
        <f>IFERROR(E153+E154+E155+E156+E157, "NA")</f>
      </c>
      <c r="F158" s="21">
        <f>IFERROR(E158/E446, "NA")</f>
      </c>
      <c r="G158" s="8"/>
      <c r="H158" s="20">
        <f>IFERROR(-(B158-E158), "NA")</f>
      </c>
      <c r="I158" s="21">
        <f>IFERROR(H158/H446, "NA")</f>
      </c>
      <c r="J158" s="8"/>
      <c r="K158" s="20">
        <f>IFERROR(K153+K154+K155+K156+K157, "NA")</f>
      </c>
      <c r="L158" s="21">
        <f>IFERROR(K158/K446, "NA")</f>
      </c>
      <c r="M158" s="8"/>
      <c r="N158" s="20">
        <f>IFERROR(-(B158-K158), "NA")</f>
      </c>
      <c r="O158" s="21">
        <f>IFERROR(N158/N446, "NA")</f>
      </c>
      <c r="P158" s="8"/>
      <c r="Q158" s="20">
        <f>IFERROR(Q153+Q154+Q155+Q156+Q157, "NA")</f>
      </c>
      <c r="R158" s="21">
        <f>IFERROR(Q158/Q446, "NA")</f>
      </c>
      <c r="S158" s="8"/>
      <c r="T158" s="20">
        <f>IFERROR(T153+T154+T155+T156+T157, "NA")</f>
      </c>
      <c r="U158" s="21">
        <f>IFERROR(T158/T446, "NA")</f>
      </c>
      <c r="V158" s="8"/>
      <c r="W158" s="20">
        <f>IFERROR(-(Q158-T158), "NA")</f>
      </c>
      <c r="X158" s="21">
        <f>IFERROR(W158/W446, "NA")</f>
      </c>
      <c r="Y158" s="8"/>
      <c r="Z158" s="20">
        <f>IFERROR(Z153+Z154+Z155+Z156+Z157, "NA")</f>
      </c>
      <c r="AA158" s="21">
        <f>IFERROR(Z158/Z446, "NA")</f>
      </c>
      <c r="AB158" s="8"/>
      <c r="AC158" s="20">
        <f>IFERROR(-(Q158-Z158), "NA")</f>
      </c>
      <c r="AD158" s="21">
        <f>IFERROR(AC158/AC446, "NA")</f>
      </c>
    </row>
    <row r="159" ht="16.5" customHeight="1">
      <c t="s" r="A159" s="17">
        <v>148</v>
      </c>
      <c r="B159" s="8"/>
      <c r="C159" s="9"/>
      <c r="D159" s="10"/>
      <c r="E159" s="8"/>
      <c r="F159" s="9"/>
      <c r="G159" s="10"/>
      <c r="H159" s="8"/>
      <c r="I159" s="9"/>
      <c r="J159" s="10"/>
      <c r="K159" s="8"/>
      <c r="L159" s="9"/>
      <c r="M159" s="10"/>
      <c r="N159" s="8"/>
      <c r="O159" s="9"/>
      <c r="P159" s="10"/>
      <c r="Q159" s="8"/>
      <c r="R159" s="9"/>
      <c r="S159" s="10"/>
      <c r="T159" s="8"/>
      <c r="U159" s="9"/>
      <c r="V159" s="10"/>
      <c r="W159" s="8"/>
      <c r="X159" s="9"/>
      <c r="Y159" s="10"/>
      <c r="Z159" s="8"/>
      <c r="AA159" s="9"/>
      <c r="AB159" s="10"/>
      <c r="AC159" s="8"/>
      <c r="AD159" s="9"/>
    </row>
    <row r="160" hidden="1" ht="16.5" customHeight="1">
      <c t="s" r="A160" s="18">
        <v>148</v>
      </c>
      <c r="B160" s="13">
        <v>0</v>
      </c>
      <c r="C160" s="14">
        <f>IFERROR(B160/B446, "NA")</f>
      </c>
      <c r="D160" s="15"/>
      <c r="E160" s="13">
        <v>0</v>
      </c>
      <c r="F160" s="14">
        <f>IFERROR(E160/E446, "NA")</f>
      </c>
      <c r="G160" s="15"/>
      <c r="H160" s="16">
        <f>IFERROR(-(B160-E160), "NA")</f>
      </c>
      <c r="I160" s="14">
        <f>IFERROR(H160/H446, "NA")</f>
      </c>
      <c r="J160" s="15"/>
      <c r="K160" s="13">
        <v>0</v>
      </c>
      <c r="L160" s="14">
        <f>IFERROR(K160/K446, "NA")</f>
      </c>
      <c r="M160" s="15"/>
      <c r="N160" s="16">
        <f>IFERROR(-(B160-K160), "NA")</f>
      </c>
      <c r="O160" s="14">
        <f>IFERROR(N160/N446, "NA")</f>
      </c>
      <c r="P160" s="15"/>
      <c r="Q160" s="13">
        <v>0</v>
      </c>
      <c r="R160" s="14">
        <f>IFERROR(Q160/Q446, "NA")</f>
      </c>
      <c r="S160" s="15"/>
      <c r="T160" s="13">
        <v>0</v>
      </c>
      <c r="U160" s="14">
        <f>IFERROR(T160/T446, "NA")</f>
      </c>
      <c r="V160" s="15"/>
      <c r="W160" s="16">
        <f>IFERROR(-(Q160-T160), "NA")</f>
      </c>
      <c r="X160" s="14">
        <f>IFERROR(W160/W446, "NA")</f>
      </c>
      <c r="Y160" s="15"/>
      <c r="Z160" s="13">
        <v>0</v>
      </c>
      <c r="AA160" s="14">
        <f>IFERROR(Z160/Z446, "NA")</f>
      </c>
      <c r="AB160" s="15"/>
      <c r="AC160" s="16">
        <f>IFERROR(-(Q160-Z160), "NA")</f>
      </c>
      <c r="AD160" s="14">
        <f>IFERROR(AC160/AC446, "NA")</f>
      </c>
    </row>
    <row r="161" ht="16.5" customHeight="1">
      <c t="s" r="A161" s="18">
        <v>149</v>
      </c>
      <c r="B161" s="13">
        <v>132.49000000000001</v>
      </c>
      <c r="C161" s="14">
        <f>IFERROR(B161/B446, "NA")</f>
      </c>
      <c r="D161" s="15"/>
      <c r="E161" s="13">
        <v>0</v>
      </c>
      <c r="F161" s="14">
        <f>IFERROR(E161/E446, "NA")</f>
      </c>
      <c r="G161" s="15"/>
      <c r="H161" s="16">
        <f>IFERROR(-(B161-E161), "NA")</f>
      </c>
      <c r="I161" s="14">
        <f>IFERROR(H161/H446, "NA")</f>
      </c>
      <c r="J161" s="15"/>
      <c r="K161" s="13">
        <v>181.93000000000001</v>
      </c>
      <c r="L161" s="14">
        <f>IFERROR(K161/K446, "NA")</f>
      </c>
      <c r="M161" s="15"/>
      <c r="N161" s="16">
        <f>IFERROR(-(B161-K161), "NA")</f>
      </c>
      <c r="O161" s="14">
        <f>IFERROR(N161/N446, "NA")</f>
      </c>
      <c r="P161" s="15"/>
      <c r="Q161" s="13">
        <v>132.49000000000001</v>
      </c>
      <c r="R161" s="14">
        <f>IFERROR(Q161/Q446, "NA")</f>
      </c>
      <c r="S161" s="15"/>
      <c r="T161" s="13">
        <v>0</v>
      </c>
      <c r="U161" s="14">
        <f>IFERROR(T161/T446, "NA")</f>
      </c>
      <c r="V161" s="15"/>
      <c r="W161" s="16">
        <f>IFERROR(-(Q161-T161), "NA")</f>
      </c>
      <c r="X161" s="14">
        <f>IFERROR(W161/W446, "NA")</f>
      </c>
      <c r="Y161" s="15"/>
      <c r="Z161" s="13">
        <v>181.93000000000001</v>
      </c>
      <c r="AA161" s="14">
        <f>IFERROR(Z161/Z446, "NA")</f>
      </c>
      <c r="AB161" s="15"/>
      <c r="AC161" s="16">
        <f>IFERROR(-(Q161-Z161), "NA")</f>
      </c>
      <c r="AD161" s="14">
        <f>IFERROR(AC161/AC446, "NA")</f>
      </c>
    </row>
    <row r="162" ht="16.5" customHeight="1">
      <c t="s" r="A162" s="18">
        <v>150</v>
      </c>
      <c r="B162" s="13">
        <v>3.5</v>
      </c>
      <c r="C162" s="14">
        <f>IFERROR(B162/B446, "NA")</f>
      </c>
      <c r="D162" s="15"/>
      <c r="E162" s="13">
        <v>0</v>
      </c>
      <c r="F162" s="14">
        <f>IFERROR(E162/E446, "NA")</f>
      </c>
      <c r="G162" s="15"/>
      <c r="H162" s="16">
        <f>IFERROR(-(B162-E162), "NA")</f>
      </c>
      <c r="I162" s="14">
        <f>IFERROR(H162/H446, "NA")</f>
      </c>
      <c r="J162" s="15"/>
      <c r="K162" s="13">
        <v>0</v>
      </c>
      <c r="L162" s="14">
        <f>IFERROR(K162/K446, "NA")</f>
      </c>
      <c r="M162" s="15"/>
      <c r="N162" s="16">
        <f>IFERROR(-(B162-K162), "NA")</f>
      </c>
      <c r="O162" s="14">
        <f>IFERROR(N162/N446, "NA")</f>
      </c>
      <c r="P162" s="15"/>
      <c r="Q162" s="13">
        <v>3.5</v>
      </c>
      <c r="R162" s="14">
        <f>IFERROR(Q162/Q446, "NA")</f>
      </c>
      <c r="S162" s="15"/>
      <c r="T162" s="13">
        <v>0</v>
      </c>
      <c r="U162" s="14">
        <f>IFERROR(T162/T446, "NA")</f>
      </c>
      <c r="V162" s="15"/>
      <c r="W162" s="16">
        <f>IFERROR(-(Q162-T162), "NA")</f>
      </c>
      <c r="X162" s="14">
        <f>IFERROR(W162/W446, "NA")</f>
      </c>
      <c r="Y162" s="15"/>
      <c r="Z162" s="13">
        <v>0</v>
      </c>
      <c r="AA162" s="14">
        <f>IFERROR(Z162/Z446, "NA")</f>
      </c>
      <c r="AB162" s="15"/>
      <c r="AC162" s="16">
        <f>IFERROR(-(Q162-Z162), "NA")</f>
      </c>
      <c r="AD162" s="14">
        <f>IFERROR(AC162/AC446, "NA")</f>
      </c>
    </row>
    <row r="163" hidden="1" ht="16.5" customHeight="1">
      <c t="s" r="A163" s="18">
        <v>151</v>
      </c>
      <c r="B163" s="13">
        <v>0</v>
      </c>
      <c r="C163" s="14">
        <f>IFERROR(B163/B446, "NA")</f>
      </c>
      <c r="D163" s="15"/>
      <c r="E163" s="13">
        <v>0</v>
      </c>
      <c r="F163" s="14">
        <f>IFERROR(E163/E446, "NA")</f>
      </c>
      <c r="G163" s="15"/>
      <c r="H163" s="16">
        <f>IFERROR(-(B163-E163), "NA")</f>
      </c>
      <c r="I163" s="14">
        <f>IFERROR(H163/H446, "NA")</f>
      </c>
      <c r="J163" s="15"/>
      <c r="K163" s="13">
        <v>0</v>
      </c>
      <c r="L163" s="14">
        <f>IFERROR(K163/K446, "NA")</f>
      </c>
      <c r="M163" s="15"/>
      <c r="N163" s="16">
        <f>IFERROR(-(B163-K163), "NA")</f>
      </c>
      <c r="O163" s="14">
        <f>IFERROR(N163/N446, "NA")</f>
      </c>
      <c r="P163" s="15"/>
      <c r="Q163" s="13">
        <v>0</v>
      </c>
      <c r="R163" s="14">
        <f>IFERROR(Q163/Q446, "NA")</f>
      </c>
      <c r="S163" s="15"/>
      <c r="T163" s="13">
        <v>0</v>
      </c>
      <c r="U163" s="14">
        <f>IFERROR(T163/T446, "NA")</f>
      </c>
      <c r="V163" s="15"/>
      <c r="W163" s="16">
        <f>IFERROR(-(Q163-T163), "NA")</f>
      </c>
      <c r="X163" s="14">
        <f>IFERROR(W163/W446, "NA")</f>
      </c>
      <c r="Y163" s="15"/>
      <c r="Z163" s="13">
        <v>0</v>
      </c>
      <c r="AA163" s="14">
        <f>IFERROR(Z163/Z446, "NA")</f>
      </c>
      <c r="AB163" s="15"/>
      <c r="AC163" s="16">
        <f>IFERROR(-(Q163-Z163), "NA")</f>
      </c>
      <c r="AD163" s="14">
        <f>IFERROR(AC163/AC446, "NA")</f>
      </c>
    </row>
    <row r="164" hidden="1" ht="16.5" customHeight="1">
      <c t="s" r="A164" s="18">
        <v>152</v>
      </c>
      <c r="B164" s="13">
        <v>0</v>
      </c>
      <c r="C164" s="14">
        <f>IFERROR(B164/B446, "NA")</f>
      </c>
      <c r="D164" s="15"/>
      <c r="E164" s="13">
        <v>0</v>
      </c>
      <c r="F164" s="14">
        <f>IFERROR(E164/E446, "NA")</f>
      </c>
      <c r="G164" s="15"/>
      <c r="H164" s="16">
        <f>IFERROR(-(B164-E164), "NA")</f>
      </c>
      <c r="I164" s="14">
        <f>IFERROR(H164/H446, "NA")</f>
      </c>
      <c r="J164" s="15"/>
      <c r="K164" s="13">
        <v>0</v>
      </c>
      <c r="L164" s="14">
        <f>IFERROR(K164/K446, "NA")</f>
      </c>
      <c r="M164" s="15"/>
      <c r="N164" s="16">
        <f>IFERROR(-(B164-K164), "NA")</f>
      </c>
      <c r="O164" s="14">
        <f>IFERROR(N164/N446, "NA")</f>
      </c>
      <c r="P164" s="15"/>
      <c r="Q164" s="13">
        <v>0</v>
      </c>
      <c r="R164" s="14">
        <f>IFERROR(Q164/Q446, "NA")</f>
      </c>
      <c r="S164" s="15"/>
      <c r="T164" s="13">
        <v>0</v>
      </c>
      <c r="U164" s="14">
        <f>IFERROR(T164/T446, "NA")</f>
      </c>
      <c r="V164" s="15"/>
      <c r="W164" s="16">
        <f>IFERROR(-(Q164-T164), "NA")</f>
      </c>
      <c r="X164" s="14">
        <f>IFERROR(W164/W446, "NA")</f>
      </c>
      <c r="Y164" s="15"/>
      <c r="Z164" s="13">
        <v>0</v>
      </c>
      <c r="AA164" s="14">
        <f>IFERROR(Z164/Z446, "NA")</f>
      </c>
      <c r="AB164" s="15"/>
      <c r="AC164" s="16">
        <f>IFERROR(-(Q164-Z164), "NA")</f>
      </c>
      <c r="AD164" s="14">
        <f>IFERROR(AC164/AC446, "NA")</f>
      </c>
    </row>
    <row r="165" hidden="1" ht="16.5" customHeight="1">
      <c t="s" r="A165" s="18">
        <v>153</v>
      </c>
      <c r="B165" s="13">
        <v>0</v>
      </c>
      <c r="C165" s="14">
        <f>IFERROR(B165/B446, "NA")</f>
      </c>
      <c r="D165" s="15"/>
      <c r="E165" s="13">
        <v>0</v>
      </c>
      <c r="F165" s="14">
        <f>IFERROR(E165/E446, "NA")</f>
      </c>
      <c r="G165" s="15"/>
      <c r="H165" s="16">
        <f>IFERROR(-(B165-E165), "NA")</f>
      </c>
      <c r="I165" s="14">
        <f>IFERROR(H165/H446, "NA")</f>
      </c>
      <c r="J165" s="15"/>
      <c r="K165" s="13">
        <v>0</v>
      </c>
      <c r="L165" s="14">
        <f>IFERROR(K165/K446, "NA")</f>
      </c>
      <c r="M165" s="15"/>
      <c r="N165" s="16">
        <f>IFERROR(-(B165-K165), "NA")</f>
      </c>
      <c r="O165" s="14">
        <f>IFERROR(N165/N446, "NA")</f>
      </c>
      <c r="P165" s="15"/>
      <c r="Q165" s="13">
        <v>0</v>
      </c>
      <c r="R165" s="14">
        <f>IFERROR(Q165/Q446, "NA")</f>
      </c>
      <c r="S165" s="15"/>
      <c r="T165" s="13">
        <v>0</v>
      </c>
      <c r="U165" s="14">
        <f>IFERROR(T165/T446, "NA")</f>
      </c>
      <c r="V165" s="15"/>
      <c r="W165" s="16">
        <f>IFERROR(-(Q165-T165), "NA")</f>
      </c>
      <c r="X165" s="14">
        <f>IFERROR(W165/W446, "NA")</f>
      </c>
      <c r="Y165" s="15"/>
      <c r="Z165" s="13">
        <v>0</v>
      </c>
      <c r="AA165" s="14">
        <f>IFERROR(Z165/Z446, "NA")</f>
      </c>
      <c r="AB165" s="15"/>
      <c r="AC165" s="16">
        <f>IFERROR(-(Q165-Z165), "NA")</f>
      </c>
      <c r="AD165" s="14">
        <f>IFERROR(AC165/AC446, "NA")</f>
      </c>
    </row>
    <row r="166" ht="16.5" customHeight="1">
      <c t="s" r="A166" s="19">
        <v>154</v>
      </c>
      <c r="B166" s="20">
        <f>IFERROR(B160+B161+B162+B163+B164+B165, "NA")</f>
      </c>
      <c r="C166" s="21">
        <f>IFERROR(B166/B446, "NA")</f>
      </c>
      <c r="D166" s="8"/>
      <c r="E166" s="20">
        <f>IFERROR(E160+E161+E162+E163+E164+E165, "NA")</f>
      </c>
      <c r="F166" s="21">
        <f>IFERROR(E166/E446, "NA")</f>
      </c>
      <c r="G166" s="8"/>
      <c r="H166" s="20">
        <f>IFERROR(-(B166-E166), "NA")</f>
      </c>
      <c r="I166" s="21">
        <f>IFERROR(H166/H446, "NA")</f>
      </c>
      <c r="J166" s="8"/>
      <c r="K166" s="20">
        <f>IFERROR(K160+K161+K162+K163+K164+K165, "NA")</f>
      </c>
      <c r="L166" s="21">
        <f>IFERROR(K166/K446, "NA")</f>
      </c>
      <c r="M166" s="8"/>
      <c r="N166" s="20">
        <f>IFERROR(-(B166-K166), "NA")</f>
      </c>
      <c r="O166" s="21">
        <f>IFERROR(N166/N446, "NA")</f>
      </c>
      <c r="P166" s="8"/>
      <c r="Q166" s="20">
        <f>IFERROR(Q160+Q161+Q162+Q163+Q164+Q165, "NA")</f>
      </c>
      <c r="R166" s="21">
        <f>IFERROR(Q166/Q446, "NA")</f>
      </c>
      <c r="S166" s="8"/>
      <c r="T166" s="20">
        <f>IFERROR(T160+T161+T162+T163+T164+T165, "NA")</f>
      </c>
      <c r="U166" s="21">
        <f>IFERROR(T166/T446, "NA")</f>
      </c>
      <c r="V166" s="8"/>
      <c r="W166" s="20">
        <f>IFERROR(-(Q166-T166), "NA")</f>
      </c>
      <c r="X166" s="21">
        <f>IFERROR(W166/W446, "NA")</f>
      </c>
      <c r="Y166" s="8"/>
      <c r="Z166" s="20">
        <f>IFERROR(Z160+Z161+Z162+Z163+Z164+Z165, "NA")</f>
      </c>
      <c r="AA166" s="21">
        <f>IFERROR(Z166/Z446, "NA")</f>
      </c>
      <c r="AB166" s="8"/>
      <c r="AC166" s="20">
        <f>IFERROR(-(Q166-Z166), "NA")</f>
      </c>
      <c r="AD166" s="21">
        <f>IFERROR(AC166/AC446, "NA")</f>
      </c>
    </row>
    <row r="167" ht="16.5" customHeight="1">
      <c t="s" r="A167" s="12">
        <v>155</v>
      </c>
      <c r="B167" s="13">
        <v>126.38</v>
      </c>
      <c r="C167" s="14">
        <f>IFERROR(B167/B446, "NA")</f>
      </c>
      <c r="D167" s="15"/>
      <c r="E167" s="13">
        <v>0</v>
      </c>
      <c r="F167" s="14">
        <f>IFERROR(E167/E446, "NA")</f>
      </c>
      <c r="G167" s="15"/>
      <c r="H167" s="16">
        <f>IFERROR(-(B167-E167), "NA")</f>
      </c>
      <c r="I167" s="14">
        <f>IFERROR(H167/H446, "NA")</f>
      </c>
      <c r="J167" s="15"/>
      <c r="K167" s="13">
        <v>102.45999999999999</v>
      </c>
      <c r="L167" s="14">
        <f>IFERROR(K167/K446, "NA")</f>
      </c>
      <c r="M167" s="15"/>
      <c r="N167" s="16">
        <f>IFERROR(-(B167-K167), "NA")</f>
      </c>
      <c r="O167" s="14">
        <f>IFERROR(N167/N446, "NA")</f>
      </c>
      <c r="P167" s="15"/>
      <c r="Q167" s="13">
        <v>126.38</v>
      </c>
      <c r="R167" s="14">
        <f>IFERROR(Q167/Q446, "NA")</f>
      </c>
      <c r="S167" s="15"/>
      <c r="T167" s="13">
        <v>0</v>
      </c>
      <c r="U167" s="14">
        <f>IFERROR(T167/T446, "NA")</f>
      </c>
      <c r="V167" s="15"/>
      <c r="W167" s="16">
        <f>IFERROR(-(Q167-T167), "NA")</f>
      </c>
      <c r="X167" s="14">
        <f>IFERROR(W167/W446, "NA")</f>
      </c>
      <c r="Y167" s="15"/>
      <c r="Z167" s="13">
        <v>102.45999999999999</v>
      </c>
      <c r="AA167" s="14">
        <f>IFERROR(Z167/Z446, "NA")</f>
      </c>
      <c r="AB167" s="15"/>
      <c r="AC167" s="16">
        <f>IFERROR(-(Q167-Z167), "NA")</f>
      </c>
      <c r="AD167" s="14">
        <f>IFERROR(AC167/AC446, "NA")</f>
      </c>
    </row>
    <row r="168" ht="16.5" customHeight="1">
      <c t="s" r="A168" s="12">
        <v>156</v>
      </c>
      <c r="B168" s="13">
        <v>27.309999999999999</v>
      </c>
      <c r="C168" s="14">
        <f>IFERROR(B168/B446, "NA")</f>
      </c>
      <c r="D168" s="15"/>
      <c r="E168" s="13">
        <v>0</v>
      </c>
      <c r="F168" s="14">
        <f>IFERROR(E168/E446, "NA")</f>
      </c>
      <c r="G168" s="15"/>
      <c r="H168" s="16">
        <f>IFERROR(-(B168-E168), "NA")</f>
      </c>
      <c r="I168" s="14">
        <f>IFERROR(H168/H446, "NA")</f>
      </c>
      <c r="J168" s="15"/>
      <c r="K168" s="13">
        <v>45.799999999999997</v>
      </c>
      <c r="L168" s="14">
        <f>IFERROR(K168/K446, "NA")</f>
      </c>
      <c r="M168" s="15"/>
      <c r="N168" s="16">
        <f>IFERROR(-(B168-K168), "NA")</f>
      </c>
      <c r="O168" s="14">
        <f>IFERROR(N168/N446, "NA")</f>
      </c>
      <c r="P168" s="15"/>
      <c r="Q168" s="13">
        <v>27.309999999999999</v>
      </c>
      <c r="R168" s="14">
        <f>IFERROR(Q168/Q446, "NA")</f>
      </c>
      <c r="S168" s="15"/>
      <c r="T168" s="13">
        <v>0</v>
      </c>
      <c r="U168" s="14">
        <f>IFERROR(T168/T446, "NA")</f>
      </c>
      <c r="V168" s="15"/>
      <c r="W168" s="16">
        <f>IFERROR(-(Q168-T168), "NA")</f>
      </c>
      <c r="X168" s="14">
        <f>IFERROR(W168/W446, "NA")</f>
      </c>
      <c r="Y168" s="15"/>
      <c r="Z168" s="13">
        <v>45.799999999999997</v>
      </c>
      <c r="AA168" s="14">
        <f>IFERROR(Z168/Z446, "NA")</f>
      </c>
      <c r="AB168" s="15"/>
      <c r="AC168" s="16">
        <f>IFERROR(-(Q168-Z168), "NA")</f>
      </c>
      <c r="AD168" s="14">
        <f>IFERROR(AC168/AC446, "NA")</f>
      </c>
    </row>
    <row r="169" ht="16.5" customHeight="1">
      <c t="s" r="A169" s="12">
        <v>157</v>
      </c>
      <c r="B169" s="13">
        <v>-1219.98</v>
      </c>
      <c r="C169" s="14">
        <f>IFERROR(B169/B446, "NA")</f>
      </c>
      <c r="D169" s="15"/>
      <c r="E169" s="13">
        <v>0</v>
      </c>
      <c r="F169" s="14">
        <f>IFERROR(E169/E446, "NA")</f>
      </c>
      <c r="G169" s="15"/>
      <c r="H169" s="16">
        <f>IFERROR(-(B169-E169), "NA")</f>
      </c>
      <c r="I169" s="14">
        <f>IFERROR(H169/H446, "NA")</f>
      </c>
      <c r="J169" s="15"/>
      <c r="K169" s="13">
        <v>-3914.4200000000001</v>
      </c>
      <c r="L169" s="14">
        <f>IFERROR(K169/K446, "NA")</f>
      </c>
      <c r="M169" s="15"/>
      <c r="N169" s="16">
        <f>IFERROR(-(B169-K169), "NA")</f>
      </c>
      <c r="O169" s="14">
        <f>IFERROR(N169/N446, "NA")</f>
      </c>
      <c r="P169" s="15"/>
      <c r="Q169" s="13">
        <v>-1219.98</v>
      </c>
      <c r="R169" s="14">
        <f>IFERROR(Q169/Q446, "NA")</f>
      </c>
      <c r="S169" s="15"/>
      <c r="T169" s="13">
        <v>0</v>
      </c>
      <c r="U169" s="14">
        <f>IFERROR(T169/T446, "NA")</f>
      </c>
      <c r="V169" s="15"/>
      <c r="W169" s="16">
        <f>IFERROR(-(Q169-T169), "NA")</f>
      </c>
      <c r="X169" s="14">
        <f>IFERROR(W169/W446, "NA")</f>
      </c>
      <c r="Y169" s="15"/>
      <c r="Z169" s="13">
        <v>-3914.4200000000001</v>
      </c>
      <c r="AA169" s="14">
        <f>IFERROR(Z169/Z446, "NA")</f>
      </c>
      <c r="AB169" s="15"/>
      <c r="AC169" s="16">
        <f>IFERROR(-(Q169-Z169), "NA")</f>
      </c>
      <c r="AD169" s="14">
        <f>IFERROR(AC169/AC446, "NA")</f>
      </c>
    </row>
    <row r="170" ht="16.5" customHeight="1">
      <c t="s" r="A170" s="25">
        <v>158</v>
      </c>
      <c r="B170" s="20">
        <f>IFERROR(B151+B153+B154+B155+B156+B157+B160+B161+B162+B163+B164+B165+B167+B168+B169, "NA")</f>
      </c>
      <c r="C170" s="21">
        <f>IFERROR(B170/B446, "NA")</f>
      </c>
      <c r="D170" s="8"/>
      <c r="E170" s="20">
        <f>IFERROR(E151+E153+E154+E155+E156+E157+E160+E161+E162+E163+E164+E165+E167+E168+E169, "NA")</f>
      </c>
      <c r="F170" s="21">
        <f>IFERROR(E170/E446, "NA")</f>
      </c>
      <c r="G170" s="8"/>
      <c r="H170" s="20">
        <f>IFERROR(-(B170-E170), "NA")</f>
      </c>
      <c r="I170" s="21">
        <f>IFERROR(H170/H446, "NA")</f>
      </c>
      <c r="J170" s="8"/>
      <c r="K170" s="20">
        <f>IFERROR(K151+K153+K154+K155+K156+K157+K160+K161+K162+K163+K164+K165+K167+K168+K169, "NA")</f>
      </c>
      <c r="L170" s="21">
        <f>IFERROR(K170/K446, "NA")</f>
      </c>
      <c r="M170" s="8"/>
      <c r="N170" s="20">
        <f>IFERROR(-(B170-K170), "NA")</f>
      </c>
      <c r="O170" s="21">
        <f>IFERROR(N170/N446, "NA")</f>
      </c>
      <c r="P170" s="8"/>
      <c r="Q170" s="20">
        <f>IFERROR(Q151+Q153+Q154+Q155+Q156+Q157+Q160+Q161+Q162+Q163+Q164+Q165+Q167+Q168+Q169, "NA")</f>
      </c>
      <c r="R170" s="21">
        <f>IFERROR(Q170/Q446, "NA")</f>
      </c>
      <c r="S170" s="8"/>
      <c r="T170" s="20">
        <f>IFERROR(T151+T153+T154+T155+T156+T157+T160+T161+T162+T163+T164+T165+T167+T168+T169, "NA")</f>
      </c>
      <c r="U170" s="21">
        <f>IFERROR(T170/T446, "NA")</f>
      </c>
      <c r="V170" s="8"/>
      <c r="W170" s="20">
        <f>IFERROR(-(Q170-T170), "NA")</f>
      </c>
      <c r="X170" s="21">
        <f>IFERROR(W170/W446, "NA")</f>
      </c>
      <c r="Y170" s="8"/>
      <c r="Z170" s="20">
        <f>IFERROR(Z151+Z153+Z154+Z155+Z156+Z157+Z160+Z161+Z162+Z163+Z164+Z165+Z167+Z168+Z169, "NA")</f>
      </c>
      <c r="AA170" s="21">
        <f>IFERROR(Z170/Z446, "NA")</f>
      </c>
      <c r="AB170" s="8"/>
      <c r="AC170" s="20">
        <f>IFERROR(-(Q170-Z170), "NA")</f>
      </c>
      <c r="AD170" s="21">
        <f>IFERROR(AC170/AC446, "NA")</f>
      </c>
    </row>
    <row r="171" ht="16.5" customHeight="1">
      <c t="s" r="A171" s="27">
        <v>159</v>
      </c>
      <c r="B171" s="20">
        <f>IFERROR(B127+B129+B130+B131+B132+B133+B134+B135+B136+B137+B138+B139+B140+B143+B144+B145+B146+B147+B151+B153+B154+B155+B156+B157+B160+B161+B162+B163+B164+B165+B167+B168+B169, "NA")</f>
      </c>
      <c r="C171" s="21">
        <f>IFERROR(B171/B446, "NA")</f>
      </c>
      <c r="D171" s="8"/>
      <c r="E171" s="20">
        <f>IFERROR(E127+E129+E130+E131+E132+E133+E134+E135+E136+E137+E138+E139+E140+E143+E144+E145+E146+E147+E151+E153+E154+E155+E156+E157+E160+E161+E162+E163+E164+E165+E167+E168+E169, "NA")</f>
      </c>
      <c r="F171" s="21">
        <f>IFERROR(E171/E446, "NA")</f>
      </c>
      <c r="G171" s="8"/>
      <c r="H171" s="20">
        <f>IFERROR(-(B171-E171), "NA")</f>
      </c>
      <c r="I171" s="21">
        <f>IFERROR(H171/H446, "NA")</f>
      </c>
      <c r="J171" s="8"/>
      <c r="K171" s="20">
        <f>IFERROR(K127+K129+K130+K131+K132+K133+K134+K135+K136+K137+K138+K139+K140+K143+K144+K145+K146+K147+K151+K153+K154+K155+K156+K157+K160+K161+K162+K163+K164+K165+K167+K168+K169, "NA")</f>
      </c>
      <c r="L171" s="21">
        <f>IFERROR(K171/K446, "NA")</f>
      </c>
      <c r="M171" s="8"/>
      <c r="N171" s="20">
        <f>IFERROR(-(B171-K171), "NA")</f>
      </c>
      <c r="O171" s="21">
        <f>IFERROR(N171/N446, "NA")</f>
      </c>
      <c r="P171" s="8"/>
      <c r="Q171" s="20">
        <f>IFERROR(Q127+Q129+Q130+Q131+Q132+Q133+Q134+Q135+Q136+Q137+Q138+Q139+Q140+Q143+Q144+Q145+Q146+Q147+Q151+Q153+Q154+Q155+Q156+Q157+Q160+Q161+Q162+Q163+Q164+Q165+Q167+Q168+Q169, "NA")</f>
      </c>
      <c r="R171" s="21">
        <f>IFERROR(Q171/Q446, "NA")</f>
      </c>
      <c r="S171" s="8"/>
      <c r="T171" s="20">
        <f>IFERROR(T127+T129+T130+T131+T132+T133+T134+T135+T136+T137+T138+T139+T140+T143+T144+T145+T146+T147+T151+T153+T154+T155+T156+T157+T160+T161+T162+T163+T164+T165+T167+T168+T169, "NA")</f>
      </c>
      <c r="U171" s="21">
        <f>IFERROR(T171/T446, "NA")</f>
      </c>
      <c r="V171" s="8"/>
      <c r="W171" s="20">
        <f>IFERROR(-(Q171-T171), "NA")</f>
      </c>
      <c r="X171" s="21">
        <f>IFERROR(W171/W446, "NA")</f>
      </c>
      <c r="Y171" s="8"/>
      <c r="Z171" s="20">
        <f>IFERROR(Z127+Z129+Z130+Z131+Z132+Z133+Z134+Z135+Z136+Z137+Z138+Z139+Z140+Z143+Z144+Z145+Z146+Z147+Z151+Z153+Z154+Z155+Z156+Z157+Z160+Z161+Z162+Z163+Z164+Z165+Z167+Z168+Z169, "NA")</f>
      </c>
      <c r="AA171" s="21">
        <f>IFERROR(Z171/Z446, "NA")</f>
      </c>
      <c r="AB171" s="8"/>
      <c r="AC171" s="20">
        <f>IFERROR(-(Q171-Z171), "NA")</f>
      </c>
      <c r="AD171" s="21">
        <f>IFERROR(AC171/AC446, "NA")</f>
      </c>
    </row>
    <row r="172" ht="16.5" customHeight="1">
      <c t="s" r="A172" s="28">
        <v>160</v>
      </c>
      <c r="B172" s="29">
        <f>IFERROR(B124-B171, "NA")</f>
      </c>
      <c r="C172" s="30">
        <f>IFERROR(B172/B446, "NA")</f>
      </c>
      <c r="D172" s="31"/>
      <c r="E172" s="29">
        <f>IFERROR(E124-E171, "NA")</f>
      </c>
      <c r="F172" s="30">
        <f>IFERROR(E172/E446, "NA")</f>
      </c>
      <c r="G172" s="31"/>
      <c r="H172" s="29">
        <f>IFERROR(B172-E172, "NA")</f>
      </c>
      <c r="I172" s="30">
        <f>IFERROR(H172/H446, "NA")</f>
      </c>
      <c r="J172" s="31"/>
      <c r="K172" s="29">
        <f>IFERROR(K124-K171, "NA")</f>
      </c>
      <c r="L172" s="30">
        <f>IFERROR(K172/K446, "NA")</f>
      </c>
      <c r="M172" s="31"/>
      <c r="N172" s="29">
        <f>IFERROR(B172-K172, "NA")</f>
      </c>
      <c r="O172" s="30">
        <f>IFERROR(N172/N446, "NA")</f>
      </c>
      <c r="P172" s="31"/>
      <c r="Q172" s="29">
        <f>IFERROR(Q124-Q171, "NA")</f>
      </c>
      <c r="R172" s="30">
        <f>IFERROR(Q172/Q446, "NA")</f>
      </c>
      <c r="S172" s="31"/>
      <c r="T172" s="29">
        <f>IFERROR(T124-T171, "NA")</f>
      </c>
      <c r="U172" s="30">
        <f>IFERROR(T172/T446, "NA")</f>
      </c>
      <c r="V172" s="31"/>
      <c r="W172" s="29">
        <f>IFERROR(Q172-T172, "NA")</f>
      </c>
      <c r="X172" s="30">
        <f>IFERROR(W172/W446, "NA")</f>
      </c>
      <c r="Y172" s="31"/>
      <c r="Z172" s="29">
        <f>IFERROR(Z124-Z171, "NA")</f>
      </c>
      <c r="AA172" s="30">
        <f>IFERROR(Z172/Z446, "NA")</f>
      </c>
      <c r="AB172" s="31"/>
      <c r="AC172" s="29">
        <f>IFERROR(Q172-Z172, "NA")</f>
      </c>
      <c r="AD172" s="30">
        <f>IFERROR(AC172/AC446, "NA")</f>
      </c>
    </row>
    <row r="173" ht="16.5" customHeight="1">
      <c t="s" r="A173" s="7">
        <v>161</v>
      </c>
      <c r="B173" s="8"/>
      <c r="C173" s="9"/>
      <c r="D173" s="10"/>
      <c r="E173" s="8"/>
      <c r="F173" s="9"/>
      <c r="G173" s="10"/>
      <c r="H173" s="8"/>
      <c r="I173" s="9"/>
      <c r="J173" s="10"/>
      <c r="K173" s="8"/>
      <c r="L173" s="9"/>
      <c r="M173" s="10"/>
      <c r="N173" s="8"/>
      <c r="O173" s="9"/>
      <c r="P173" s="10"/>
      <c r="Q173" s="8"/>
      <c r="R173" s="9"/>
      <c r="S173" s="10"/>
      <c r="T173" s="8"/>
      <c r="U173" s="9"/>
      <c r="V173" s="10"/>
      <c r="W173" s="8"/>
      <c r="X173" s="9"/>
      <c r="Y173" s="10"/>
      <c r="Z173" s="8"/>
      <c r="AA173" s="9"/>
      <c r="AB173" s="10"/>
      <c r="AC173" s="8"/>
      <c r="AD173" s="9"/>
    </row>
    <row r="174" ht="16.5" customHeight="1">
      <c t="s" r="A174" s="11">
        <v>161</v>
      </c>
      <c r="B174" s="8"/>
      <c r="C174" s="9"/>
      <c r="D174" s="10"/>
      <c r="E174" s="8"/>
      <c r="F174" s="9"/>
      <c r="G174" s="10"/>
      <c r="H174" s="8"/>
      <c r="I174" s="9"/>
      <c r="J174" s="10"/>
      <c r="K174" s="8"/>
      <c r="L174" s="9"/>
      <c r="M174" s="10"/>
      <c r="N174" s="8"/>
      <c r="O174" s="9"/>
      <c r="P174" s="10"/>
      <c r="Q174" s="8"/>
      <c r="R174" s="9"/>
      <c r="S174" s="10"/>
      <c r="T174" s="8"/>
      <c r="U174" s="9"/>
      <c r="V174" s="10"/>
      <c r="W174" s="8"/>
      <c r="X174" s="9"/>
      <c r="Y174" s="10"/>
      <c r="Z174" s="8"/>
      <c r="AA174" s="9"/>
      <c r="AB174" s="10"/>
      <c r="AC174" s="8"/>
      <c r="AD174" s="9"/>
    </row>
    <row r="175" hidden="1" ht="16.5" customHeight="1">
      <c t="s" r="A175" s="12">
        <v>161</v>
      </c>
      <c r="B175" s="13">
        <v>0</v>
      </c>
      <c r="C175" s="14">
        <f>IFERROR(B175/B446, "NA")</f>
      </c>
      <c r="D175" s="15"/>
      <c r="E175" s="13">
        <v>0</v>
      </c>
      <c r="F175" s="14">
        <f>IFERROR(E175/E446, "NA")</f>
      </c>
      <c r="G175" s="15"/>
      <c r="H175" s="16">
        <f>IFERROR(-(B175-E175), "NA")</f>
      </c>
      <c r="I175" s="14">
        <f>IFERROR(H175/H446, "NA")</f>
      </c>
      <c r="J175" s="15"/>
      <c r="K175" s="13">
        <v>0</v>
      </c>
      <c r="L175" s="14">
        <f>IFERROR(K175/K446, "NA")</f>
      </c>
      <c r="M175" s="15"/>
      <c r="N175" s="16">
        <f>IFERROR(-(B175-K175), "NA")</f>
      </c>
      <c r="O175" s="14">
        <f>IFERROR(N175/N446, "NA")</f>
      </c>
      <c r="P175" s="15"/>
      <c r="Q175" s="13">
        <v>0</v>
      </c>
      <c r="R175" s="14">
        <f>IFERROR(Q175/Q446, "NA")</f>
      </c>
      <c r="S175" s="15"/>
      <c r="T175" s="13">
        <v>0</v>
      </c>
      <c r="U175" s="14">
        <f>IFERROR(T175/T446, "NA")</f>
      </c>
      <c r="V175" s="15"/>
      <c r="W175" s="16">
        <f>IFERROR(-(Q175-T175), "NA")</f>
      </c>
      <c r="X175" s="14">
        <f>IFERROR(W175/W446, "NA")</f>
      </c>
      <c r="Y175" s="15"/>
      <c r="Z175" s="13">
        <v>0</v>
      </c>
      <c r="AA175" s="14">
        <f>IFERROR(Z175/Z446, "NA")</f>
      </c>
      <c r="AB175" s="15"/>
      <c r="AC175" s="16">
        <f>IFERROR(-(Q175-Z175), "NA")</f>
      </c>
      <c r="AD175" s="14">
        <f>IFERROR(AC175/AC446, "NA")</f>
      </c>
    </row>
    <row r="176" ht="16.5" customHeight="1">
      <c t="s" r="A176" s="17">
        <v>162</v>
      </c>
      <c r="B176" s="8"/>
      <c r="C176" s="9"/>
      <c r="D176" s="10"/>
      <c r="E176" s="8"/>
      <c r="F176" s="9"/>
      <c r="G176" s="10"/>
      <c r="H176" s="8"/>
      <c r="I176" s="9"/>
      <c r="J176" s="10"/>
      <c r="K176" s="8"/>
      <c r="L176" s="9"/>
      <c r="M176" s="10"/>
      <c r="N176" s="8"/>
      <c r="O176" s="9"/>
      <c r="P176" s="10"/>
      <c r="Q176" s="8"/>
      <c r="R176" s="9"/>
      <c r="S176" s="10"/>
      <c r="T176" s="8"/>
      <c r="U176" s="9"/>
      <c r="V176" s="10"/>
      <c r="W176" s="8"/>
      <c r="X176" s="9"/>
      <c r="Y176" s="10"/>
      <c r="Z176" s="8"/>
      <c r="AA176" s="9"/>
      <c r="AB176" s="10"/>
      <c r="AC176" s="8"/>
      <c r="AD176" s="9"/>
    </row>
    <row r="177" hidden="1" ht="16.5" customHeight="1">
      <c t="s" r="A177" s="18">
        <v>162</v>
      </c>
      <c r="B177" s="13">
        <v>0</v>
      </c>
      <c r="C177" s="14">
        <f>IFERROR(B177/B446, "NA")</f>
      </c>
      <c r="D177" s="15"/>
      <c r="E177" s="13">
        <v>0</v>
      </c>
      <c r="F177" s="14">
        <f>IFERROR(E177/E446, "NA")</f>
      </c>
      <c r="G177" s="15"/>
      <c r="H177" s="16">
        <f>IFERROR(-(B177-E177), "NA")</f>
      </c>
      <c r="I177" s="14">
        <f>IFERROR(H177/H446, "NA")</f>
      </c>
      <c r="J177" s="15"/>
      <c r="K177" s="13">
        <v>0</v>
      </c>
      <c r="L177" s="14">
        <f>IFERROR(K177/K446, "NA")</f>
      </c>
      <c r="M177" s="15"/>
      <c r="N177" s="16">
        <f>IFERROR(-(B177-K177), "NA")</f>
      </c>
      <c r="O177" s="14">
        <f>IFERROR(N177/N446, "NA")</f>
      </c>
      <c r="P177" s="15"/>
      <c r="Q177" s="13">
        <v>0</v>
      </c>
      <c r="R177" s="14">
        <f>IFERROR(Q177/Q446, "NA")</f>
      </c>
      <c r="S177" s="15"/>
      <c r="T177" s="13">
        <v>0</v>
      </c>
      <c r="U177" s="14">
        <f>IFERROR(T177/T446, "NA")</f>
      </c>
      <c r="V177" s="15"/>
      <c r="W177" s="16">
        <f>IFERROR(-(Q177-T177), "NA")</f>
      </c>
      <c r="X177" s="14">
        <f>IFERROR(W177/W446, "NA")</f>
      </c>
      <c r="Y177" s="15"/>
      <c r="Z177" s="13">
        <v>0</v>
      </c>
      <c r="AA177" s="14">
        <f>IFERROR(Z177/Z446, "NA")</f>
      </c>
      <c r="AB177" s="15"/>
      <c r="AC177" s="16">
        <f>IFERROR(-(Q177-Z177), "NA")</f>
      </c>
      <c r="AD177" s="14">
        <f>IFERROR(AC177/AC446, "NA")</f>
      </c>
    </row>
    <row r="178" ht="16.5" customHeight="1">
      <c t="s" r="A178" s="18">
        <v>163</v>
      </c>
      <c r="B178" s="13">
        <v>5192.3199999999997</v>
      </c>
      <c r="C178" s="14">
        <f>IFERROR(B178/B446, "NA")</f>
      </c>
      <c r="D178" s="15"/>
      <c r="E178" s="13">
        <v>5192.3199999999997</v>
      </c>
      <c r="F178" s="14">
        <f>IFERROR(E178/E446, "NA")</f>
      </c>
      <c r="G178" s="15"/>
      <c r="H178" s="16">
        <f>IFERROR(-(B178-E178), "NA")</f>
      </c>
      <c r="I178" s="14">
        <f>IFERROR(H178/H446, "NA")</f>
      </c>
      <c r="J178" s="15"/>
      <c r="K178" s="13">
        <v>5192.3199999999997</v>
      </c>
      <c r="L178" s="14">
        <f>IFERROR(K178/K446, "NA")</f>
      </c>
      <c r="M178" s="15"/>
      <c r="N178" s="16">
        <f>IFERROR(-(B178-K178), "NA")</f>
      </c>
      <c r="O178" s="14">
        <f>IFERROR(N178/N446, "NA")</f>
      </c>
      <c r="P178" s="15"/>
      <c r="Q178" s="13">
        <v>5192.3199999999997</v>
      </c>
      <c r="R178" s="14">
        <f>IFERROR(Q178/Q446, "NA")</f>
      </c>
      <c r="S178" s="15"/>
      <c r="T178" s="13">
        <v>5192.3199999999997</v>
      </c>
      <c r="U178" s="14">
        <f>IFERROR(T178/T446, "NA")</f>
      </c>
      <c r="V178" s="15"/>
      <c r="W178" s="16">
        <f>IFERROR(-(Q178-T178), "NA")</f>
      </c>
      <c r="X178" s="14">
        <f>IFERROR(W178/W446, "NA")</f>
      </c>
      <c r="Y178" s="15"/>
      <c r="Z178" s="13">
        <v>5192.3199999999997</v>
      </c>
      <c r="AA178" s="14">
        <f>IFERROR(Z178/Z446, "NA")</f>
      </c>
      <c r="AB178" s="15"/>
      <c r="AC178" s="16">
        <f>IFERROR(-(Q178-Z178), "NA")</f>
      </c>
      <c r="AD178" s="14">
        <f>IFERROR(AC178/AC446, "NA")</f>
      </c>
    </row>
    <row r="179" hidden="1" ht="16.5" customHeight="1">
      <c t="s" r="A179" s="18">
        <v>164</v>
      </c>
      <c r="B179" s="13">
        <v>0</v>
      </c>
      <c r="C179" s="14">
        <f>IFERROR(B179/B446, "NA")</f>
      </c>
      <c r="D179" s="15"/>
      <c r="E179" s="13">
        <v>0</v>
      </c>
      <c r="F179" s="14">
        <f>IFERROR(E179/E446, "NA")</f>
      </c>
      <c r="G179" s="15"/>
      <c r="H179" s="16">
        <f>IFERROR(-(B179-E179), "NA")</f>
      </c>
      <c r="I179" s="14">
        <f>IFERROR(H179/H446, "NA")</f>
      </c>
      <c r="J179" s="15"/>
      <c r="K179" s="13">
        <v>0</v>
      </c>
      <c r="L179" s="14">
        <f>IFERROR(K179/K446, "NA")</f>
      </c>
      <c r="M179" s="15"/>
      <c r="N179" s="16">
        <f>IFERROR(-(B179-K179), "NA")</f>
      </c>
      <c r="O179" s="14">
        <f>IFERROR(N179/N446, "NA")</f>
      </c>
      <c r="P179" s="15"/>
      <c r="Q179" s="13">
        <v>0</v>
      </c>
      <c r="R179" s="14">
        <f>IFERROR(Q179/Q446, "NA")</f>
      </c>
      <c r="S179" s="15"/>
      <c r="T179" s="13">
        <v>0</v>
      </c>
      <c r="U179" s="14">
        <f>IFERROR(T179/T446, "NA")</f>
      </c>
      <c r="V179" s="15"/>
      <c r="W179" s="16">
        <f>IFERROR(-(Q179-T179), "NA")</f>
      </c>
      <c r="X179" s="14">
        <f>IFERROR(W179/W446, "NA")</f>
      </c>
      <c r="Y179" s="15"/>
      <c r="Z179" s="13">
        <v>0</v>
      </c>
      <c r="AA179" s="14">
        <f>IFERROR(Z179/Z446, "NA")</f>
      </c>
      <c r="AB179" s="15"/>
      <c r="AC179" s="16">
        <f>IFERROR(-(Q179-Z179), "NA")</f>
      </c>
      <c r="AD179" s="14">
        <f>IFERROR(AC179/AC446, "NA")</f>
      </c>
    </row>
    <row r="180" ht="16.5" customHeight="1">
      <c t="s" r="A180" s="18">
        <v>165</v>
      </c>
      <c r="B180" s="13">
        <v>20184.650000000001</v>
      </c>
      <c r="C180" s="14">
        <f>IFERROR(B180/B446, "NA")</f>
      </c>
      <c r="D180" s="15"/>
      <c r="E180" s="13">
        <v>19908.369999999999</v>
      </c>
      <c r="F180" s="14">
        <f>IFERROR(E180/E446, "NA")</f>
      </c>
      <c r="G180" s="15"/>
      <c r="H180" s="16">
        <f>IFERROR(-(B180-E180), "NA")</f>
      </c>
      <c r="I180" s="14">
        <f>IFERROR(H180/H446, "NA")</f>
      </c>
      <c r="J180" s="15"/>
      <c r="K180" s="13">
        <v>19974.470000000001</v>
      </c>
      <c r="L180" s="14">
        <f>IFERROR(K180/K446, "NA")</f>
      </c>
      <c r="M180" s="15"/>
      <c r="N180" s="16">
        <f>IFERROR(-(B180-K180), "NA")</f>
      </c>
      <c r="O180" s="14">
        <f>IFERROR(N180/N446, "NA")</f>
      </c>
      <c r="P180" s="15"/>
      <c r="Q180" s="13">
        <v>20184.650000000001</v>
      </c>
      <c r="R180" s="14">
        <f>IFERROR(Q180/Q446, "NA")</f>
      </c>
      <c r="S180" s="15"/>
      <c r="T180" s="13">
        <v>19908.369999999999</v>
      </c>
      <c r="U180" s="14">
        <f>IFERROR(T180/T446, "NA")</f>
      </c>
      <c r="V180" s="15"/>
      <c r="W180" s="16">
        <f>IFERROR(-(Q180-T180), "NA")</f>
      </c>
      <c r="X180" s="14">
        <f>IFERROR(W180/W446, "NA")</f>
      </c>
      <c r="Y180" s="15"/>
      <c r="Z180" s="13">
        <v>19974.470000000001</v>
      </c>
      <c r="AA180" s="14">
        <f>IFERROR(Z180/Z446, "NA")</f>
      </c>
      <c r="AB180" s="15"/>
      <c r="AC180" s="16">
        <f>IFERROR(-(Q180-Z180), "NA")</f>
      </c>
      <c r="AD180" s="14">
        <f>IFERROR(AC180/AC446, "NA")</f>
      </c>
    </row>
    <row r="181" ht="16.5" customHeight="1">
      <c t="s" r="A181" s="18">
        <v>166</v>
      </c>
      <c r="B181" s="13">
        <v>0</v>
      </c>
      <c r="C181" s="14">
        <f>IFERROR(B181/B446, "NA")</f>
      </c>
      <c r="D181" s="15"/>
      <c r="E181" s="13">
        <v>0</v>
      </c>
      <c r="F181" s="14">
        <f>IFERROR(E181/E446, "NA")</f>
      </c>
      <c r="G181" s="15"/>
      <c r="H181" s="16">
        <f>IFERROR(-(B181-E181), "NA")</f>
      </c>
      <c r="I181" s="14">
        <f>IFERROR(H181/H446, "NA")</f>
      </c>
      <c r="J181" s="15"/>
      <c r="K181" s="13">
        <v>15.859999999999999</v>
      </c>
      <c r="L181" s="14">
        <f>IFERROR(K181/K446, "NA")</f>
      </c>
      <c r="M181" s="15"/>
      <c r="N181" s="16">
        <f>IFERROR(-(B181-K181), "NA")</f>
      </c>
      <c r="O181" s="14">
        <f>IFERROR(N181/N446, "NA")</f>
      </c>
      <c r="P181" s="15"/>
      <c r="Q181" s="13">
        <v>0</v>
      </c>
      <c r="R181" s="14">
        <f>IFERROR(Q181/Q446, "NA")</f>
      </c>
      <c r="S181" s="15"/>
      <c r="T181" s="13">
        <v>0</v>
      </c>
      <c r="U181" s="14">
        <f>IFERROR(T181/T446, "NA")</f>
      </c>
      <c r="V181" s="15"/>
      <c r="W181" s="16">
        <f>IFERROR(-(Q181-T181), "NA")</f>
      </c>
      <c r="X181" s="14">
        <f>IFERROR(W181/W446, "NA")</f>
      </c>
      <c r="Y181" s="15"/>
      <c r="Z181" s="13">
        <v>15.859999999999999</v>
      </c>
      <c r="AA181" s="14">
        <f>IFERROR(Z181/Z446, "NA")</f>
      </c>
      <c r="AB181" s="15"/>
      <c r="AC181" s="16">
        <f>IFERROR(-(Q181-Z181), "NA")</f>
      </c>
      <c r="AD181" s="14">
        <f>IFERROR(AC181/AC446, "NA")</f>
      </c>
    </row>
    <row r="182" ht="16.5" customHeight="1">
      <c t="s" r="A182" s="19">
        <v>167</v>
      </c>
      <c r="B182" s="20">
        <f>IFERROR(B177+B178+B179+B180+B181, "NA")</f>
      </c>
      <c r="C182" s="21">
        <f>IFERROR(B182/B446, "NA")</f>
      </c>
      <c r="D182" s="8"/>
      <c r="E182" s="20">
        <f>IFERROR(E177+E178+E179+E180+E181, "NA")</f>
      </c>
      <c r="F182" s="21">
        <f>IFERROR(E182/E446, "NA")</f>
      </c>
      <c r="G182" s="8"/>
      <c r="H182" s="20">
        <f>IFERROR(-(B182-E182), "NA")</f>
      </c>
      <c r="I182" s="21">
        <f>IFERROR(H182/H446, "NA")</f>
      </c>
      <c r="J182" s="8"/>
      <c r="K182" s="20">
        <f>IFERROR(K177+K178+K179+K180+K181, "NA")</f>
      </c>
      <c r="L182" s="21">
        <f>IFERROR(K182/K446, "NA")</f>
      </c>
      <c r="M182" s="8"/>
      <c r="N182" s="20">
        <f>IFERROR(-(B182-K182), "NA")</f>
      </c>
      <c r="O182" s="21">
        <f>IFERROR(N182/N446, "NA")</f>
      </c>
      <c r="P182" s="8"/>
      <c r="Q182" s="20">
        <f>IFERROR(Q177+Q178+Q179+Q180+Q181, "NA")</f>
      </c>
      <c r="R182" s="21">
        <f>IFERROR(Q182/Q446, "NA")</f>
      </c>
      <c r="S182" s="8"/>
      <c r="T182" s="20">
        <f>IFERROR(T177+T178+T179+T180+T181, "NA")</f>
      </c>
      <c r="U182" s="21">
        <f>IFERROR(T182/T446, "NA")</f>
      </c>
      <c r="V182" s="8"/>
      <c r="W182" s="20">
        <f>IFERROR(-(Q182-T182), "NA")</f>
      </c>
      <c r="X182" s="21">
        <f>IFERROR(W182/W446, "NA")</f>
      </c>
      <c r="Y182" s="8"/>
      <c r="Z182" s="20">
        <f>IFERROR(Z177+Z178+Z179+Z180+Z181, "NA")</f>
      </c>
      <c r="AA182" s="21">
        <f>IFERROR(Z182/Z446, "NA")</f>
      </c>
      <c r="AB182" s="8"/>
      <c r="AC182" s="20">
        <f>IFERROR(-(Q182-Z182), "NA")</f>
      </c>
      <c r="AD182" s="21">
        <f>IFERROR(AC182/AC446, "NA")</f>
      </c>
    </row>
    <row r="183" hidden="1" ht="16.5" customHeight="1">
      <c t="s" r="A183" s="12">
        <v>168</v>
      </c>
      <c r="B183" s="13">
        <v>0</v>
      </c>
      <c r="C183" s="14">
        <f>IFERROR(B183/B446, "NA")</f>
      </c>
      <c r="D183" s="15"/>
      <c r="E183" s="13">
        <v>0</v>
      </c>
      <c r="F183" s="14">
        <f>IFERROR(E183/E446, "NA")</f>
      </c>
      <c r="G183" s="15"/>
      <c r="H183" s="16">
        <f>IFERROR(-(B183-E183), "NA")</f>
      </c>
      <c r="I183" s="14">
        <f>IFERROR(H183/H446, "NA")</f>
      </c>
      <c r="J183" s="15"/>
      <c r="K183" s="13">
        <v>0</v>
      </c>
      <c r="L183" s="14">
        <f>IFERROR(K183/K446, "NA")</f>
      </c>
      <c r="M183" s="15"/>
      <c r="N183" s="16">
        <f>IFERROR(-(B183-K183), "NA")</f>
      </c>
      <c r="O183" s="14">
        <f>IFERROR(N183/N446, "NA")</f>
      </c>
      <c r="P183" s="15"/>
      <c r="Q183" s="13">
        <v>0</v>
      </c>
      <c r="R183" s="14">
        <f>IFERROR(Q183/Q446, "NA")</f>
      </c>
      <c r="S183" s="15"/>
      <c r="T183" s="13">
        <v>0</v>
      </c>
      <c r="U183" s="14">
        <f>IFERROR(T183/T446, "NA")</f>
      </c>
      <c r="V183" s="15"/>
      <c r="W183" s="16">
        <f>IFERROR(-(Q183-T183), "NA")</f>
      </c>
      <c r="X183" s="14">
        <f>IFERROR(W183/W446, "NA")</f>
      </c>
      <c r="Y183" s="15"/>
      <c r="Z183" s="13">
        <v>0</v>
      </c>
      <c r="AA183" s="14">
        <f>IFERROR(Z183/Z446, "NA")</f>
      </c>
      <c r="AB183" s="15"/>
      <c r="AC183" s="16">
        <f>IFERROR(-(Q183-Z183), "NA")</f>
      </c>
      <c r="AD183" s="14">
        <f>IFERROR(AC183/AC446, "NA")</f>
      </c>
    </row>
    <row r="184" ht="16.5" customHeight="1">
      <c t="s" r="A184" s="12">
        <v>169</v>
      </c>
      <c r="B184" s="13">
        <v>325</v>
      </c>
      <c r="C184" s="14">
        <f>IFERROR(B184/B446, "NA")</f>
      </c>
      <c r="D184" s="15"/>
      <c r="E184" s="13">
        <v>325</v>
      </c>
      <c r="F184" s="14">
        <f>IFERROR(E184/E446, "NA")</f>
      </c>
      <c r="G184" s="15"/>
      <c r="H184" s="16">
        <f>IFERROR(-(B184-E184), "NA")</f>
      </c>
      <c r="I184" s="14">
        <f>IFERROR(H184/H446, "NA")</f>
      </c>
      <c r="J184" s="15"/>
      <c r="K184" s="13">
        <v>500</v>
      </c>
      <c r="L184" s="14">
        <f>IFERROR(K184/K446, "NA")</f>
      </c>
      <c r="M184" s="15"/>
      <c r="N184" s="16">
        <f>IFERROR(-(B184-K184), "NA")</f>
      </c>
      <c r="O184" s="14">
        <f>IFERROR(N184/N446, "NA")</f>
      </c>
      <c r="P184" s="15"/>
      <c r="Q184" s="13">
        <v>325</v>
      </c>
      <c r="R184" s="14">
        <f>IFERROR(Q184/Q446, "NA")</f>
      </c>
      <c r="S184" s="15"/>
      <c r="T184" s="13">
        <v>325</v>
      </c>
      <c r="U184" s="14">
        <f>IFERROR(T184/T446, "NA")</f>
      </c>
      <c r="V184" s="15"/>
      <c r="W184" s="16">
        <f>IFERROR(-(Q184-T184), "NA")</f>
      </c>
      <c r="X184" s="14">
        <f>IFERROR(W184/W446, "NA")</f>
      </c>
      <c r="Y184" s="15"/>
      <c r="Z184" s="13">
        <v>500</v>
      </c>
      <c r="AA184" s="14">
        <f>IFERROR(Z184/Z446, "NA")</f>
      </c>
      <c r="AB184" s="15"/>
      <c r="AC184" s="16">
        <f>IFERROR(-(Q184-Z184), "NA")</f>
      </c>
      <c r="AD184" s="14">
        <f>IFERROR(AC184/AC446, "NA")</f>
      </c>
    </row>
    <row r="185" ht="16.5" customHeight="1">
      <c t="s" r="A185" s="17">
        <v>170</v>
      </c>
      <c r="B185" s="8"/>
      <c r="C185" s="9"/>
      <c r="D185" s="10"/>
      <c r="E185" s="8"/>
      <c r="F185" s="9"/>
      <c r="G185" s="10"/>
      <c r="H185" s="8"/>
      <c r="I185" s="9"/>
      <c r="J185" s="10"/>
      <c r="K185" s="8"/>
      <c r="L185" s="9"/>
      <c r="M185" s="10"/>
      <c r="N185" s="8"/>
      <c r="O185" s="9"/>
      <c r="P185" s="10"/>
      <c r="Q185" s="8"/>
      <c r="R185" s="9"/>
      <c r="S185" s="10"/>
      <c r="T185" s="8"/>
      <c r="U185" s="9"/>
      <c r="V185" s="10"/>
      <c r="W185" s="8"/>
      <c r="X185" s="9"/>
      <c r="Y185" s="10"/>
      <c r="Z185" s="8"/>
      <c r="AA185" s="9"/>
      <c r="AB185" s="10"/>
      <c r="AC185" s="8"/>
      <c r="AD185" s="9"/>
    </row>
    <row r="186" ht="16.5" customHeight="1">
      <c t="s" r="A186" s="18">
        <v>170</v>
      </c>
      <c r="B186" s="13">
        <v>2465.04</v>
      </c>
      <c r="C186" s="14">
        <f>IFERROR(B186/B446, "NA")</f>
      </c>
      <c r="D186" s="15"/>
      <c r="E186" s="13">
        <v>2588.4699999999998</v>
      </c>
      <c r="F186" s="14">
        <f>IFERROR(E186/E446, "NA")</f>
      </c>
      <c r="G186" s="15"/>
      <c r="H186" s="16">
        <f>IFERROR(-(B186-E186), "NA")</f>
      </c>
      <c r="I186" s="14">
        <f>IFERROR(H186/H446, "NA")</f>
      </c>
      <c r="J186" s="15"/>
      <c r="K186" s="13">
        <v>2545.1999999999998</v>
      </c>
      <c r="L186" s="14">
        <f>IFERROR(K186/K446, "NA")</f>
      </c>
      <c r="M186" s="15"/>
      <c r="N186" s="16">
        <f>IFERROR(-(B186-K186), "NA")</f>
      </c>
      <c r="O186" s="14">
        <f>IFERROR(N186/N446, "NA")</f>
      </c>
      <c r="P186" s="15"/>
      <c r="Q186" s="13">
        <v>2465.04</v>
      </c>
      <c r="R186" s="14">
        <f>IFERROR(Q186/Q446, "NA")</f>
      </c>
      <c r="S186" s="15"/>
      <c r="T186" s="13">
        <v>2588.4699999999998</v>
      </c>
      <c r="U186" s="14">
        <f>IFERROR(T186/T446, "NA")</f>
      </c>
      <c r="V186" s="15"/>
      <c r="W186" s="16">
        <f>IFERROR(-(Q186-T186), "NA")</f>
      </c>
      <c r="X186" s="14">
        <f>IFERROR(W186/W446, "NA")</f>
      </c>
      <c r="Y186" s="15"/>
      <c r="Z186" s="13">
        <v>2545.1999999999998</v>
      </c>
      <c r="AA186" s="14">
        <f>IFERROR(Z186/Z446, "NA")</f>
      </c>
      <c r="AB186" s="15"/>
      <c r="AC186" s="16">
        <f>IFERROR(-(Q186-Z186), "NA")</f>
      </c>
      <c r="AD186" s="14">
        <f>IFERROR(AC186/AC446, "NA")</f>
      </c>
    </row>
    <row r="187" hidden="1" ht="16.5" customHeight="1">
      <c t="s" r="A187" s="18">
        <v>171</v>
      </c>
      <c r="B187" s="13">
        <v>0</v>
      </c>
      <c r="C187" s="14">
        <f>IFERROR(B187/B446, "NA")</f>
      </c>
      <c r="D187" s="15"/>
      <c r="E187" s="13">
        <v>0</v>
      </c>
      <c r="F187" s="14">
        <f>IFERROR(E187/E446, "NA")</f>
      </c>
      <c r="G187" s="15"/>
      <c r="H187" s="16">
        <f>IFERROR(-(B187-E187), "NA")</f>
      </c>
      <c r="I187" s="14">
        <f>IFERROR(H187/H446, "NA")</f>
      </c>
      <c r="J187" s="15"/>
      <c r="K187" s="13">
        <v>0</v>
      </c>
      <c r="L187" s="14">
        <f>IFERROR(K187/K446, "NA")</f>
      </c>
      <c r="M187" s="15"/>
      <c r="N187" s="16">
        <f>IFERROR(-(B187-K187), "NA")</f>
      </c>
      <c r="O187" s="14">
        <f>IFERROR(N187/N446, "NA")</f>
      </c>
      <c r="P187" s="15"/>
      <c r="Q187" s="13">
        <v>0</v>
      </c>
      <c r="R187" s="14">
        <f>IFERROR(Q187/Q446, "NA")</f>
      </c>
      <c r="S187" s="15"/>
      <c r="T187" s="13">
        <v>0</v>
      </c>
      <c r="U187" s="14">
        <f>IFERROR(T187/T446, "NA")</f>
      </c>
      <c r="V187" s="15"/>
      <c r="W187" s="16">
        <f>IFERROR(-(Q187-T187), "NA")</f>
      </c>
      <c r="X187" s="14">
        <f>IFERROR(W187/W446, "NA")</f>
      </c>
      <c r="Y187" s="15"/>
      <c r="Z187" s="13">
        <v>0</v>
      </c>
      <c r="AA187" s="14">
        <f>IFERROR(Z187/Z446, "NA")</f>
      </c>
      <c r="AB187" s="15"/>
      <c r="AC187" s="16">
        <f>IFERROR(-(Q187-Z187), "NA")</f>
      </c>
      <c r="AD187" s="14">
        <f>IFERROR(AC187/AC446, "NA")</f>
      </c>
    </row>
    <row r="188" hidden="1" ht="16.5" customHeight="1">
      <c t="s" r="A188" s="18">
        <v>172</v>
      </c>
      <c r="B188" s="13">
        <v>0</v>
      </c>
      <c r="C188" s="14">
        <f>IFERROR(B188/B446, "NA")</f>
      </c>
      <c r="D188" s="15"/>
      <c r="E188" s="13">
        <v>0</v>
      </c>
      <c r="F188" s="14">
        <f>IFERROR(E188/E446, "NA")</f>
      </c>
      <c r="G188" s="15"/>
      <c r="H188" s="16">
        <f>IFERROR(-(B188-E188), "NA")</f>
      </c>
      <c r="I188" s="14">
        <f>IFERROR(H188/H446, "NA")</f>
      </c>
      <c r="J188" s="15"/>
      <c r="K188" s="13">
        <v>0</v>
      </c>
      <c r="L188" s="14">
        <f>IFERROR(K188/K446, "NA")</f>
      </c>
      <c r="M188" s="15"/>
      <c r="N188" s="16">
        <f>IFERROR(-(B188-K188), "NA")</f>
      </c>
      <c r="O188" s="14">
        <f>IFERROR(N188/N446, "NA")</f>
      </c>
      <c r="P188" s="15"/>
      <c r="Q188" s="13">
        <v>0</v>
      </c>
      <c r="R188" s="14">
        <f>IFERROR(Q188/Q446, "NA")</f>
      </c>
      <c r="S188" s="15"/>
      <c r="T188" s="13">
        <v>0</v>
      </c>
      <c r="U188" s="14">
        <f>IFERROR(T188/T446, "NA")</f>
      </c>
      <c r="V188" s="15"/>
      <c r="W188" s="16">
        <f>IFERROR(-(Q188-T188), "NA")</f>
      </c>
      <c r="X188" s="14">
        <f>IFERROR(W188/W446, "NA")</f>
      </c>
      <c r="Y188" s="15"/>
      <c r="Z188" s="13">
        <v>0</v>
      </c>
      <c r="AA188" s="14">
        <f>IFERROR(Z188/Z446, "NA")</f>
      </c>
      <c r="AB188" s="15"/>
      <c r="AC188" s="16">
        <f>IFERROR(-(Q188-Z188), "NA")</f>
      </c>
      <c r="AD188" s="14">
        <f>IFERROR(AC188/AC446, "NA")</f>
      </c>
    </row>
    <row r="189" hidden="1" ht="16.5" customHeight="1">
      <c t="s" r="A189" s="18">
        <v>173</v>
      </c>
      <c r="B189" s="13">
        <v>0</v>
      </c>
      <c r="C189" s="14">
        <f>IFERROR(B189/B446, "NA")</f>
      </c>
      <c r="D189" s="15"/>
      <c r="E189" s="13">
        <v>0</v>
      </c>
      <c r="F189" s="14">
        <f>IFERROR(E189/E446, "NA")</f>
      </c>
      <c r="G189" s="15"/>
      <c r="H189" s="16">
        <f>IFERROR(-(B189-E189), "NA")</f>
      </c>
      <c r="I189" s="14">
        <f>IFERROR(H189/H446, "NA")</f>
      </c>
      <c r="J189" s="15"/>
      <c r="K189" s="13">
        <v>0</v>
      </c>
      <c r="L189" s="14">
        <f>IFERROR(K189/K446, "NA")</f>
      </c>
      <c r="M189" s="15"/>
      <c r="N189" s="16">
        <f>IFERROR(-(B189-K189), "NA")</f>
      </c>
      <c r="O189" s="14">
        <f>IFERROR(N189/N446, "NA")</f>
      </c>
      <c r="P189" s="15"/>
      <c r="Q189" s="13">
        <v>0</v>
      </c>
      <c r="R189" s="14">
        <f>IFERROR(Q189/Q446, "NA")</f>
      </c>
      <c r="S189" s="15"/>
      <c r="T189" s="13">
        <v>0</v>
      </c>
      <c r="U189" s="14">
        <f>IFERROR(T189/T446, "NA")</f>
      </c>
      <c r="V189" s="15"/>
      <c r="W189" s="16">
        <f>IFERROR(-(Q189-T189), "NA")</f>
      </c>
      <c r="X189" s="14">
        <f>IFERROR(W189/W446, "NA")</f>
      </c>
      <c r="Y189" s="15"/>
      <c r="Z189" s="13">
        <v>0</v>
      </c>
      <c r="AA189" s="14">
        <f>IFERROR(Z189/Z446, "NA")</f>
      </c>
      <c r="AB189" s="15"/>
      <c r="AC189" s="16">
        <f>IFERROR(-(Q189-Z189), "NA")</f>
      </c>
      <c r="AD189" s="14">
        <f>IFERROR(AC189/AC446, "NA")</f>
      </c>
    </row>
    <row r="190" hidden="1" ht="16.5" customHeight="1">
      <c t="s" r="A190" s="18">
        <v>174</v>
      </c>
      <c r="B190" s="13">
        <v>0</v>
      </c>
      <c r="C190" s="14">
        <f>IFERROR(B190/B446, "NA")</f>
      </c>
      <c r="D190" s="15"/>
      <c r="E190" s="13">
        <v>0</v>
      </c>
      <c r="F190" s="14">
        <f>IFERROR(E190/E446, "NA")</f>
      </c>
      <c r="G190" s="15"/>
      <c r="H190" s="16">
        <f>IFERROR(-(B190-E190), "NA")</f>
      </c>
      <c r="I190" s="14">
        <f>IFERROR(H190/H446, "NA")</f>
      </c>
      <c r="J190" s="15"/>
      <c r="K190" s="13">
        <v>0</v>
      </c>
      <c r="L190" s="14">
        <f>IFERROR(K190/K446, "NA")</f>
      </c>
      <c r="M190" s="15"/>
      <c r="N190" s="16">
        <f>IFERROR(-(B190-K190), "NA")</f>
      </c>
      <c r="O190" s="14">
        <f>IFERROR(N190/N446, "NA")</f>
      </c>
      <c r="P190" s="15"/>
      <c r="Q190" s="13">
        <v>0</v>
      </c>
      <c r="R190" s="14">
        <f>IFERROR(Q190/Q446, "NA")</f>
      </c>
      <c r="S190" s="15"/>
      <c r="T190" s="13">
        <v>0</v>
      </c>
      <c r="U190" s="14">
        <f>IFERROR(T190/T446, "NA")</f>
      </c>
      <c r="V190" s="15"/>
      <c r="W190" s="16">
        <f>IFERROR(-(Q190-T190), "NA")</f>
      </c>
      <c r="X190" s="14">
        <f>IFERROR(W190/W446, "NA")</f>
      </c>
      <c r="Y190" s="15"/>
      <c r="Z190" s="13">
        <v>0</v>
      </c>
      <c r="AA190" s="14">
        <f>IFERROR(Z190/Z446, "NA")</f>
      </c>
      <c r="AB190" s="15"/>
      <c r="AC190" s="16">
        <f>IFERROR(-(Q190-Z190), "NA")</f>
      </c>
      <c r="AD190" s="14">
        <f>IFERROR(AC190/AC446, "NA")</f>
      </c>
    </row>
    <row r="191" hidden="1" ht="16.5" customHeight="1">
      <c t="s" r="A191" s="18">
        <v>175</v>
      </c>
      <c r="B191" s="13">
        <v>0</v>
      </c>
      <c r="C191" s="14">
        <f>IFERROR(B191/B446, "NA")</f>
      </c>
      <c r="D191" s="15"/>
      <c r="E191" s="13">
        <v>0</v>
      </c>
      <c r="F191" s="14">
        <f>IFERROR(E191/E446, "NA")</f>
      </c>
      <c r="G191" s="15"/>
      <c r="H191" s="16">
        <f>IFERROR(-(B191-E191), "NA")</f>
      </c>
      <c r="I191" s="14">
        <f>IFERROR(H191/H446, "NA")</f>
      </c>
      <c r="J191" s="15"/>
      <c r="K191" s="13">
        <v>0</v>
      </c>
      <c r="L191" s="14">
        <f>IFERROR(K191/K446, "NA")</f>
      </c>
      <c r="M191" s="15"/>
      <c r="N191" s="16">
        <f>IFERROR(-(B191-K191), "NA")</f>
      </c>
      <c r="O191" s="14">
        <f>IFERROR(N191/N446, "NA")</f>
      </c>
      <c r="P191" s="15"/>
      <c r="Q191" s="13">
        <v>0</v>
      </c>
      <c r="R191" s="14">
        <f>IFERROR(Q191/Q446, "NA")</f>
      </c>
      <c r="S191" s="15"/>
      <c r="T191" s="13">
        <v>0</v>
      </c>
      <c r="U191" s="14">
        <f>IFERROR(T191/T446, "NA")</f>
      </c>
      <c r="V191" s="15"/>
      <c r="W191" s="16">
        <f>IFERROR(-(Q191-T191), "NA")</f>
      </c>
      <c r="X191" s="14">
        <f>IFERROR(W191/W446, "NA")</f>
      </c>
      <c r="Y191" s="15"/>
      <c r="Z191" s="13">
        <v>0</v>
      </c>
      <c r="AA191" s="14">
        <f>IFERROR(Z191/Z446, "NA")</f>
      </c>
      <c r="AB191" s="15"/>
      <c r="AC191" s="16">
        <f>IFERROR(-(Q191-Z191), "NA")</f>
      </c>
      <c r="AD191" s="14">
        <f>IFERROR(AC191/AC446, "NA")</f>
      </c>
    </row>
    <row r="192" hidden="1" ht="16.5" customHeight="1">
      <c t="s" r="A192" s="18">
        <v>176</v>
      </c>
      <c r="B192" s="13">
        <v>0</v>
      </c>
      <c r="C192" s="14">
        <f>IFERROR(B192/B446, "NA")</f>
      </c>
      <c r="D192" s="15"/>
      <c r="E192" s="13">
        <v>0</v>
      </c>
      <c r="F192" s="14">
        <f>IFERROR(E192/E446, "NA")</f>
      </c>
      <c r="G192" s="15"/>
      <c r="H192" s="16">
        <f>IFERROR(-(B192-E192), "NA")</f>
      </c>
      <c r="I192" s="14">
        <f>IFERROR(H192/H446, "NA")</f>
      </c>
      <c r="J192" s="15"/>
      <c r="K192" s="13">
        <v>0</v>
      </c>
      <c r="L192" s="14">
        <f>IFERROR(K192/K446, "NA")</f>
      </c>
      <c r="M192" s="15"/>
      <c r="N192" s="16">
        <f>IFERROR(-(B192-K192), "NA")</f>
      </c>
      <c r="O192" s="14">
        <f>IFERROR(N192/N446, "NA")</f>
      </c>
      <c r="P192" s="15"/>
      <c r="Q192" s="13">
        <v>0</v>
      </c>
      <c r="R192" s="14">
        <f>IFERROR(Q192/Q446, "NA")</f>
      </c>
      <c r="S192" s="15"/>
      <c r="T192" s="13">
        <v>0</v>
      </c>
      <c r="U192" s="14">
        <f>IFERROR(T192/T446, "NA")</f>
      </c>
      <c r="V192" s="15"/>
      <c r="W192" s="16">
        <f>IFERROR(-(Q192-T192), "NA")</f>
      </c>
      <c r="X192" s="14">
        <f>IFERROR(W192/W446, "NA")</f>
      </c>
      <c r="Y192" s="15"/>
      <c r="Z192" s="13">
        <v>0</v>
      </c>
      <c r="AA192" s="14">
        <f>IFERROR(Z192/Z446, "NA")</f>
      </c>
      <c r="AB192" s="15"/>
      <c r="AC192" s="16">
        <f>IFERROR(-(Q192-Z192), "NA")</f>
      </c>
      <c r="AD192" s="14">
        <f>IFERROR(AC192/AC446, "NA")</f>
      </c>
    </row>
    <row r="193" ht="16.5" customHeight="1">
      <c t="s" r="A193" s="19">
        <v>177</v>
      </c>
      <c r="B193" s="20">
        <f>IFERROR(B186+B187+B188+B189+B190+B191+B192, "NA")</f>
      </c>
      <c r="C193" s="21">
        <f>IFERROR(B193/B446, "NA")</f>
      </c>
      <c r="D193" s="8"/>
      <c r="E193" s="20">
        <f>IFERROR(E186+E187+E188+E189+E190+E191+E192, "NA")</f>
      </c>
      <c r="F193" s="21">
        <f>IFERROR(E193/E446, "NA")</f>
      </c>
      <c r="G193" s="8"/>
      <c r="H193" s="20">
        <f>IFERROR(-(B193-E193), "NA")</f>
      </c>
      <c r="I193" s="21">
        <f>IFERROR(H193/H446, "NA")</f>
      </c>
      <c r="J193" s="8"/>
      <c r="K193" s="20">
        <f>IFERROR(K186+K187+K188+K189+K190+K191+K192, "NA")</f>
      </c>
      <c r="L193" s="21">
        <f>IFERROR(K193/K446, "NA")</f>
      </c>
      <c r="M193" s="8"/>
      <c r="N193" s="20">
        <f>IFERROR(-(B193-K193), "NA")</f>
      </c>
      <c r="O193" s="21">
        <f>IFERROR(N193/N446, "NA")</f>
      </c>
      <c r="P193" s="8"/>
      <c r="Q193" s="20">
        <f>IFERROR(Q186+Q187+Q188+Q189+Q190+Q191+Q192, "NA")</f>
      </c>
      <c r="R193" s="21">
        <f>IFERROR(Q193/Q446, "NA")</f>
      </c>
      <c r="S193" s="8"/>
      <c r="T193" s="20">
        <f>IFERROR(T186+T187+T188+T189+T190+T191+T192, "NA")</f>
      </c>
      <c r="U193" s="21">
        <f>IFERROR(T193/T446, "NA")</f>
      </c>
      <c r="V193" s="8"/>
      <c r="W193" s="20">
        <f>IFERROR(-(Q193-T193), "NA")</f>
      </c>
      <c r="X193" s="21">
        <f>IFERROR(W193/W446, "NA")</f>
      </c>
      <c r="Y193" s="8"/>
      <c r="Z193" s="20">
        <f>IFERROR(Z186+Z187+Z188+Z189+Z190+Z191+Z192, "NA")</f>
      </c>
      <c r="AA193" s="21">
        <f>IFERROR(Z193/Z446, "NA")</f>
      </c>
      <c r="AB193" s="8"/>
      <c r="AC193" s="20">
        <f>IFERROR(-(Q193-Z193), "NA")</f>
      </c>
      <c r="AD193" s="21">
        <f>IFERROR(AC193/AC446, "NA")</f>
      </c>
    </row>
    <row r="194" ht="16.5" customHeight="1">
      <c t="s" r="A194" s="12">
        <v>178</v>
      </c>
      <c r="B194" s="13">
        <v>275.60000000000002</v>
      </c>
      <c r="C194" s="14">
        <f>IFERROR(B194/B446, "NA")</f>
      </c>
      <c r="D194" s="15"/>
      <c r="E194" s="13">
        <v>203.41</v>
      </c>
      <c r="F194" s="14">
        <f>IFERROR(E194/E446, "NA")</f>
      </c>
      <c r="G194" s="15"/>
      <c r="H194" s="16">
        <f>IFERROR(-(B194-E194), "NA")</f>
      </c>
      <c r="I194" s="14">
        <f>IFERROR(H194/H446, "NA")</f>
      </c>
      <c r="J194" s="15"/>
      <c r="K194" s="13">
        <v>275.60000000000002</v>
      </c>
      <c r="L194" s="14">
        <f>IFERROR(K194/K446, "NA")</f>
      </c>
      <c r="M194" s="15"/>
      <c r="N194" s="16">
        <f>IFERROR(-(B194-K194), "NA")</f>
      </c>
      <c r="O194" s="14">
        <f>IFERROR(N194/N446, "NA")</f>
      </c>
      <c r="P194" s="15"/>
      <c r="Q194" s="13">
        <v>275.60000000000002</v>
      </c>
      <c r="R194" s="14">
        <f>IFERROR(Q194/Q446, "NA")</f>
      </c>
      <c r="S194" s="15"/>
      <c r="T194" s="13">
        <v>203.41</v>
      </c>
      <c r="U194" s="14">
        <f>IFERROR(T194/T446, "NA")</f>
      </c>
      <c r="V194" s="15"/>
      <c r="W194" s="16">
        <f>IFERROR(-(Q194-T194), "NA")</f>
      </c>
      <c r="X194" s="14">
        <f>IFERROR(W194/W446, "NA")</f>
      </c>
      <c r="Y194" s="15"/>
      <c r="Z194" s="13">
        <v>275.60000000000002</v>
      </c>
      <c r="AA194" s="14">
        <f>IFERROR(Z194/Z446, "NA")</f>
      </c>
      <c r="AB194" s="15"/>
      <c r="AC194" s="16">
        <f>IFERROR(-(Q194-Z194), "NA")</f>
      </c>
      <c r="AD194" s="14">
        <f>IFERROR(AC194/AC446, "NA")</f>
      </c>
    </row>
    <row r="195" ht="16.5" customHeight="1">
      <c t="s" r="A195" s="12">
        <v>179</v>
      </c>
      <c r="B195" s="13">
        <v>0</v>
      </c>
      <c r="C195" s="14">
        <f>IFERROR(B195/B446, "NA")</f>
      </c>
      <c r="D195" s="15"/>
      <c r="E195" s="13">
        <v>874.02999999999997</v>
      </c>
      <c r="F195" s="14">
        <f>IFERROR(E195/E446, "NA")</f>
      </c>
      <c r="G195" s="15"/>
      <c r="H195" s="16">
        <f>IFERROR(-(B195-E195), "NA")</f>
      </c>
      <c r="I195" s="14">
        <f>IFERROR(H195/H446, "NA")</f>
      </c>
      <c r="J195" s="15"/>
      <c r="K195" s="13">
        <v>895</v>
      </c>
      <c r="L195" s="14">
        <f>IFERROR(K195/K446, "NA")</f>
      </c>
      <c r="M195" s="15"/>
      <c r="N195" s="16">
        <f>IFERROR(-(B195-K195), "NA")</f>
      </c>
      <c r="O195" s="14">
        <f>IFERROR(N195/N446, "NA")</f>
      </c>
      <c r="P195" s="15"/>
      <c r="Q195" s="13">
        <v>0</v>
      </c>
      <c r="R195" s="14">
        <f>IFERROR(Q195/Q446, "NA")</f>
      </c>
      <c r="S195" s="15"/>
      <c r="T195" s="13">
        <v>874.02999999999997</v>
      </c>
      <c r="U195" s="14">
        <f>IFERROR(T195/T446, "NA")</f>
      </c>
      <c r="V195" s="15"/>
      <c r="W195" s="16">
        <f>IFERROR(-(Q195-T195), "NA")</f>
      </c>
      <c r="X195" s="14">
        <f>IFERROR(W195/W446, "NA")</f>
      </c>
      <c r="Y195" s="15"/>
      <c r="Z195" s="13">
        <v>895</v>
      </c>
      <c r="AA195" s="14">
        <f>IFERROR(Z195/Z446, "NA")</f>
      </c>
      <c r="AB195" s="15"/>
      <c r="AC195" s="16">
        <f>IFERROR(-(Q195-Z195), "NA")</f>
      </c>
      <c r="AD195" s="14">
        <f>IFERROR(AC195/AC446, "NA")</f>
      </c>
    </row>
    <row r="196" ht="16.5" customHeight="1">
      <c t="s" r="A196" s="25">
        <v>180</v>
      </c>
      <c r="B196" s="20">
        <f>IFERROR(B175+B177+B178+B179+B180+B181+B183+B184+B186+B187+B188+B189+B190+B191+B192+B194+B195, "NA")</f>
      </c>
      <c r="C196" s="21">
        <f>IFERROR(B196/B446, "NA")</f>
      </c>
      <c r="D196" s="8"/>
      <c r="E196" s="20">
        <f>IFERROR(E175+E177+E178+E179+E180+E181+E183+E184+E186+E187+E188+E189+E190+E191+E192+E194+E195, "NA")</f>
      </c>
      <c r="F196" s="21">
        <f>IFERROR(E196/E446, "NA")</f>
      </c>
      <c r="G196" s="8"/>
      <c r="H196" s="20">
        <f>IFERROR(-(B196-E196), "NA")</f>
      </c>
      <c r="I196" s="21">
        <f>IFERROR(H196/H446, "NA")</f>
      </c>
      <c r="J196" s="8"/>
      <c r="K196" s="20">
        <f>IFERROR(K175+K177+K178+K179+K180+K181+K183+K184+K186+K187+K188+K189+K190+K191+K192+K194+K195, "NA")</f>
      </c>
      <c r="L196" s="21">
        <f>IFERROR(K196/K446, "NA")</f>
      </c>
      <c r="M196" s="8"/>
      <c r="N196" s="20">
        <f>IFERROR(-(B196-K196), "NA")</f>
      </c>
      <c r="O196" s="21">
        <f>IFERROR(N196/N446, "NA")</f>
      </c>
      <c r="P196" s="8"/>
      <c r="Q196" s="20">
        <f>IFERROR(Q175+Q177+Q178+Q179+Q180+Q181+Q183+Q184+Q186+Q187+Q188+Q189+Q190+Q191+Q192+Q194+Q195, "NA")</f>
      </c>
      <c r="R196" s="21">
        <f>IFERROR(Q196/Q446, "NA")</f>
      </c>
      <c r="S196" s="8"/>
      <c r="T196" s="20">
        <f>IFERROR(T175+T177+T178+T179+T180+T181+T183+T184+T186+T187+T188+T189+T190+T191+T192+T194+T195, "NA")</f>
      </c>
      <c r="U196" s="21">
        <f>IFERROR(T196/T446, "NA")</f>
      </c>
      <c r="V196" s="8"/>
      <c r="W196" s="20">
        <f>IFERROR(-(Q196-T196), "NA")</f>
      </c>
      <c r="X196" s="21">
        <f>IFERROR(W196/W446, "NA")</f>
      </c>
      <c r="Y196" s="8"/>
      <c r="Z196" s="20">
        <f>IFERROR(Z175+Z177+Z178+Z179+Z180+Z181+Z183+Z184+Z186+Z187+Z188+Z189+Z190+Z191+Z192+Z194+Z195, "NA")</f>
      </c>
      <c r="AA196" s="21">
        <f>IFERROR(Z196/Z446, "NA")</f>
      </c>
      <c r="AB196" s="8"/>
      <c r="AC196" s="20">
        <f>IFERROR(-(Q196-Z196), "NA")</f>
      </c>
      <c r="AD196" s="21">
        <f>IFERROR(AC196/AC446, "NA")</f>
      </c>
    </row>
    <row r="197" ht="16.5" customHeight="1">
      <c t="s" r="A197" s="27">
        <v>180</v>
      </c>
      <c r="B197" s="20">
        <f>IFERROR(B175+B177+B178+B179+B180+B181+B183+B184+B186+B187+B188+B189+B190+B191+B192+B194+B195, "NA")</f>
      </c>
      <c r="C197" s="21">
        <f>IFERROR(B197/B446, "NA")</f>
      </c>
      <c r="D197" s="8"/>
      <c r="E197" s="20">
        <f>IFERROR(E175+E177+E178+E179+E180+E181+E183+E184+E186+E187+E188+E189+E190+E191+E192+E194+E195, "NA")</f>
      </c>
      <c r="F197" s="21">
        <f>IFERROR(E197/E446, "NA")</f>
      </c>
      <c r="G197" s="8"/>
      <c r="H197" s="20">
        <f>IFERROR(-(B197-E197), "NA")</f>
      </c>
      <c r="I197" s="21">
        <f>IFERROR(H197/H446, "NA")</f>
      </c>
      <c r="J197" s="8"/>
      <c r="K197" s="20">
        <f>IFERROR(K175+K177+K178+K179+K180+K181+K183+K184+K186+K187+K188+K189+K190+K191+K192+K194+K195, "NA")</f>
      </c>
      <c r="L197" s="21">
        <f>IFERROR(K197/K446, "NA")</f>
      </c>
      <c r="M197" s="8"/>
      <c r="N197" s="20">
        <f>IFERROR(-(B197-K197), "NA")</f>
      </c>
      <c r="O197" s="21">
        <f>IFERROR(N197/N446, "NA")</f>
      </c>
      <c r="P197" s="8"/>
      <c r="Q197" s="20">
        <f>IFERROR(Q175+Q177+Q178+Q179+Q180+Q181+Q183+Q184+Q186+Q187+Q188+Q189+Q190+Q191+Q192+Q194+Q195, "NA")</f>
      </c>
      <c r="R197" s="21">
        <f>IFERROR(Q197/Q446, "NA")</f>
      </c>
      <c r="S197" s="8"/>
      <c r="T197" s="20">
        <f>IFERROR(T175+T177+T178+T179+T180+T181+T183+T184+T186+T187+T188+T189+T190+T191+T192+T194+T195, "NA")</f>
      </c>
      <c r="U197" s="21">
        <f>IFERROR(T197/T446, "NA")</f>
      </c>
      <c r="V197" s="8"/>
      <c r="W197" s="20">
        <f>IFERROR(-(Q197-T197), "NA")</f>
      </c>
      <c r="X197" s="21">
        <f>IFERROR(W197/W446, "NA")</f>
      </c>
      <c r="Y197" s="8"/>
      <c r="Z197" s="20">
        <f>IFERROR(Z175+Z177+Z178+Z179+Z180+Z181+Z183+Z184+Z186+Z187+Z188+Z189+Z190+Z191+Z192+Z194+Z195, "NA")</f>
      </c>
      <c r="AA197" s="21">
        <f>IFERROR(Z197/Z446, "NA")</f>
      </c>
      <c r="AB197" s="8"/>
      <c r="AC197" s="20">
        <f>IFERROR(-(Q197-Z197), "NA")</f>
      </c>
      <c r="AD197" s="21">
        <f>IFERROR(AC197/AC446, "NA")</f>
      </c>
    </row>
    <row r="198" ht="16.5" customHeight="1">
      <c t="s" r="A198" s="28">
        <v>181</v>
      </c>
      <c r="B198" s="29">
        <f>IFERROR(B172-B197, "NA")</f>
      </c>
      <c r="C198" s="30">
        <f>IFERROR(B198/B446, "NA")</f>
      </c>
      <c r="D198" s="31"/>
      <c r="E198" s="29">
        <f>IFERROR(E172-E197, "NA")</f>
      </c>
      <c r="F198" s="30">
        <f>IFERROR(E198/E446, "NA")</f>
      </c>
      <c r="G198" s="31"/>
      <c r="H198" s="29">
        <f>IFERROR(B198-E198, "NA")</f>
      </c>
      <c r="I198" s="30">
        <f>IFERROR(H198/H446, "NA")</f>
      </c>
      <c r="J198" s="31"/>
      <c r="K198" s="29">
        <f>IFERROR(K172-K197, "NA")</f>
      </c>
      <c r="L198" s="30">
        <f>IFERROR(K198/K446, "NA")</f>
      </c>
      <c r="M198" s="31"/>
      <c r="N198" s="29">
        <f>IFERROR(B198-K198, "NA")</f>
      </c>
      <c r="O198" s="30">
        <f>IFERROR(N198/N446, "NA")</f>
      </c>
      <c r="P198" s="31"/>
      <c r="Q198" s="29">
        <f>IFERROR(Q172-Q197, "NA")</f>
      </c>
      <c r="R198" s="30">
        <f>IFERROR(Q198/Q446, "NA")</f>
      </c>
      <c r="S198" s="31"/>
      <c r="T198" s="29">
        <f>IFERROR(T172-T197, "NA")</f>
      </c>
      <c r="U198" s="30">
        <f>IFERROR(T198/T446, "NA")</f>
      </c>
      <c r="V198" s="31"/>
      <c r="W198" s="29">
        <f>IFERROR(Q198-T198, "NA")</f>
      </c>
      <c r="X198" s="30">
        <f>IFERROR(W198/W446, "NA")</f>
      </c>
      <c r="Y198" s="31"/>
      <c r="Z198" s="29">
        <f>IFERROR(Z172-Z197, "NA")</f>
      </c>
      <c r="AA198" s="30">
        <f>IFERROR(Z198/Z446, "NA")</f>
      </c>
      <c r="AB198" s="31"/>
      <c r="AC198" s="29">
        <f>IFERROR(Q198-Z198, "NA")</f>
      </c>
      <c r="AD198" s="30">
        <f>IFERROR(AC198/AC446, "NA")</f>
      </c>
    </row>
    <row r="199" ht="16.5" customHeight="1">
      <c t="s" r="A199" s="7">
        <v>182</v>
      </c>
      <c r="B199" s="8"/>
      <c r="C199" s="9"/>
      <c r="D199" s="10"/>
      <c r="E199" s="8"/>
      <c r="F199" s="9"/>
      <c r="G199" s="10"/>
      <c r="H199" s="8"/>
      <c r="I199" s="9"/>
      <c r="J199" s="10"/>
      <c r="K199" s="8"/>
      <c r="L199" s="9"/>
      <c r="M199" s="10"/>
      <c r="N199" s="8"/>
      <c r="O199" s="9"/>
      <c r="P199" s="10"/>
      <c r="Q199" s="8"/>
      <c r="R199" s="9"/>
      <c r="S199" s="10"/>
      <c r="T199" s="8"/>
      <c r="U199" s="9"/>
      <c r="V199" s="10"/>
      <c r="W199" s="8"/>
      <c r="X199" s="9"/>
      <c r="Y199" s="10"/>
      <c r="Z199" s="8"/>
      <c r="AA199" s="9"/>
      <c r="AB199" s="10"/>
      <c r="AC199" s="8"/>
      <c r="AD199" s="9"/>
    </row>
    <row r="200" ht="16.5" customHeight="1">
      <c t="s" r="A200" s="11">
        <v>183</v>
      </c>
      <c r="B200" s="8"/>
      <c r="C200" s="9"/>
      <c r="D200" s="10"/>
      <c r="E200" s="8"/>
      <c r="F200" s="9"/>
      <c r="G200" s="10"/>
      <c r="H200" s="8"/>
      <c r="I200" s="9"/>
      <c r="J200" s="10"/>
      <c r="K200" s="8"/>
      <c r="L200" s="9"/>
      <c r="M200" s="10"/>
      <c r="N200" s="8"/>
      <c r="O200" s="9"/>
      <c r="P200" s="10"/>
      <c r="Q200" s="8"/>
      <c r="R200" s="9"/>
      <c r="S200" s="10"/>
      <c r="T200" s="8"/>
      <c r="U200" s="9"/>
      <c r="V200" s="10"/>
      <c r="W200" s="8"/>
      <c r="X200" s="9"/>
      <c r="Y200" s="10"/>
      <c r="Z200" s="8"/>
      <c r="AA200" s="9"/>
      <c r="AB200" s="10"/>
      <c r="AC200" s="8"/>
      <c r="AD200" s="9"/>
    </row>
    <row r="201" hidden="1" ht="16.5" customHeight="1">
      <c t="s" r="A201" s="12">
        <v>183</v>
      </c>
      <c r="B201" s="13">
        <v>0</v>
      </c>
      <c r="C201" s="14">
        <f>IFERROR(B201/B446, "NA")</f>
      </c>
      <c r="D201" s="15"/>
      <c r="E201" s="13">
        <v>0</v>
      </c>
      <c r="F201" s="14">
        <f>IFERROR(E201/E446, "NA")</f>
      </c>
      <c r="G201" s="15"/>
      <c r="H201" s="16">
        <f>IFERROR(-(B201-E201), "NA")</f>
      </c>
      <c r="I201" s="14">
        <f>IFERROR(H201/H446, "NA")</f>
      </c>
      <c r="J201" s="15"/>
      <c r="K201" s="13">
        <v>0</v>
      </c>
      <c r="L201" s="14">
        <f>IFERROR(K201/K446, "NA")</f>
      </c>
      <c r="M201" s="15"/>
      <c r="N201" s="16">
        <f>IFERROR(-(B201-K201), "NA")</f>
      </c>
      <c r="O201" s="14">
        <f>IFERROR(N201/N446, "NA")</f>
      </c>
      <c r="P201" s="15"/>
      <c r="Q201" s="13">
        <v>0</v>
      </c>
      <c r="R201" s="14">
        <f>IFERROR(Q201/Q446, "NA")</f>
      </c>
      <c r="S201" s="15"/>
      <c r="T201" s="13">
        <v>0</v>
      </c>
      <c r="U201" s="14">
        <f>IFERROR(T201/T446, "NA")</f>
      </c>
      <c r="V201" s="15"/>
      <c r="W201" s="16">
        <f>IFERROR(-(Q201-T201), "NA")</f>
      </c>
      <c r="X201" s="14">
        <f>IFERROR(W201/W446, "NA")</f>
      </c>
      <c r="Y201" s="15"/>
      <c r="Z201" s="13">
        <v>0</v>
      </c>
      <c r="AA201" s="14">
        <f>IFERROR(Z201/Z446, "NA")</f>
      </c>
      <c r="AB201" s="15"/>
      <c r="AC201" s="16">
        <f>IFERROR(-(Q201-Z201), "NA")</f>
      </c>
      <c r="AD201" s="14">
        <f>IFERROR(AC201/AC446, "NA")</f>
      </c>
    </row>
    <row r="202" ht="16.5" customHeight="1">
      <c t="s" r="A202" s="12">
        <v>184</v>
      </c>
      <c r="B202" s="13">
        <v>870.80999999999995</v>
      </c>
      <c r="C202" s="14">
        <f>IFERROR(B202/B446, "NA")</f>
      </c>
      <c r="D202" s="15"/>
      <c r="E202" s="13">
        <v>1068.25</v>
      </c>
      <c r="F202" s="14">
        <f>IFERROR(E202/E446, "NA")</f>
      </c>
      <c r="G202" s="15"/>
      <c r="H202" s="16">
        <f>IFERROR(-(B202-E202), "NA")</f>
      </c>
      <c r="I202" s="14">
        <f>IFERROR(H202/H446, "NA")</f>
      </c>
      <c r="J202" s="15"/>
      <c r="K202" s="13">
        <v>818.59000000000003</v>
      </c>
      <c r="L202" s="14">
        <f>IFERROR(K202/K446, "NA")</f>
      </c>
      <c r="M202" s="15"/>
      <c r="N202" s="16">
        <f>IFERROR(-(B202-K202), "NA")</f>
      </c>
      <c r="O202" s="14">
        <f>IFERROR(N202/N446, "NA")</f>
      </c>
      <c r="P202" s="15"/>
      <c r="Q202" s="13">
        <v>870.80999999999995</v>
      </c>
      <c r="R202" s="14">
        <f>IFERROR(Q202/Q446, "NA")</f>
      </c>
      <c r="S202" s="15"/>
      <c r="T202" s="13">
        <v>1068.25</v>
      </c>
      <c r="U202" s="14">
        <f>IFERROR(T202/T446, "NA")</f>
      </c>
      <c r="V202" s="15"/>
      <c r="W202" s="16">
        <f>IFERROR(-(Q202-T202), "NA")</f>
      </c>
      <c r="X202" s="14">
        <f>IFERROR(W202/W446, "NA")</f>
      </c>
      <c r="Y202" s="15"/>
      <c r="Z202" s="13">
        <v>818.59000000000003</v>
      </c>
      <c r="AA202" s="14">
        <f>IFERROR(Z202/Z446, "NA")</f>
      </c>
      <c r="AB202" s="15"/>
      <c r="AC202" s="16">
        <f>IFERROR(-(Q202-Z202), "NA")</f>
      </c>
      <c r="AD202" s="14">
        <f>IFERROR(AC202/AC446, "NA")</f>
      </c>
    </row>
    <row r="203" ht="16.5" customHeight="1">
      <c t="s" r="A203" s="12">
        <v>185</v>
      </c>
      <c r="B203" s="13">
        <v>625.96000000000004</v>
      </c>
      <c r="C203" s="14">
        <f>IFERROR(B203/B446, "NA")</f>
      </c>
      <c r="D203" s="15"/>
      <c r="E203" s="13">
        <v>679.79999999999995</v>
      </c>
      <c r="F203" s="14">
        <f>IFERROR(E203/E446, "NA")</f>
      </c>
      <c r="G203" s="15"/>
      <c r="H203" s="16">
        <f>IFERROR(-(B203-E203), "NA")</f>
      </c>
      <c r="I203" s="14">
        <f>IFERROR(H203/H446, "NA")</f>
      </c>
      <c r="J203" s="15"/>
      <c r="K203" s="13">
        <v>524.75</v>
      </c>
      <c r="L203" s="14">
        <f>IFERROR(K203/K446, "NA")</f>
      </c>
      <c r="M203" s="15"/>
      <c r="N203" s="16">
        <f>IFERROR(-(B203-K203), "NA")</f>
      </c>
      <c r="O203" s="14">
        <f>IFERROR(N203/N446, "NA")</f>
      </c>
      <c r="P203" s="15"/>
      <c r="Q203" s="13">
        <v>625.96000000000004</v>
      </c>
      <c r="R203" s="14">
        <f>IFERROR(Q203/Q446, "NA")</f>
      </c>
      <c r="S203" s="15"/>
      <c r="T203" s="13">
        <v>679.79999999999995</v>
      </c>
      <c r="U203" s="14">
        <f>IFERROR(T203/T446, "NA")</f>
      </c>
      <c r="V203" s="15"/>
      <c r="W203" s="16">
        <f>IFERROR(-(Q203-T203), "NA")</f>
      </c>
      <c r="X203" s="14">
        <f>IFERROR(W203/W446, "NA")</f>
      </c>
      <c r="Y203" s="15"/>
      <c r="Z203" s="13">
        <v>524.75</v>
      </c>
      <c r="AA203" s="14">
        <f>IFERROR(Z203/Z446, "NA")</f>
      </c>
      <c r="AB203" s="15"/>
      <c r="AC203" s="16">
        <f>IFERROR(-(Q203-Z203), "NA")</f>
      </c>
      <c r="AD203" s="14">
        <f>IFERROR(AC203/AC446, "NA")</f>
      </c>
    </row>
    <row r="204" ht="16.5" customHeight="1">
      <c t="s" r="A204" s="12">
        <v>186</v>
      </c>
      <c r="B204" s="13">
        <v>22.890000000000001</v>
      </c>
      <c r="C204" s="14">
        <f>IFERROR(B204/B446, "NA")</f>
      </c>
      <c r="D204" s="15"/>
      <c r="E204" s="13">
        <v>194.22999999999999</v>
      </c>
      <c r="F204" s="14">
        <f>IFERROR(E204/E446, "NA")</f>
      </c>
      <c r="G204" s="15"/>
      <c r="H204" s="16">
        <f>IFERROR(-(B204-E204), "NA")</f>
      </c>
      <c r="I204" s="14">
        <f>IFERROR(H204/H446, "NA")</f>
      </c>
      <c r="J204" s="15"/>
      <c r="K204" s="13">
        <v>22.699999999999999</v>
      </c>
      <c r="L204" s="14">
        <f>IFERROR(K204/K446, "NA")</f>
      </c>
      <c r="M204" s="15"/>
      <c r="N204" s="16">
        <f>IFERROR(-(B204-K204), "NA")</f>
      </c>
      <c r="O204" s="14">
        <f>IFERROR(N204/N446, "NA")</f>
      </c>
      <c r="P204" s="15"/>
      <c r="Q204" s="13">
        <v>22.890000000000001</v>
      </c>
      <c r="R204" s="14">
        <f>IFERROR(Q204/Q446, "NA")</f>
      </c>
      <c r="S204" s="15"/>
      <c r="T204" s="13">
        <v>194.22999999999999</v>
      </c>
      <c r="U204" s="14">
        <f>IFERROR(T204/T446, "NA")</f>
      </c>
      <c r="V204" s="15"/>
      <c r="W204" s="16">
        <f>IFERROR(-(Q204-T204), "NA")</f>
      </c>
      <c r="X204" s="14">
        <f>IFERROR(W204/W446, "NA")</f>
      </c>
      <c r="Y204" s="15"/>
      <c r="Z204" s="13">
        <v>22.699999999999999</v>
      </c>
      <c r="AA204" s="14">
        <f>IFERROR(Z204/Z446, "NA")</f>
      </c>
      <c r="AB204" s="15"/>
      <c r="AC204" s="16">
        <f>IFERROR(-(Q204-Z204), "NA")</f>
      </c>
      <c r="AD204" s="14">
        <f>IFERROR(AC204/AC446, "NA")</f>
      </c>
    </row>
    <row r="205" ht="16.5" customHeight="1">
      <c t="s" r="A205" s="12">
        <v>187</v>
      </c>
      <c r="B205" s="13">
        <v>455.30000000000001</v>
      </c>
      <c r="C205" s="14">
        <f>IFERROR(B205/B446, "NA")</f>
      </c>
      <c r="D205" s="15"/>
      <c r="E205" s="13">
        <v>291.33999999999997</v>
      </c>
      <c r="F205" s="14">
        <f>IFERROR(E205/E446, "NA")</f>
      </c>
      <c r="G205" s="15"/>
      <c r="H205" s="16">
        <f>IFERROR(-(B205-E205), "NA")</f>
      </c>
      <c r="I205" s="14">
        <f>IFERROR(H205/H446, "NA")</f>
      </c>
      <c r="J205" s="15"/>
      <c r="K205" s="13">
        <v>364.24000000000001</v>
      </c>
      <c r="L205" s="14">
        <f>IFERROR(K205/K446, "NA")</f>
      </c>
      <c r="M205" s="15"/>
      <c r="N205" s="16">
        <f>IFERROR(-(B205-K205), "NA")</f>
      </c>
      <c r="O205" s="14">
        <f>IFERROR(N205/N446, "NA")</f>
      </c>
      <c r="P205" s="15"/>
      <c r="Q205" s="13">
        <v>455.30000000000001</v>
      </c>
      <c r="R205" s="14">
        <f>IFERROR(Q205/Q446, "NA")</f>
      </c>
      <c r="S205" s="15"/>
      <c r="T205" s="13">
        <v>291.33999999999997</v>
      </c>
      <c r="U205" s="14">
        <f>IFERROR(T205/T446, "NA")</f>
      </c>
      <c r="V205" s="15"/>
      <c r="W205" s="16">
        <f>IFERROR(-(Q205-T205), "NA")</f>
      </c>
      <c r="X205" s="14">
        <f>IFERROR(W205/W446, "NA")</f>
      </c>
      <c r="Y205" s="15"/>
      <c r="Z205" s="13">
        <v>364.24000000000001</v>
      </c>
      <c r="AA205" s="14">
        <f>IFERROR(Z205/Z446, "NA")</f>
      </c>
      <c r="AB205" s="15"/>
      <c r="AC205" s="16">
        <f>IFERROR(-(Q205-Z205), "NA")</f>
      </c>
      <c r="AD205" s="14">
        <f>IFERROR(AC205/AC446, "NA")</f>
      </c>
    </row>
    <row r="206" ht="16.5" customHeight="1">
      <c t="s" r="A206" s="12">
        <v>188</v>
      </c>
      <c r="B206" s="13">
        <v>0</v>
      </c>
      <c r="C206" s="14">
        <f>IFERROR(B206/B446, "NA")</f>
      </c>
      <c r="D206" s="15"/>
      <c r="E206" s="13">
        <v>97.109999999999999</v>
      </c>
      <c r="F206" s="14">
        <f>IFERROR(E206/E446, "NA")</f>
      </c>
      <c r="G206" s="15"/>
      <c r="H206" s="16">
        <f>IFERROR(-(B206-E206), "NA")</f>
      </c>
      <c r="I206" s="14">
        <f>IFERROR(H206/H446, "NA")</f>
      </c>
      <c r="J206" s="15"/>
      <c r="K206" s="13">
        <v>0</v>
      </c>
      <c r="L206" s="14">
        <f>IFERROR(K206/K446, "NA")</f>
      </c>
      <c r="M206" s="15"/>
      <c r="N206" s="16">
        <f>IFERROR(-(B206-K206), "NA")</f>
      </c>
      <c r="O206" s="14">
        <f>IFERROR(N206/N446, "NA")</f>
      </c>
      <c r="P206" s="15"/>
      <c r="Q206" s="13">
        <v>0</v>
      </c>
      <c r="R206" s="14">
        <f>IFERROR(Q206/Q446, "NA")</f>
      </c>
      <c r="S206" s="15"/>
      <c r="T206" s="13">
        <v>97.109999999999999</v>
      </c>
      <c r="U206" s="14">
        <f>IFERROR(T206/T446, "NA")</f>
      </c>
      <c r="V206" s="15"/>
      <c r="W206" s="16">
        <f>IFERROR(-(Q206-T206), "NA")</f>
      </c>
      <c r="X206" s="14">
        <f>IFERROR(W206/W446, "NA")</f>
      </c>
      <c r="Y206" s="15"/>
      <c r="Z206" s="13">
        <v>0</v>
      </c>
      <c r="AA206" s="14">
        <f>IFERROR(Z206/Z446, "NA")</f>
      </c>
      <c r="AB206" s="15"/>
      <c r="AC206" s="16">
        <f>IFERROR(-(Q206-Z206), "NA")</f>
      </c>
      <c r="AD206" s="14">
        <f>IFERROR(AC206/AC446, "NA")</f>
      </c>
    </row>
    <row r="207" ht="16.5" customHeight="1">
      <c t="s" r="A207" s="12">
        <v>189</v>
      </c>
      <c r="B207" s="13">
        <v>0</v>
      </c>
      <c r="C207" s="14">
        <f>IFERROR(B207/B446, "NA")</f>
      </c>
      <c r="D207" s="15"/>
      <c r="E207" s="13">
        <v>100</v>
      </c>
      <c r="F207" s="14">
        <f>IFERROR(E207/E446, "NA")</f>
      </c>
      <c r="G207" s="15"/>
      <c r="H207" s="16">
        <f>IFERROR(-(B207-E207), "NA")</f>
      </c>
      <c r="I207" s="14">
        <f>IFERROR(H207/H446, "NA")</f>
      </c>
      <c r="J207" s="15"/>
      <c r="K207" s="13">
        <v>99.599999999999994</v>
      </c>
      <c r="L207" s="14">
        <f>IFERROR(K207/K446, "NA")</f>
      </c>
      <c r="M207" s="15"/>
      <c r="N207" s="16">
        <f>IFERROR(-(B207-K207), "NA")</f>
      </c>
      <c r="O207" s="14">
        <f>IFERROR(N207/N446, "NA")</f>
      </c>
      <c r="P207" s="15"/>
      <c r="Q207" s="13">
        <v>0</v>
      </c>
      <c r="R207" s="14">
        <f>IFERROR(Q207/Q446, "NA")</f>
      </c>
      <c r="S207" s="15"/>
      <c r="T207" s="13">
        <v>100</v>
      </c>
      <c r="U207" s="14">
        <f>IFERROR(T207/T446, "NA")</f>
      </c>
      <c r="V207" s="15"/>
      <c r="W207" s="16">
        <f>IFERROR(-(Q207-T207), "NA")</f>
      </c>
      <c r="X207" s="14">
        <f>IFERROR(W207/W446, "NA")</f>
      </c>
      <c r="Y207" s="15"/>
      <c r="Z207" s="13">
        <v>99.599999999999994</v>
      </c>
      <c r="AA207" s="14">
        <f>IFERROR(Z207/Z446, "NA")</f>
      </c>
      <c r="AB207" s="15"/>
      <c r="AC207" s="16">
        <f>IFERROR(-(Q207-Z207), "NA")</f>
      </c>
      <c r="AD207" s="14">
        <f>IFERROR(AC207/AC446, "NA")</f>
      </c>
    </row>
    <row r="208" ht="16.5" customHeight="1">
      <c t="s" r="A208" s="12">
        <v>190</v>
      </c>
      <c r="B208" s="13">
        <v>127.12</v>
      </c>
      <c r="C208" s="14">
        <f>IFERROR(B208/B446, "NA")</f>
      </c>
      <c r="D208" s="15"/>
      <c r="E208" s="13">
        <v>100</v>
      </c>
      <c r="F208" s="14">
        <f>IFERROR(E208/E446, "NA")</f>
      </c>
      <c r="G208" s="15"/>
      <c r="H208" s="16">
        <f>IFERROR(-(B208-E208), "NA")</f>
      </c>
      <c r="I208" s="14">
        <f>IFERROR(H208/H446, "NA")</f>
      </c>
      <c r="J208" s="15"/>
      <c r="K208" s="13">
        <v>103.42</v>
      </c>
      <c r="L208" s="14">
        <f>IFERROR(K208/K446, "NA")</f>
      </c>
      <c r="M208" s="15"/>
      <c r="N208" s="16">
        <f>IFERROR(-(B208-K208), "NA")</f>
      </c>
      <c r="O208" s="14">
        <f>IFERROR(N208/N446, "NA")</f>
      </c>
      <c r="P208" s="15"/>
      <c r="Q208" s="13">
        <v>127.12</v>
      </c>
      <c r="R208" s="14">
        <f>IFERROR(Q208/Q446, "NA")</f>
      </c>
      <c r="S208" s="15"/>
      <c r="T208" s="13">
        <v>100</v>
      </c>
      <c r="U208" s="14">
        <f>IFERROR(T208/T446, "NA")</f>
      </c>
      <c r="V208" s="15"/>
      <c r="W208" s="16">
        <f>IFERROR(-(Q208-T208), "NA")</f>
      </c>
      <c r="X208" s="14">
        <f>IFERROR(W208/W446, "NA")</f>
      </c>
      <c r="Y208" s="15"/>
      <c r="Z208" s="13">
        <v>103.42</v>
      </c>
      <c r="AA208" s="14">
        <f>IFERROR(Z208/Z446, "NA")</f>
      </c>
      <c r="AB208" s="15"/>
      <c r="AC208" s="16">
        <f>IFERROR(-(Q208-Z208), "NA")</f>
      </c>
      <c r="AD208" s="14">
        <f>IFERROR(AC208/AC446, "NA")</f>
      </c>
    </row>
    <row r="209" ht="16.5" customHeight="1">
      <c t="s" r="A209" s="25">
        <v>191</v>
      </c>
      <c r="B209" s="20">
        <f>IFERROR(B201+B202+B203+B204+B205+B206+B207+B208, "NA")</f>
      </c>
      <c r="C209" s="21">
        <f>IFERROR(B209/B446, "NA")</f>
      </c>
      <c r="D209" s="8"/>
      <c r="E209" s="20">
        <f>IFERROR(E201+E202+E203+E204+E205+E206+E207+E208, "NA")</f>
      </c>
      <c r="F209" s="21">
        <f>IFERROR(E209/E446, "NA")</f>
      </c>
      <c r="G209" s="8"/>
      <c r="H209" s="20">
        <f>IFERROR(-(B209-E209), "NA")</f>
      </c>
      <c r="I209" s="21">
        <f>IFERROR(H209/H446, "NA")</f>
      </c>
      <c r="J209" s="8"/>
      <c r="K209" s="20">
        <f>IFERROR(K201+K202+K203+K204+K205+K206+K207+K208, "NA")</f>
      </c>
      <c r="L209" s="21">
        <f>IFERROR(K209/K446, "NA")</f>
      </c>
      <c r="M209" s="8"/>
      <c r="N209" s="20">
        <f>IFERROR(-(B209-K209), "NA")</f>
      </c>
      <c r="O209" s="21">
        <f>IFERROR(N209/N446, "NA")</f>
      </c>
      <c r="P209" s="8"/>
      <c r="Q209" s="20">
        <f>IFERROR(Q201+Q202+Q203+Q204+Q205+Q206+Q207+Q208, "NA")</f>
      </c>
      <c r="R209" s="21">
        <f>IFERROR(Q209/Q446, "NA")</f>
      </c>
      <c r="S209" s="8"/>
      <c r="T209" s="20">
        <f>IFERROR(T201+T202+T203+T204+T205+T206+T207+T208, "NA")</f>
      </c>
      <c r="U209" s="21">
        <f>IFERROR(T209/T446, "NA")</f>
      </c>
      <c r="V209" s="8"/>
      <c r="W209" s="20">
        <f>IFERROR(-(Q209-T209), "NA")</f>
      </c>
      <c r="X209" s="21">
        <f>IFERROR(W209/W446, "NA")</f>
      </c>
      <c r="Y209" s="8"/>
      <c r="Z209" s="20">
        <f>IFERROR(Z201+Z202+Z203+Z204+Z205+Z206+Z207+Z208, "NA")</f>
      </c>
      <c r="AA209" s="21">
        <f>IFERROR(Z209/Z446, "NA")</f>
      </c>
      <c r="AB209" s="8"/>
      <c r="AC209" s="20">
        <f>IFERROR(-(Q209-Z209), "NA")</f>
      </c>
      <c r="AD209" s="21">
        <f>IFERROR(AC209/AC446, "NA")</f>
      </c>
    </row>
    <row r="210" ht="16.5" customHeight="1">
      <c t="s" r="A210" s="11">
        <v>192</v>
      </c>
      <c r="B210" s="8"/>
      <c r="C210" s="9"/>
      <c r="D210" s="10"/>
      <c r="E210" s="8"/>
      <c r="F210" s="9"/>
      <c r="G210" s="10"/>
      <c r="H210" s="8"/>
      <c r="I210" s="9"/>
      <c r="J210" s="10"/>
      <c r="K210" s="8"/>
      <c r="L210" s="9"/>
      <c r="M210" s="10"/>
      <c r="N210" s="8"/>
      <c r="O210" s="9"/>
      <c r="P210" s="10"/>
      <c r="Q210" s="8"/>
      <c r="R210" s="9"/>
      <c r="S210" s="10"/>
      <c r="T210" s="8"/>
      <c r="U210" s="9"/>
      <c r="V210" s="10"/>
      <c r="W210" s="8"/>
      <c r="X210" s="9"/>
      <c r="Y210" s="10"/>
      <c r="Z210" s="8"/>
      <c r="AA210" s="9"/>
      <c r="AB210" s="10"/>
      <c r="AC210" s="8"/>
      <c r="AD210" s="9"/>
    </row>
    <row r="211" hidden="1" ht="16.5" customHeight="1">
      <c t="s" r="A211" s="12">
        <v>192</v>
      </c>
      <c r="B211" s="13">
        <v>0</v>
      </c>
      <c r="C211" s="14">
        <f>IFERROR(B211/B446, "NA")</f>
      </c>
      <c r="D211" s="15"/>
      <c r="E211" s="13">
        <v>0</v>
      </c>
      <c r="F211" s="14">
        <f>IFERROR(E211/E446, "NA")</f>
      </c>
      <c r="G211" s="15"/>
      <c r="H211" s="16">
        <f>IFERROR(-(B211-E211), "NA")</f>
      </c>
      <c r="I211" s="14">
        <f>IFERROR(H211/H446, "NA")</f>
      </c>
      <c r="J211" s="15"/>
      <c r="K211" s="13">
        <v>0</v>
      </c>
      <c r="L211" s="14">
        <f>IFERROR(K211/K446, "NA")</f>
      </c>
      <c r="M211" s="15"/>
      <c r="N211" s="16">
        <f>IFERROR(-(B211-K211), "NA")</f>
      </c>
      <c r="O211" s="14">
        <f>IFERROR(N211/N446, "NA")</f>
      </c>
      <c r="P211" s="15"/>
      <c r="Q211" s="13">
        <v>0</v>
      </c>
      <c r="R211" s="14">
        <f>IFERROR(Q211/Q446, "NA")</f>
      </c>
      <c r="S211" s="15"/>
      <c r="T211" s="13">
        <v>0</v>
      </c>
      <c r="U211" s="14">
        <f>IFERROR(T211/T446, "NA")</f>
      </c>
      <c r="V211" s="15"/>
      <c r="W211" s="16">
        <f>IFERROR(-(Q211-T211), "NA")</f>
      </c>
      <c r="X211" s="14">
        <f>IFERROR(W211/W446, "NA")</f>
      </c>
      <c r="Y211" s="15"/>
      <c r="Z211" s="13">
        <v>0</v>
      </c>
      <c r="AA211" s="14">
        <f>IFERROR(Z211/Z446, "NA")</f>
      </c>
      <c r="AB211" s="15"/>
      <c r="AC211" s="16">
        <f>IFERROR(-(Q211-Z211), "NA")</f>
      </c>
      <c r="AD211" s="14">
        <f>IFERROR(AC211/AC446, "NA")</f>
      </c>
    </row>
    <row r="212" ht="16.5" customHeight="1">
      <c t="s" r="A212" s="17">
        <v>193</v>
      </c>
      <c r="B212" s="8"/>
      <c r="C212" s="9"/>
      <c r="D212" s="10"/>
      <c r="E212" s="8"/>
      <c r="F212" s="9"/>
      <c r="G212" s="10"/>
      <c r="H212" s="8"/>
      <c r="I212" s="9"/>
      <c r="J212" s="10"/>
      <c r="K212" s="8"/>
      <c r="L212" s="9"/>
      <c r="M212" s="10"/>
      <c r="N212" s="8"/>
      <c r="O212" s="9"/>
      <c r="P212" s="10"/>
      <c r="Q212" s="8"/>
      <c r="R212" s="9"/>
      <c r="S212" s="10"/>
      <c r="T212" s="8"/>
      <c r="U212" s="9"/>
      <c r="V212" s="10"/>
      <c r="W212" s="8"/>
      <c r="X212" s="9"/>
      <c r="Y212" s="10"/>
      <c r="Z212" s="8"/>
      <c r="AA212" s="9"/>
      <c r="AB212" s="10"/>
      <c r="AC212" s="8"/>
      <c r="AD212" s="9"/>
    </row>
    <row r="213" ht="16.5" customHeight="1">
      <c t="s" r="A213" s="18">
        <v>193</v>
      </c>
      <c r="B213" s="13">
        <v>0</v>
      </c>
      <c r="C213" s="14">
        <f>IFERROR(B213/B446, "NA")</f>
      </c>
      <c r="D213" s="15"/>
      <c r="E213" s="13">
        <v>2816.3099999999999</v>
      </c>
      <c r="F213" s="14">
        <f>IFERROR(E213/E446, "NA")</f>
      </c>
      <c r="G213" s="15"/>
      <c r="H213" s="16">
        <f>IFERROR(-(B213-E213), "NA")</f>
      </c>
      <c r="I213" s="14">
        <f>IFERROR(H213/H446, "NA")</f>
      </c>
      <c r="J213" s="15"/>
      <c r="K213" s="13">
        <v>0</v>
      </c>
      <c r="L213" s="14">
        <f>IFERROR(K213/K446, "NA")</f>
      </c>
      <c r="M213" s="15"/>
      <c r="N213" s="16">
        <f>IFERROR(-(B213-K213), "NA")</f>
      </c>
      <c r="O213" s="14">
        <f>IFERROR(N213/N446, "NA")</f>
      </c>
      <c r="P213" s="15"/>
      <c r="Q213" s="13">
        <v>0</v>
      </c>
      <c r="R213" s="14">
        <f>IFERROR(Q213/Q446, "NA")</f>
      </c>
      <c r="S213" s="15"/>
      <c r="T213" s="13">
        <v>2816.3099999999999</v>
      </c>
      <c r="U213" s="14">
        <f>IFERROR(T213/T446, "NA")</f>
      </c>
      <c r="V213" s="15"/>
      <c r="W213" s="16">
        <f>IFERROR(-(Q213-T213), "NA")</f>
      </c>
      <c r="X213" s="14">
        <f>IFERROR(W213/W446, "NA")</f>
      </c>
      <c r="Y213" s="15"/>
      <c r="Z213" s="13">
        <v>0</v>
      </c>
      <c r="AA213" s="14">
        <f>IFERROR(Z213/Z446, "NA")</f>
      </c>
      <c r="AB213" s="15"/>
      <c r="AC213" s="16">
        <f>IFERROR(-(Q213-Z213), "NA")</f>
      </c>
      <c r="AD213" s="14">
        <f>IFERROR(AC213/AC446, "NA")</f>
      </c>
    </row>
    <row r="214" ht="16.5" customHeight="1">
      <c t="s" r="A214" s="18">
        <v>194</v>
      </c>
      <c r="B214" s="13">
        <v>1462.4100000000001</v>
      </c>
      <c r="C214" s="14">
        <f>IFERROR(B214/B446, "NA")</f>
      </c>
      <c r="D214" s="15"/>
      <c r="E214" s="13">
        <v>0</v>
      </c>
      <c r="F214" s="14">
        <f>IFERROR(E214/E446, "NA")</f>
      </c>
      <c r="G214" s="15"/>
      <c r="H214" s="16">
        <f>IFERROR(-(B214-E214), "NA")</f>
      </c>
      <c r="I214" s="14">
        <f>IFERROR(H214/H446, "NA")</f>
      </c>
      <c r="J214" s="15"/>
      <c r="K214" s="13">
        <v>1858.6099999999999</v>
      </c>
      <c r="L214" s="14">
        <f>IFERROR(K214/K446, "NA")</f>
      </c>
      <c r="M214" s="15"/>
      <c r="N214" s="16">
        <f>IFERROR(-(B214-K214), "NA")</f>
      </c>
      <c r="O214" s="14">
        <f>IFERROR(N214/N446, "NA")</f>
      </c>
      <c r="P214" s="15"/>
      <c r="Q214" s="13">
        <v>1462.4100000000001</v>
      </c>
      <c r="R214" s="14">
        <f>IFERROR(Q214/Q446, "NA")</f>
      </c>
      <c r="S214" s="15"/>
      <c r="T214" s="13">
        <v>0</v>
      </c>
      <c r="U214" s="14">
        <f>IFERROR(T214/T446, "NA")</f>
      </c>
      <c r="V214" s="15"/>
      <c r="W214" s="16">
        <f>IFERROR(-(Q214-T214), "NA")</f>
      </c>
      <c r="X214" s="14">
        <f>IFERROR(W214/W446, "NA")</f>
      </c>
      <c r="Y214" s="15"/>
      <c r="Z214" s="13">
        <v>1858.6099999999999</v>
      </c>
      <c r="AA214" s="14">
        <f>IFERROR(Z214/Z446, "NA")</f>
      </c>
      <c r="AB214" s="15"/>
      <c r="AC214" s="16">
        <f>IFERROR(-(Q214-Z214), "NA")</f>
      </c>
      <c r="AD214" s="14">
        <f>IFERROR(AC214/AC446, "NA")</f>
      </c>
    </row>
    <row r="215" ht="16.5" customHeight="1">
      <c t="s" r="A215" s="18">
        <v>195</v>
      </c>
      <c r="B215" s="13">
        <v>185.38</v>
      </c>
      <c r="C215" s="14">
        <f>IFERROR(B215/B446, "NA")</f>
      </c>
      <c r="D215" s="15"/>
      <c r="E215" s="13">
        <v>0</v>
      </c>
      <c r="F215" s="14">
        <f>IFERROR(E215/E446, "NA")</f>
      </c>
      <c r="G215" s="15"/>
      <c r="H215" s="16">
        <f>IFERROR(-(B215-E215), "NA")</f>
      </c>
      <c r="I215" s="14">
        <f>IFERROR(H215/H446, "NA")</f>
      </c>
      <c r="J215" s="15"/>
      <c r="K215" s="13">
        <v>0</v>
      </c>
      <c r="L215" s="14">
        <f>IFERROR(K215/K446, "NA")</f>
      </c>
      <c r="M215" s="15"/>
      <c r="N215" s="16">
        <f>IFERROR(-(B215-K215), "NA")</f>
      </c>
      <c r="O215" s="14">
        <f>IFERROR(N215/N446, "NA")</f>
      </c>
      <c r="P215" s="15"/>
      <c r="Q215" s="13">
        <v>185.38</v>
      </c>
      <c r="R215" s="14">
        <f>IFERROR(Q215/Q446, "NA")</f>
      </c>
      <c r="S215" s="15"/>
      <c r="T215" s="13">
        <v>0</v>
      </c>
      <c r="U215" s="14">
        <f>IFERROR(T215/T446, "NA")</f>
      </c>
      <c r="V215" s="15"/>
      <c r="W215" s="16">
        <f>IFERROR(-(Q215-T215), "NA")</f>
      </c>
      <c r="X215" s="14">
        <f>IFERROR(W215/W446, "NA")</f>
      </c>
      <c r="Y215" s="15"/>
      <c r="Z215" s="13">
        <v>0</v>
      </c>
      <c r="AA215" s="14">
        <f>IFERROR(Z215/Z446, "NA")</f>
      </c>
      <c r="AB215" s="15"/>
      <c r="AC215" s="16">
        <f>IFERROR(-(Q215-Z215), "NA")</f>
      </c>
      <c r="AD215" s="14">
        <f>IFERROR(AC215/AC446, "NA")</f>
      </c>
    </row>
    <row r="216" hidden="1" ht="16.5" customHeight="1">
      <c t="s" r="A216" s="18">
        <v>196</v>
      </c>
      <c r="B216" s="13">
        <v>0</v>
      </c>
      <c r="C216" s="14">
        <f>IFERROR(B216/B446, "NA")</f>
      </c>
      <c r="D216" s="15"/>
      <c r="E216" s="13">
        <v>0</v>
      </c>
      <c r="F216" s="14">
        <f>IFERROR(E216/E446, "NA")</f>
      </c>
      <c r="G216" s="15"/>
      <c r="H216" s="16">
        <f>IFERROR(-(B216-E216), "NA")</f>
      </c>
      <c r="I216" s="14">
        <f>IFERROR(H216/H446, "NA")</f>
      </c>
      <c r="J216" s="15"/>
      <c r="K216" s="13">
        <v>0</v>
      </c>
      <c r="L216" s="14">
        <f>IFERROR(K216/K446, "NA")</f>
      </c>
      <c r="M216" s="15"/>
      <c r="N216" s="16">
        <f>IFERROR(-(B216-K216), "NA")</f>
      </c>
      <c r="O216" s="14">
        <f>IFERROR(N216/N446, "NA")</f>
      </c>
      <c r="P216" s="15"/>
      <c r="Q216" s="13">
        <v>0</v>
      </c>
      <c r="R216" s="14">
        <f>IFERROR(Q216/Q446, "NA")</f>
      </c>
      <c r="S216" s="15"/>
      <c r="T216" s="13">
        <v>0</v>
      </c>
      <c r="U216" s="14">
        <f>IFERROR(T216/T446, "NA")</f>
      </c>
      <c r="V216" s="15"/>
      <c r="W216" s="16">
        <f>IFERROR(-(Q216-T216), "NA")</f>
      </c>
      <c r="X216" s="14">
        <f>IFERROR(W216/W446, "NA")</f>
      </c>
      <c r="Y216" s="15"/>
      <c r="Z216" s="13">
        <v>0</v>
      </c>
      <c r="AA216" s="14">
        <f>IFERROR(Z216/Z446, "NA")</f>
      </c>
      <c r="AB216" s="15"/>
      <c r="AC216" s="16">
        <f>IFERROR(-(Q216-Z216), "NA")</f>
      </c>
      <c r="AD216" s="14">
        <f>IFERROR(AC216/AC446, "NA")</f>
      </c>
    </row>
    <row r="217" ht="16.5" customHeight="1">
      <c t="s" r="A217" s="18">
        <v>197</v>
      </c>
      <c r="B217" s="13">
        <v>317.68000000000001</v>
      </c>
      <c r="C217" s="14">
        <f>IFERROR(B217/B446, "NA")</f>
      </c>
      <c r="D217" s="15"/>
      <c r="E217" s="13">
        <v>0</v>
      </c>
      <c r="F217" s="14">
        <f>IFERROR(E217/E446, "NA")</f>
      </c>
      <c r="G217" s="15"/>
      <c r="H217" s="16">
        <f>IFERROR(-(B217-E217), "NA")</f>
      </c>
      <c r="I217" s="14">
        <f>IFERROR(H217/H446, "NA")</f>
      </c>
      <c r="J217" s="15"/>
      <c r="K217" s="13">
        <v>1735.97</v>
      </c>
      <c r="L217" s="14">
        <f>IFERROR(K217/K446, "NA")</f>
      </c>
      <c r="M217" s="15"/>
      <c r="N217" s="16">
        <f>IFERROR(-(B217-K217), "NA")</f>
      </c>
      <c r="O217" s="14">
        <f>IFERROR(N217/N446, "NA")</f>
      </c>
      <c r="P217" s="15"/>
      <c r="Q217" s="13">
        <v>317.68000000000001</v>
      </c>
      <c r="R217" s="14">
        <f>IFERROR(Q217/Q446, "NA")</f>
      </c>
      <c r="S217" s="15"/>
      <c r="T217" s="13">
        <v>0</v>
      </c>
      <c r="U217" s="14">
        <f>IFERROR(T217/T446, "NA")</f>
      </c>
      <c r="V217" s="15"/>
      <c r="W217" s="16">
        <f>IFERROR(-(Q217-T217), "NA")</f>
      </c>
      <c r="X217" s="14">
        <f>IFERROR(W217/W446, "NA")</f>
      </c>
      <c r="Y217" s="15"/>
      <c r="Z217" s="13">
        <v>1735.97</v>
      </c>
      <c r="AA217" s="14">
        <f>IFERROR(Z217/Z446, "NA")</f>
      </c>
      <c r="AB217" s="15"/>
      <c r="AC217" s="16">
        <f>IFERROR(-(Q217-Z217), "NA")</f>
      </c>
      <c r="AD217" s="14">
        <f>IFERROR(AC217/AC446, "NA")</f>
      </c>
    </row>
    <row r="218" ht="16.5" customHeight="1">
      <c t="s" r="A218" s="19">
        <v>198</v>
      </c>
      <c r="B218" s="20">
        <f>IFERROR(B213+B214+B215+B216+B217, "NA")</f>
      </c>
      <c r="C218" s="21">
        <f>IFERROR(B218/B446, "NA")</f>
      </c>
      <c r="D218" s="8"/>
      <c r="E218" s="20">
        <f>IFERROR(E213+E214+E215+E216+E217, "NA")</f>
      </c>
      <c r="F218" s="21">
        <f>IFERROR(E218/E446, "NA")</f>
      </c>
      <c r="G218" s="8"/>
      <c r="H218" s="20">
        <f>IFERROR(-(B218-E218), "NA")</f>
      </c>
      <c r="I218" s="21">
        <f>IFERROR(H218/H446, "NA")</f>
      </c>
      <c r="J218" s="8"/>
      <c r="K218" s="20">
        <f>IFERROR(K213+K214+K215+K216+K217, "NA")</f>
      </c>
      <c r="L218" s="21">
        <f>IFERROR(K218/K446, "NA")</f>
      </c>
      <c r="M218" s="8"/>
      <c r="N218" s="20">
        <f>IFERROR(-(B218-K218), "NA")</f>
      </c>
      <c r="O218" s="21">
        <f>IFERROR(N218/N446, "NA")</f>
      </c>
      <c r="P218" s="8"/>
      <c r="Q218" s="20">
        <f>IFERROR(Q213+Q214+Q215+Q216+Q217, "NA")</f>
      </c>
      <c r="R218" s="21">
        <f>IFERROR(Q218/Q446, "NA")</f>
      </c>
      <c r="S218" s="8"/>
      <c r="T218" s="20">
        <f>IFERROR(T213+T214+T215+T216+T217, "NA")</f>
      </c>
      <c r="U218" s="21">
        <f>IFERROR(T218/T446, "NA")</f>
      </c>
      <c r="V218" s="8"/>
      <c r="W218" s="20">
        <f>IFERROR(-(Q218-T218), "NA")</f>
      </c>
      <c r="X218" s="21">
        <f>IFERROR(W218/W446, "NA")</f>
      </c>
      <c r="Y218" s="8"/>
      <c r="Z218" s="20">
        <f>IFERROR(Z213+Z214+Z215+Z216+Z217, "NA")</f>
      </c>
      <c r="AA218" s="21">
        <f>IFERROR(Z218/Z446, "NA")</f>
      </c>
      <c r="AB218" s="8"/>
      <c r="AC218" s="20">
        <f>IFERROR(-(Q218-Z218), "NA")</f>
      </c>
      <c r="AD218" s="21">
        <f>IFERROR(AC218/AC446, "NA")</f>
      </c>
    </row>
    <row r="219" hidden="1" ht="16.5" customHeight="1">
      <c t="s" r="A219" s="12">
        <v>199</v>
      </c>
      <c r="B219" s="13">
        <v>0</v>
      </c>
      <c r="C219" s="14">
        <f>IFERROR(B219/B446, "NA")</f>
      </c>
      <c r="D219" s="15"/>
      <c r="E219" s="13">
        <v>0</v>
      </c>
      <c r="F219" s="14">
        <f>IFERROR(E219/E446, "NA")</f>
      </c>
      <c r="G219" s="15"/>
      <c r="H219" s="16">
        <f>IFERROR(-(B219-E219), "NA")</f>
      </c>
      <c r="I219" s="14">
        <f>IFERROR(H219/H446, "NA")</f>
      </c>
      <c r="J219" s="15"/>
      <c r="K219" s="13">
        <v>0</v>
      </c>
      <c r="L219" s="14">
        <f>IFERROR(K219/K446, "NA")</f>
      </c>
      <c r="M219" s="15"/>
      <c r="N219" s="16">
        <f>IFERROR(-(B219-K219), "NA")</f>
      </c>
      <c r="O219" s="14">
        <f>IFERROR(N219/N446, "NA")</f>
      </c>
      <c r="P219" s="15"/>
      <c r="Q219" s="13">
        <v>0</v>
      </c>
      <c r="R219" s="14">
        <f>IFERROR(Q219/Q446, "NA")</f>
      </c>
      <c r="S219" s="15"/>
      <c r="T219" s="13">
        <v>0</v>
      </c>
      <c r="U219" s="14">
        <f>IFERROR(T219/T446, "NA")</f>
      </c>
      <c r="V219" s="15"/>
      <c r="W219" s="16">
        <f>IFERROR(-(Q219-T219), "NA")</f>
      </c>
      <c r="X219" s="14">
        <f>IFERROR(W219/W446, "NA")</f>
      </c>
      <c r="Y219" s="15"/>
      <c r="Z219" s="13">
        <v>0</v>
      </c>
      <c r="AA219" s="14">
        <f>IFERROR(Z219/Z446, "NA")</f>
      </c>
      <c r="AB219" s="15"/>
      <c r="AC219" s="16">
        <f>IFERROR(-(Q219-Z219), "NA")</f>
      </c>
      <c r="AD219" s="14">
        <f>IFERROR(AC219/AC446, "NA")</f>
      </c>
    </row>
    <row r="220" hidden="1" ht="16.5" customHeight="1">
      <c t="s" r="A220" s="12">
        <v>200</v>
      </c>
      <c r="B220" s="13">
        <v>0</v>
      </c>
      <c r="C220" s="14">
        <f>IFERROR(B220/B446, "NA")</f>
      </c>
      <c r="D220" s="15"/>
      <c r="E220" s="13">
        <v>0</v>
      </c>
      <c r="F220" s="14">
        <f>IFERROR(E220/E446, "NA")</f>
      </c>
      <c r="G220" s="15"/>
      <c r="H220" s="16">
        <f>IFERROR(-(B220-E220), "NA")</f>
      </c>
      <c r="I220" s="14">
        <f>IFERROR(H220/H446, "NA")</f>
      </c>
      <c r="J220" s="15"/>
      <c r="K220" s="13">
        <v>0</v>
      </c>
      <c r="L220" s="14">
        <f>IFERROR(K220/K446, "NA")</f>
      </c>
      <c r="M220" s="15"/>
      <c r="N220" s="16">
        <f>IFERROR(-(B220-K220), "NA")</f>
      </c>
      <c r="O220" s="14">
        <f>IFERROR(N220/N446, "NA")</f>
      </c>
      <c r="P220" s="15"/>
      <c r="Q220" s="13">
        <v>0</v>
      </c>
      <c r="R220" s="14">
        <f>IFERROR(Q220/Q446, "NA")</f>
      </c>
      <c r="S220" s="15"/>
      <c r="T220" s="13">
        <v>0</v>
      </c>
      <c r="U220" s="14">
        <f>IFERROR(T220/T446, "NA")</f>
      </c>
      <c r="V220" s="15"/>
      <c r="W220" s="16">
        <f>IFERROR(-(Q220-T220), "NA")</f>
      </c>
      <c r="X220" s="14">
        <f>IFERROR(W220/W446, "NA")</f>
      </c>
      <c r="Y220" s="15"/>
      <c r="Z220" s="13">
        <v>0</v>
      </c>
      <c r="AA220" s="14">
        <f>IFERROR(Z220/Z446, "NA")</f>
      </c>
      <c r="AB220" s="15"/>
      <c r="AC220" s="16">
        <f>IFERROR(-(Q220-Z220), "NA")</f>
      </c>
      <c r="AD220" s="14">
        <f>IFERROR(AC220/AC446, "NA")</f>
      </c>
    </row>
    <row r="221" hidden="1" ht="16.5" customHeight="1">
      <c t="s" r="A221" s="12">
        <v>201</v>
      </c>
      <c r="B221" s="13">
        <v>0</v>
      </c>
      <c r="C221" s="14">
        <f>IFERROR(B221/B446, "NA")</f>
      </c>
      <c r="D221" s="15"/>
      <c r="E221" s="13">
        <v>0</v>
      </c>
      <c r="F221" s="14">
        <f>IFERROR(E221/E446, "NA")</f>
      </c>
      <c r="G221" s="15"/>
      <c r="H221" s="16">
        <f>IFERROR(-(B221-E221), "NA")</f>
      </c>
      <c r="I221" s="14">
        <f>IFERROR(H221/H446, "NA")</f>
      </c>
      <c r="J221" s="15"/>
      <c r="K221" s="13">
        <v>0</v>
      </c>
      <c r="L221" s="14">
        <f>IFERROR(K221/K446, "NA")</f>
      </c>
      <c r="M221" s="15"/>
      <c r="N221" s="16">
        <f>IFERROR(-(B221-K221), "NA")</f>
      </c>
      <c r="O221" s="14">
        <f>IFERROR(N221/N446, "NA")</f>
      </c>
      <c r="P221" s="15"/>
      <c r="Q221" s="13">
        <v>0</v>
      </c>
      <c r="R221" s="14">
        <f>IFERROR(Q221/Q446, "NA")</f>
      </c>
      <c r="S221" s="15"/>
      <c r="T221" s="13">
        <v>0</v>
      </c>
      <c r="U221" s="14">
        <f>IFERROR(T221/T446, "NA")</f>
      </c>
      <c r="V221" s="15"/>
      <c r="W221" s="16">
        <f>IFERROR(-(Q221-T221), "NA")</f>
      </c>
      <c r="X221" s="14">
        <f>IFERROR(W221/W446, "NA")</f>
      </c>
      <c r="Y221" s="15"/>
      <c r="Z221" s="13">
        <v>0</v>
      </c>
      <c r="AA221" s="14">
        <f>IFERROR(Z221/Z446, "NA")</f>
      </c>
      <c r="AB221" s="15"/>
      <c r="AC221" s="16">
        <f>IFERROR(-(Q221-Z221), "NA")</f>
      </c>
      <c r="AD221" s="14">
        <f>IFERROR(AC221/AC446, "NA")</f>
      </c>
    </row>
    <row r="222" ht="16.5" customHeight="1">
      <c t="s" r="A222" s="12">
        <v>202</v>
      </c>
      <c r="B222" s="13">
        <v>0</v>
      </c>
      <c r="C222" s="14">
        <f>IFERROR(B222/B446, "NA")</f>
      </c>
      <c r="D222" s="15"/>
      <c r="E222" s="13">
        <v>100</v>
      </c>
      <c r="F222" s="14">
        <f>IFERROR(E222/E446, "NA")</f>
      </c>
      <c r="G222" s="15"/>
      <c r="H222" s="16">
        <f>IFERROR(-(B222-E222), "NA")</f>
      </c>
      <c r="I222" s="14">
        <f>IFERROR(H222/H446, "NA")</f>
      </c>
      <c r="J222" s="15"/>
      <c r="K222" s="13">
        <v>246.84999999999999</v>
      </c>
      <c r="L222" s="14">
        <f>IFERROR(K222/K446, "NA")</f>
      </c>
      <c r="M222" s="15"/>
      <c r="N222" s="16">
        <f>IFERROR(-(B222-K222), "NA")</f>
      </c>
      <c r="O222" s="14">
        <f>IFERROR(N222/N446, "NA")</f>
      </c>
      <c r="P222" s="15"/>
      <c r="Q222" s="13">
        <v>0</v>
      </c>
      <c r="R222" s="14">
        <f>IFERROR(Q222/Q446, "NA")</f>
      </c>
      <c r="S222" s="15"/>
      <c r="T222" s="13">
        <v>100</v>
      </c>
      <c r="U222" s="14">
        <f>IFERROR(T222/T446, "NA")</f>
      </c>
      <c r="V222" s="15"/>
      <c r="W222" s="16">
        <f>IFERROR(-(Q222-T222), "NA")</f>
      </c>
      <c r="X222" s="14">
        <f>IFERROR(W222/W446, "NA")</f>
      </c>
      <c r="Y222" s="15"/>
      <c r="Z222" s="13">
        <v>246.84999999999999</v>
      </c>
      <c r="AA222" s="14">
        <f>IFERROR(Z222/Z446, "NA")</f>
      </c>
      <c r="AB222" s="15"/>
      <c r="AC222" s="16">
        <f>IFERROR(-(Q222-Z222), "NA")</f>
      </c>
      <c r="AD222" s="14">
        <f>IFERROR(AC222/AC446, "NA")</f>
      </c>
    </row>
    <row r="223" hidden="1" ht="16.5" customHeight="1">
      <c t="s" r="A223" s="12">
        <v>203</v>
      </c>
      <c r="B223" s="13">
        <v>0</v>
      </c>
      <c r="C223" s="14">
        <f>IFERROR(B223/B446, "NA")</f>
      </c>
      <c r="D223" s="15"/>
      <c r="E223" s="13">
        <v>0</v>
      </c>
      <c r="F223" s="14">
        <f>IFERROR(E223/E446, "NA")</f>
      </c>
      <c r="G223" s="15"/>
      <c r="H223" s="16">
        <f>IFERROR(-(B223-E223), "NA")</f>
      </c>
      <c r="I223" s="14">
        <f>IFERROR(H223/H446, "NA")</f>
      </c>
      <c r="J223" s="15"/>
      <c r="K223" s="13">
        <v>0</v>
      </c>
      <c r="L223" s="14">
        <f>IFERROR(K223/K446, "NA")</f>
      </c>
      <c r="M223" s="15"/>
      <c r="N223" s="16">
        <f>IFERROR(-(B223-K223), "NA")</f>
      </c>
      <c r="O223" s="14">
        <f>IFERROR(N223/N446, "NA")</f>
      </c>
      <c r="P223" s="15"/>
      <c r="Q223" s="13">
        <v>0</v>
      </c>
      <c r="R223" s="14">
        <f>IFERROR(Q223/Q446, "NA")</f>
      </c>
      <c r="S223" s="15"/>
      <c r="T223" s="13">
        <v>0</v>
      </c>
      <c r="U223" s="14">
        <f>IFERROR(T223/T446, "NA")</f>
      </c>
      <c r="V223" s="15"/>
      <c r="W223" s="16">
        <f>IFERROR(-(Q223-T223), "NA")</f>
      </c>
      <c r="X223" s="14">
        <f>IFERROR(W223/W446, "NA")</f>
      </c>
      <c r="Y223" s="15"/>
      <c r="Z223" s="13">
        <v>0</v>
      </c>
      <c r="AA223" s="14">
        <f>IFERROR(Z223/Z446, "NA")</f>
      </c>
      <c r="AB223" s="15"/>
      <c r="AC223" s="16">
        <f>IFERROR(-(Q223-Z223), "NA")</f>
      </c>
      <c r="AD223" s="14">
        <f>IFERROR(AC223/AC446, "NA")</f>
      </c>
    </row>
    <row r="224" hidden="1" ht="16.5" customHeight="1">
      <c t="s" r="A224" s="12">
        <v>204</v>
      </c>
      <c r="B224" s="13">
        <v>0</v>
      </c>
      <c r="C224" s="14">
        <f>IFERROR(B224/B446, "NA")</f>
      </c>
      <c r="D224" s="15"/>
      <c r="E224" s="13">
        <v>0</v>
      </c>
      <c r="F224" s="14">
        <f>IFERROR(E224/E446, "NA")</f>
      </c>
      <c r="G224" s="15"/>
      <c r="H224" s="16">
        <f>IFERROR(-(B224-E224), "NA")</f>
      </c>
      <c r="I224" s="14">
        <f>IFERROR(H224/H446, "NA")</f>
      </c>
      <c r="J224" s="15"/>
      <c r="K224" s="13">
        <v>0</v>
      </c>
      <c r="L224" s="14">
        <f>IFERROR(K224/K446, "NA")</f>
      </c>
      <c r="M224" s="15"/>
      <c r="N224" s="16">
        <f>IFERROR(-(B224-K224), "NA")</f>
      </c>
      <c r="O224" s="14">
        <f>IFERROR(N224/N446, "NA")</f>
      </c>
      <c r="P224" s="15"/>
      <c r="Q224" s="13">
        <v>0</v>
      </c>
      <c r="R224" s="14">
        <f>IFERROR(Q224/Q446, "NA")</f>
      </c>
      <c r="S224" s="15"/>
      <c r="T224" s="13">
        <v>0</v>
      </c>
      <c r="U224" s="14">
        <f>IFERROR(T224/T446, "NA")</f>
      </c>
      <c r="V224" s="15"/>
      <c r="W224" s="16">
        <f>IFERROR(-(Q224-T224), "NA")</f>
      </c>
      <c r="X224" s="14">
        <f>IFERROR(W224/W446, "NA")</f>
      </c>
      <c r="Y224" s="15"/>
      <c r="Z224" s="13">
        <v>0</v>
      </c>
      <c r="AA224" s="14">
        <f>IFERROR(Z224/Z446, "NA")</f>
      </c>
      <c r="AB224" s="15"/>
      <c r="AC224" s="16">
        <f>IFERROR(-(Q224-Z224), "NA")</f>
      </c>
      <c r="AD224" s="14">
        <f>IFERROR(AC224/AC446, "NA")</f>
      </c>
    </row>
    <row r="225" hidden="1" ht="16.5" customHeight="1">
      <c t="s" r="A225" s="12">
        <v>205</v>
      </c>
      <c r="B225" s="13">
        <v>0</v>
      </c>
      <c r="C225" s="14">
        <f>IFERROR(B225/B446, "NA")</f>
      </c>
      <c r="D225" s="15"/>
      <c r="E225" s="13">
        <v>0</v>
      </c>
      <c r="F225" s="14">
        <f>IFERROR(E225/E446, "NA")</f>
      </c>
      <c r="G225" s="15"/>
      <c r="H225" s="16">
        <f>IFERROR(-(B225-E225), "NA")</f>
      </c>
      <c r="I225" s="14">
        <f>IFERROR(H225/H446, "NA")</f>
      </c>
      <c r="J225" s="15"/>
      <c r="K225" s="13">
        <v>0</v>
      </c>
      <c r="L225" s="14">
        <f>IFERROR(K225/K446, "NA")</f>
      </c>
      <c r="M225" s="15"/>
      <c r="N225" s="16">
        <f>IFERROR(-(B225-K225), "NA")</f>
      </c>
      <c r="O225" s="14">
        <f>IFERROR(N225/N446, "NA")</f>
      </c>
      <c r="P225" s="15"/>
      <c r="Q225" s="13">
        <v>0</v>
      </c>
      <c r="R225" s="14">
        <f>IFERROR(Q225/Q446, "NA")</f>
      </c>
      <c r="S225" s="15"/>
      <c r="T225" s="13">
        <v>0</v>
      </c>
      <c r="U225" s="14">
        <f>IFERROR(T225/T446, "NA")</f>
      </c>
      <c r="V225" s="15"/>
      <c r="W225" s="16">
        <f>IFERROR(-(Q225-T225), "NA")</f>
      </c>
      <c r="X225" s="14">
        <f>IFERROR(W225/W446, "NA")</f>
      </c>
      <c r="Y225" s="15"/>
      <c r="Z225" s="13">
        <v>0</v>
      </c>
      <c r="AA225" s="14">
        <f>IFERROR(Z225/Z446, "NA")</f>
      </c>
      <c r="AB225" s="15"/>
      <c r="AC225" s="16">
        <f>IFERROR(-(Q225-Z225), "NA")</f>
      </c>
      <c r="AD225" s="14">
        <f>IFERROR(AC225/AC446, "NA")</f>
      </c>
    </row>
    <row r="226" hidden="1" ht="16.5" customHeight="1">
      <c t="s" r="A226" s="12">
        <v>206</v>
      </c>
      <c r="B226" s="13">
        <v>0</v>
      </c>
      <c r="C226" s="14">
        <f>IFERROR(B226/B446, "NA")</f>
      </c>
      <c r="D226" s="15"/>
      <c r="E226" s="13">
        <v>0</v>
      </c>
      <c r="F226" s="14">
        <f>IFERROR(E226/E446, "NA")</f>
      </c>
      <c r="G226" s="15"/>
      <c r="H226" s="16">
        <f>IFERROR(-(B226-E226), "NA")</f>
      </c>
      <c r="I226" s="14">
        <f>IFERROR(H226/H446, "NA")</f>
      </c>
      <c r="J226" s="15"/>
      <c r="K226" s="13">
        <v>0</v>
      </c>
      <c r="L226" s="14">
        <f>IFERROR(K226/K446, "NA")</f>
      </c>
      <c r="M226" s="15"/>
      <c r="N226" s="16">
        <f>IFERROR(-(B226-K226), "NA")</f>
      </c>
      <c r="O226" s="14">
        <f>IFERROR(N226/N446, "NA")</f>
      </c>
      <c r="P226" s="15"/>
      <c r="Q226" s="13">
        <v>0</v>
      </c>
      <c r="R226" s="14">
        <f>IFERROR(Q226/Q446, "NA")</f>
      </c>
      <c r="S226" s="15"/>
      <c r="T226" s="13">
        <v>0</v>
      </c>
      <c r="U226" s="14">
        <f>IFERROR(T226/T446, "NA")</f>
      </c>
      <c r="V226" s="15"/>
      <c r="W226" s="16">
        <f>IFERROR(-(Q226-T226), "NA")</f>
      </c>
      <c r="X226" s="14">
        <f>IFERROR(W226/W446, "NA")</f>
      </c>
      <c r="Y226" s="15"/>
      <c r="Z226" s="13">
        <v>0</v>
      </c>
      <c r="AA226" s="14">
        <f>IFERROR(Z226/Z446, "NA")</f>
      </c>
      <c r="AB226" s="15"/>
      <c r="AC226" s="16">
        <f>IFERROR(-(Q226-Z226), "NA")</f>
      </c>
      <c r="AD226" s="14">
        <f>IFERROR(AC226/AC446, "NA")</f>
      </c>
    </row>
    <row r="227" ht="16.5" customHeight="1">
      <c t="s" r="A227" s="25">
        <v>207</v>
      </c>
      <c r="B227" s="20">
        <f>IFERROR(B211+B213+B214+B215+B216+B217+B219+B220+B221+B222+B223+B224+B225+B226, "NA")</f>
      </c>
      <c r="C227" s="21">
        <f>IFERROR(B227/B446, "NA")</f>
      </c>
      <c r="D227" s="8"/>
      <c r="E227" s="20">
        <f>IFERROR(E211+E213+E214+E215+E216+E217+E219+E220+E221+E222+E223+E224+E225+E226, "NA")</f>
      </c>
      <c r="F227" s="21">
        <f>IFERROR(E227/E446, "NA")</f>
      </c>
      <c r="G227" s="8"/>
      <c r="H227" s="20">
        <f>IFERROR(-(B227-E227), "NA")</f>
      </c>
      <c r="I227" s="21">
        <f>IFERROR(H227/H446, "NA")</f>
      </c>
      <c r="J227" s="8"/>
      <c r="K227" s="20">
        <f>IFERROR(K211+K213+K214+K215+K216+K217+K219+K220+K221+K222+K223+K224+K225+K226, "NA")</f>
      </c>
      <c r="L227" s="21">
        <f>IFERROR(K227/K446, "NA")</f>
      </c>
      <c r="M227" s="8"/>
      <c r="N227" s="20">
        <f>IFERROR(-(B227-K227), "NA")</f>
      </c>
      <c r="O227" s="21">
        <f>IFERROR(N227/N446, "NA")</f>
      </c>
      <c r="P227" s="8"/>
      <c r="Q227" s="20">
        <f>IFERROR(Q211+Q213+Q214+Q215+Q216+Q217+Q219+Q220+Q221+Q222+Q223+Q224+Q225+Q226, "NA")</f>
      </c>
      <c r="R227" s="21">
        <f>IFERROR(Q227/Q446, "NA")</f>
      </c>
      <c r="S227" s="8"/>
      <c r="T227" s="20">
        <f>IFERROR(T211+T213+T214+T215+T216+T217+T219+T220+T221+T222+T223+T224+T225+T226, "NA")</f>
      </c>
      <c r="U227" s="21">
        <f>IFERROR(T227/T446, "NA")</f>
      </c>
      <c r="V227" s="8"/>
      <c r="W227" s="20">
        <f>IFERROR(-(Q227-T227), "NA")</f>
      </c>
      <c r="X227" s="21">
        <f>IFERROR(W227/W446, "NA")</f>
      </c>
      <c r="Y227" s="8"/>
      <c r="Z227" s="20">
        <f>IFERROR(Z211+Z213+Z214+Z215+Z216+Z217+Z219+Z220+Z221+Z222+Z223+Z224+Z225+Z226, "NA")</f>
      </c>
      <c r="AA227" s="21">
        <f>IFERROR(Z227/Z446, "NA")</f>
      </c>
      <c r="AB227" s="8"/>
      <c r="AC227" s="20">
        <f>IFERROR(-(Q227-Z227), "NA")</f>
      </c>
      <c r="AD227" s="21">
        <f>IFERROR(AC227/AC446, "NA")</f>
      </c>
    </row>
    <row r="228" ht="16.5" customHeight="1">
      <c t="s" r="A228" s="11">
        <v>208</v>
      </c>
      <c r="B228" s="8"/>
      <c r="C228" s="9"/>
      <c r="D228" s="10"/>
      <c r="E228" s="8"/>
      <c r="F228" s="9"/>
      <c r="G228" s="10"/>
      <c r="H228" s="8"/>
      <c r="I228" s="9"/>
      <c r="J228" s="10"/>
      <c r="K228" s="8"/>
      <c r="L228" s="9"/>
      <c r="M228" s="10"/>
      <c r="N228" s="8"/>
      <c r="O228" s="9"/>
      <c r="P228" s="10"/>
      <c r="Q228" s="8"/>
      <c r="R228" s="9"/>
      <c r="S228" s="10"/>
      <c r="T228" s="8"/>
      <c r="U228" s="9"/>
      <c r="V228" s="10"/>
      <c r="W228" s="8"/>
      <c r="X228" s="9"/>
      <c r="Y228" s="10"/>
      <c r="Z228" s="8"/>
      <c r="AA228" s="9"/>
      <c r="AB228" s="10"/>
      <c r="AC228" s="8"/>
      <c r="AD228" s="9"/>
    </row>
    <row r="229" ht="16.5" customHeight="1">
      <c t="s" r="A229" s="12">
        <v>208</v>
      </c>
      <c r="B229" s="13">
        <v>0</v>
      </c>
      <c r="C229" s="14">
        <f>IFERROR(B229/B446, "NA")</f>
      </c>
      <c r="D229" s="15"/>
      <c r="E229" s="13">
        <v>1262.48</v>
      </c>
      <c r="F229" s="14">
        <f>IFERROR(E229/E446, "NA")</f>
      </c>
      <c r="G229" s="15"/>
      <c r="H229" s="16">
        <f>IFERROR(-(B229-E229), "NA")</f>
      </c>
      <c r="I229" s="14">
        <f>IFERROR(H229/H446, "NA")</f>
      </c>
      <c r="J229" s="15"/>
      <c r="K229" s="13">
        <v>0</v>
      </c>
      <c r="L229" s="14">
        <f>IFERROR(K229/K446, "NA")</f>
      </c>
      <c r="M229" s="15"/>
      <c r="N229" s="16">
        <f>IFERROR(-(B229-K229), "NA")</f>
      </c>
      <c r="O229" s="14">
        <f>IFERROR(N229/N446, "NA")</f>
      </c>
      <c r="P229" s="15"/>
      <c r="Q229" s="13">
        <v>0</v>
      </c>
      <c r="R229" s="14">
        <f>IFERROR(Q229/Q446, "NA")</f>
      </c>
      <c r="S229" s="15"/>
      <c r="T229" s="13">
        <v>1262.48</v>
      </c>
      <c r="U229" s="14">
        <f>IFERROR(T229/T446, "NA")</f>
      </c>
      <c r="V229" s="15"/>
      <c r="W229" s="16">
        <f>IFERROR(-(Q229-T229), "NA")</f>
      </c>
      <c r="X229" s="14">
        <f>IFERROR(W229/W446, "NA")</f>
      </c>
      <c r="Y229" s="15"/>
      <c r="Z229" s="13">
        <v>0</v>
      </c>
      <c r="AA229" s="14">
        <f>IFERROR(Z229/Z446, "NA")</f>
      </c>
      <c r="AB229" s="15"/>
      <c r="AC229" s="16">
        <f>IFERROR(-(Q229-Z229), "NA")</f>
      </c>
      <c r="AD229" s="14">
        <f>IFERROR(AC229/AC446, "NA")</f>
      </c>
    </row>
    <row r="230" hidden="1" ht="16.5" customHeight="1">
      <c t="s" r="A230" s="12">
        <v>209</v>
      </c>
      <c r="B230" s="13">
        <v>0</v>
      </c>
      <c r="C230" s="14">
        <f>IFERROR(B230/B446, "NA")</f>
      </c>
      <c r="D230" s="15"/>
      <c r="E230" s="13">
        <v>0</v>
      </c>
      <c r="F230" s="14">
        <f>IFERROR(E230/E446, "NA")</f>
      </c>
      <c r="G230" s="15"/>
      <c r="H230" s="16">
        <f>IFERROR(-(B230-E230), "NA")</f>
      </c>
      <c r="I230" s="14">
        <f>IFERROR(H230/H446, "NA")</f>
      </c>
      <c r="J230" s="15"/>
      <c r="K230" s="13">
        <v>0</v>
      </c>
      <c r="L230" s="14">
        <f>IFERROR(K230/K446, "NA")</f>
      </c>
      <c r="M230" s="15"/>
      <c r="N230" s="16">
        <f>IFERROR(-(B230-K230), "NA")</f>
      </c>
      <c r="O230" s="14">
        <f>IFERROR(N230/N446, "NA")</f>
      </c>
      <c r="P230" s="15"/>
      <c r="Q230" s="13">
        <v>0</v>
      </c>
      <c r="R230" s="14">
        <f>IFERROR(Q230/Q446, "NA")</f>
      </c>
      <c r="S230" s="15"/>
      <c r="T230" s="13">
        <v>0</v>
      </c>
      <c r="U230" s="14">
        <f>IFERROR(T230/T446, "NA")</f>
      </c>
      <c r="V230" s="15"/>
      <c r="W230" s="16">
        <f>IFERROR(-(Q230-T230), "NA")</f>
      </c>
      <c r="X230" s="14">
        <f>IFERROR(W230/W446, "NA")</f>
      </c>
      <c r="Y230" s="15"/>
      <c r="Z230" s="13">
        <v>0</v>
      </c>
      <c r="AA230" s="14">
        <f>IFERROR(Z230/Z446, "NA")</f>
      </c>
      <c r="AB230" s="15"/>
      <c r="AC230" s="16">
        <f>IFERROR(-(Q230-Z230), "NA")</f>
      </c>
      <c r="AD230" s="14">
        <f>IFERROR(AC230/AC446, "NA")</f>
      </c>
    </row>
    <row r="231" ht="16.5" customHeight="1">
      <c t="s" r="A231" s="12">
        <v>210</v>
      </c>
      <c r="B231" s="13">
        <v>231</v>
      </c>
      <c r="C231" s="14">
        <f>IFERROR(B231/B446, "NA")</f>
      </c>
      <c r="D231" s="15"/>
      <c r="E231" s="13">
        <v>0</v>
      </c>
      <c r="F231" s="14">
        <f>IFERROR(E231/E446, "NA")</f>
      </c>
      <c r="G231" s="15"/>
      <c r="H231" s="16">
        <f>IFERROR(-(B231-E231), "NA")</f>
      </c>
      <c r="I231" s="14">
        <f>IFERROR(H231/H446, "NA")</f>
      </c>
      <c r="J231" s="15"/>
      <c r="K231" s="13">
        <v>217.05000000000001</v>
      </c>
      <c r="L231" s="14">
        <f>IFERROR(K231/K446, "NA")</f>
      </c>
      <c r="M231" s="15"/>
      <c r="N231" s="16">
        <f>IFERROR(-(B231-K231), "NA")</f>
      </c>
      <c r="O231" s="14">
        <f>IFERROR(N231/N446, "NA")</f>
      </c>
      <c r="P231" s="15"/>
      <c r="Q231" s="13">
        <v>231</v>
      </c>
      <c r="R231" s="14">
        <f>IFERROR(Q231/Q446, "NA")</f>
      </c>
      <c r="S231" s="15"/>
      <c r="T231" s="13">
        <v>0</v>
      </c>
      <c r="U231" s="14">
        <f>IFERROR(T231/T446, "NA")</f>
      </c>
      <c r="V231" s="15"/>
      <c r="W231" s="16">
        <f>IFERROR(-(Q231-T231), "NA")</f>
      </c>
      <c r="X231" s="14">
        <f>IFERROR(W231/W446, "NA")</f>
      </c>
      <c r="Y231" s="15"/>
      <c r="Z231" s="13">
        <v>217.05000000000001</v>
      </c>
      <c r="AA231" s="14">
        <f>IFERROR(Z231/Z446, "NA")</f>
      </c>
      <c r="AB231" s="15"/>
      <c r="AC231" s="16">
        <f>IFERROR(-(Q231-Z231), "NA")</f>
      </c>
      <c r="AD231" s="14">
        <f>IFERROR(AC231/AC446, "NA")</f>
      </c>
    </row>
    <row r="232" hidden="1" ht="16.5" customHeight="1">
      <c t="s" r="A232" s="12">
        <v>211</v>
      </c>
      <c r="B232" s="13">
        <v>0</v>
      </c>
      <c r="C232" s="14">
        <f>IFERROR(B232/B446, "NA")</f>
      </c>
      <c r="D232" s="15"/>
      <c r="E232" s="13">
        <v>0</v>
      </c>
      <c r="F232" s="14">
        <f>IFERROR(E232/E446, "NA")</f>
      </c>
      <c r="G232" s="15"/>
      <c r="H232" s="16">
        <f>IFERROR(-(B232-E232), "NA")</f>
      </c>
      <c r="I232" s="14">
        <f>IFERROR(H232/H446, "NA")</f>
      </c>
      <c r="J232" s="15"/>
      <c r="K232" s="13">
        <v>0</v>
      </c>
      <c r="L232" s="14">
        <f>IFERROR(K232/K446, "NA")</f>
      </c>
      <c r="M232" s="15"/>
      <c r="N232" s="16">
        <f>IFERROR(-(B232-K232), "NA")</f>
      </c>
      <c r="O232" s="14">
        <f>IFERROR(N232/N446, "NA")</f>
      </c>
      <c r="P232" s="15"/>
      <c r="Q232" s="13">
        <v>0</v>
      </c>
      <c r="R232" s="14">
        <f>IFERROR(Q232/Q446, "NA")</f>
      </c>
      <c r="S232" s="15"/>
      <c r="T232" s="13">
        <v>0</v>
      </c>
      <c r="U232" s="14">
        <f>IFERROR(T232/T446, "NA")</f>
      </c>
      <c r="V232" s="15"/>
      <c r="W232" s="16">
        <f>IFERROR(-(Q232-T232), "NA")</f>
      </c>
      <c r="X232" s="14">
        <f>IFERROR(W232/W446, "NA")</f>
      </c>
      <c r="Y232" s="15"/>
      <c r="Z232" s="13">
        <v>0</v>
      </c>
      <c r="AA232" s="14">
        <f>IFERROR(Z232/Z446, "NA")</f>
      </c>
      <c r="AB232" s="15"/>
      <c r="AC232" s="16">
        <f>IFERROR(-(Q232-Z232), "NA")</f>
      </c>
      <c r="AD232" s="14">
        <f>IFERROR(AC232/AC446, "NA")</f>
      </c>
    </row>
    <row r="233" hidden="1" ht="16.5" customHeight="1">
      <c t="s" r="A233" s="12">
        <v>212</v>
      </c>
      <c r="B233" s="13">
        <v>0</v>
      </c>
      <c r="C233" s="14">
        <f>IFERROR(B233/B446, "NA")</f>
      </c>
      <c r="D233" s="15"/>
      <c r="E233" s="13">
        <v>0</v>
      </c>
      <c r="F233" s="14">
        <f>IFERROR(E233/E446, "NA")</f>
      </c>
      <c r="G233" s="15"/>
      <c r="H233" s="16">
        <f>IFERROR(-(B233-E233), "NA")</f>
      </c>
      <c r="I233" s="14">
        <f>IFERROR(H233/H446, "NA")</f>
      </c>
      <c r="J233" s="15"/>
      <c r="K233" s="13">
        <v>0</v>
      </c>
      <c r="L233" s="14">
        <f>IFERROR(K233/K446, "NA")</f>
      </c>
      <c r="M233" s="15"/>
      <c r="N233" s="16">
        <f>IFERROR(-(B233-K233), "NA")</f>
      </c>
      <c r="O233" s="14">
        <f>IFERROR(N233/N446, "NA")</f>
      </c>
      <c r="P233" s="15"/>
      <c r="Q233" s="13">
        <v>0</v>
      </c>
      <c r="R233" s="14">
        <f>IFERROR(Q233/Q446, "NA")</f>
      </c>
      <c r="S233" s="15"/>
      <c r="T233" s="13">
        <v>0</v>
      </c>
      <c r="U233" s="14">
        <f>IFERROR(T233/T446, "NA")</f>
      </c>
      <c r="V233" s="15"/>
      <c r="W233" s="16">
        <f>IFERROR(-(Q233-T233), "NA")</f>
      </c>
      <c r="X233" s="14">
        <f>IFERROR(W233/W446, "NA")</f>
      </c>
      <c r="Y233" s="15"/>
      <c r="Z233" s="13">
        <v>0</v>
      </c>
      <c r="AA233" s="14">
        <f>IFERROR(Z233/Z446, "NA")</f>
      </c>
      <c r="AB233" s="15"/>
      <c r="AC233" s="16">
        <f>IFERROR(-(Q233-Z233), "NA")</f>
      </c>
      <c r="AD233" s="14">
        <f>IFERROR(AC233/AC446, "NA")</f>
      </c>
    </row>
    <row r="234" ht="16.5" customHeight="1">
      <c t="s" r="A234" s="12">
        <v>213</v>
      </c>
      <c r="B234" s="13">
        <v>1172.8299999999999</v>
      </c>
      <c r="C234" s="14">
        <f>IFERROR(B234/B446, "NA")</f>
      </c>
      <c r="D234" s="15"/>
      <c r="E234" s="13">
        <v>0</v>
      </c>
      <c r="F234" s="14">
        <f>IFERROR(E234/E446, "NA")</f>
      </c>
      <c r="G234" s="15"/>
      <c r="H234" s="16">
        <f>IFERROR(-(B234-E234), "NA")</f>
      </c>
      <c r="I234" s="14">
        <f>IFERROR(H234/H446, "NA")</f>
      </c>
      <c r="J234" s="15"/>
      <c r="K234" s="13">
        <v>1658.46</v>
      </c>
      <c r="L234" s="14">
        <f>IFERROR(K234/K446, "NA")</f>
      </c>
      <c r="M234" s="15"/>
      <c r="N234" s="16">
        <f>IFERROR(-(B234-K234), "NA")</f>
      </c>
      <c r="O234" s="14">
        <f>IFERROR(N234/N446, "NA")</f>
      </c>
      <c r="P234" s="15"/>
      <c r="Q234" s="13">
        <v>1172.8299999999999</v>
      </c>
      <c r="R234" s="14">
        <f>IFERROR(Q234/Q446, "NA")</f>
      </c>
      <c r="S234" s="15"/>
      <c r="T234" s="13">
        <v>0</v>
      </c>
      <c r="U234" s="14">
        <f>IFERROR(T234/T446, "NA")</f>
      </c>
      <c r="V234" s="15"/>
      <c r="W234" s="16">
        <f>IFERROR(-(Q234-T234), "NA")</f>
      </c>
      <c r="X234" s="14">
        <f>IFERROR(W234/W446, "NA")</f>
      </c>
      <c r="Y234" s="15"/>
      <c r="Z234" s="13">
        <v>1658.46</v>
      </c>
      <c r="AA234" s="14">
        <f>IFERROR(Z234/Z446, "NA")</f>
      </c>
      <c r="AB234" s="15"/>
      <c r="AC234" s="16">
        <f>IFERROR(-(Q234-Z234), "NA")</f>
      </c>
      <c r="AD234" s="14">
        <f>IFERROR(AC234/AC446, "NA")</f>
      </c>
    </row>
    <row r="235" ht="16.5" customHeight="1">
      <c t="s" r="A235" s="12">
        <v>214</v>
      </c>
      <c r="B235" s="13">
        <v>14.9</v>
      </c>
      <c r="C235" s="14">
        <f>IFERROR(B235/B446, "NA")</f>
      </c>
      <c r="D235" s="15"/>
      <c r="E235" s="13">
        <v>0</v>
      </c>
      <c r="F235" s="14">
        <f>IFERROR(E235/E446, "NA")</f>
      </c>
      <c r="G235" s="15"/>
      <c r="H235" s="16">
        <f>IFERROR(-(B235-E235), "NA")</f>
      </c>
      <c r="I235" s="14">
        <f>IFERROR(H235/H446, "NA")</f>
      </c>
      <c r="J235" s="15"/>
      <c r="K235" s="13">
        <v>0</v>
      </c>
      <c r="L235" s="14">
        <f>IFERROR(K235/K446, "NA")</f>
      </c>
      <c r="M235" s="15"/>
      <c r="N235" s="16">
        <f>IFERROR(-(B235-K235), "NA")</f>
      </c>
      <c r="O235" s="14">
        <f>IFERROR(N235/N446, "NA")</f>
      </c>
      <c r="P235" s="15"/>
      <c r="Q235" s="13">
        <v>14.9</v>
      </c>
      <c r="R235" s="14">
        <f>IFERROR(Q235/Q446, "NA")</f>
      </c>
      <c r="S235" s="15"/>
      <c r="T235" s="13">
        <v>0</v>
      </c>
      <c r="U235" s="14">
        <f>IFERROR(T235/T446, "NA")</f>
      </c>
      <c r="V235" s="15"/>
      <c r="W235" s="16">
        <f>IFERROR(-(Q235-T235), "NA")</f>
      </c>
      <c r="X235" s="14">
        <f>IFERROR(W235/W446, "NA")</f>
      </c>
      <c r="Y235" s="15"/>
      <c r="Z235" s="13">
        <v>0</v>
      </c>
      <c r="AA235" s="14">
        <f>IFERROR(Z235/Z446, "NA")</f>
      </c>
      <c r="AB235" s="15"/>
      <c r="AC235" s="16">
        <f>IFERROR(-(Q235-Z235), "NA")</f>
      </c>
      <c r="AD235" s="14">
        <f>IFERROR(AC235/AC446, "NA")</f>
      </c>
    </row>
    <row r="236" ht="16.5" customHeight="1">
      <c t="s" r="A236" s="25">
        <v>215</v>
      </c>
      <c r="B236" s="20">
        <f>IFERROR(B229+B230+B231+B232+B233+B234+B235, "NA")</f>
      </c>
      <c r="C236" s="21">
        <f>IFERROR(B236/B446, "NA")</f>
      </c>
      <c r="D236" s="8"/>
      <c r="E236" s="20">
        <f>IFERROR(E229+E230+E231+E232+E233+E234+E235, "NA")</f>
      </c>
      <c r="F236" s="21">
        <f>IFERROR(E236/E446, "NA")</f>
      </c>
      <c r="G236" s="8"/>
      <c r="H236" s="20">
        <f>IFERROR(-(B236-E236), "NA")</f>
      </c>
      <c r="I236" s="21">
        <f>IFERROR(H236/H446, "NA")</f>
      </c>
      <c r="J236" s="8"/>
      <c r="K236" s="20">
        <f>IFERROR(K229+K230+K231+K232+K233+K234+K235, "NA")</f>
      </c>
      <c r="L236" s="21">
        <f>IFERROR(K236/K446, "NA")</f>
      </c>
      <c r="M236" s="8"/>
      <c r="N236" s="20">
        <f>IFERROR(-(B236-K236), "NA")</f>
      </c>
      <c r="O236" s="21">
        <f>IFERROR(N236/N446, "NA")</f>
      </c>
      <c r="P236" s="8"/>
      <c r="Q236" s="20">
        <f>IFERROR(Q229+Q230+Q231+Q232+Q233+Q234+Q235, "NA")</f>
      </c>
      <c r="R236" s="21">
        <f>IFERROR(Q236/Q446, "NA")</f>
      </c>
      <c r="S236" s="8"/>
      <c r="T236" s="20">
        <f>IFERROR(T229+T230+T231+T232+T233+T234+T235, "NA")</f>
      </c>
      <c r="U236" s="21">
        <f>IFERROR(T236/T446, "NA")</f>
      </c>
      <c r="V236" s="8"/>
      <c r="W236" s="20">
        <f>IFERROR(-(Q236-T236), "NA")</f>
      </c>
      <c r="X236" s="21">
        <f>IFERROR(W236/W446, "NA")</f>
      </c>
      <c r="Y236" s="8"/>
      <c r="Z236" s="20">
        <f>IFERROR(Z229+Z230+Z231+Z232+Z233+Z234+Z235, "NA")</f>
      </c>
      <c r="AA236" s="21">
        <f>IFERROR(Z236/Z446, "NA")</f>
      </c>
      <c r="AB236" s="8"/>
      <c r="AC236" s="20">
        <f>IFERROR(-(Q236-Z236), "NA")</f>
      </c>
      <c r="AD236" s="21">
        <f>IFERROR(AC236/AC446, "NA")</f>
      </c>
    </row>
    <row r="237" ht="16.5" customHeight="1">
      <c t="s" r="A237" s="11">
        <v>216</v>
      </c>
      <c r="B237" s="8"/>
      <c r="C237" s="9"/>
      <c r="D237" s="10"/>
      <c r="E237" s="8"/>
      <c r="F237" s="9"/>
      <c r="G237" s="10"/>
      <c r="H237" s="8"/>
      <c r="I237" s="9"/>
      <c r="J237" s="10"/>
      <c r="K237" s="8"/>
      <c r="L237" s="9"/>
      <c r="M237" s="10"/>
      <c r="N237" s="8"/>
      <c r="O237" s="9"/>
      <c r="P237" s="10"/>
      <c r="Q237" s="8"/>
      <c r="R237" s="9"/>
      <c r="S237" s="10"/>
      <c r="T237" s="8"/>
      <c r="U237" s="9"/>
      <c r="V237" s="10"/>
      <c r="W237" s="8"/>
      <c r="X237" s="9"/>
      <c r="Y237" s="10"/>
      <c r="Z237" s="8"/>
      <c r="AA237" s="9"/>
      <c r="AB237" s="10"/>
      <c r="AC237" s="8"/>
      <c r="AD237" s="9"/>
    </row>
    <row r="238" hidden="1" ht="16.5" customHeight="1">
      <c t="s" r="A238" s="12">
        <v>216</v>
      </c>
      <c r="B238" s="13">
        <v>0</v>
      </c>
      <c r="C238" s="14">
        <f>IFERROR(B238/B446, "NA")</f>
      </c>
      <c r="D238" s="15"/>
      <c r="E238" s="13">
        <v>0</v>
      </c>
      <c r="F238" s="14">
        <f>IFERROR(E238/E446, "NA")</f>
      </c>
      <c r="G238" s="15"/>
      <c r="H238" s="16">
        <f>IFERROR(-(B238-E238), "NA")</f>
      </c>
      <c r="I238" s="14">
        <f>IFERROR(H238/H446, "NA")</f>
      </c>
      <c r="J238" s="15"/>
      <c r="K238" s="13">
        <v>0</v>
      </c>
      <c r="L238" s="14">
        <f>IFERROR(K238/K446, "NA")</f>
      </c>
      <c r="M238" s="15"/>
      <c r="N238" s="16">
        <f>IFERROR(-(B238-K238), "NA")</f>
      </c>
      <c r="O238" s="14">
        <f>IFERROR(N238/N446, "NA")</f>
      </c>
      <c r="P238" s="15"/>
      <c r="Q238" s="13">
        <v>0</v>
      </c>
      <c r="R238" s="14">
        <f>IFERROR(Q238/Q446, "NA")</f>
      </c>
      <c r="S238" s="15"/>
      <c r="T238" s="13">
        <v>0</v>
      </c>
      <c r="U238" s="14">
        <f>IFERROR(T238/T446, "NA")</f>
      </c>
      <c r="V238" s="15"/>
      <c r="W238" s="16">
        <f>IFERROR(-(Q238-T238), "NA")</f>
      </c>
      <c r="X238" s="14">
        <f>IFERROR(W238/W446, "NA")</f>
      </c>
      <c r="Y238" s="15"/>
      <c r="Z238" s="13">
        <v>0</v>
      </c>
      <c r="AA238" s="14">
        <f>IFERROR(Z238/Z446, "NA")</f>
      </c>
      <c r="AB238" s="15"/>
      <c r="AC238" s="16">
        <f>IFERROR(-(Q238-Z238), "NA")</f>
      </c>
      <c r="AD238" s="14">
        <f>IFERROR(AC238/AC446, "NA")</f>
      </c>
    </row>
    <row r="239" ht="16.5" customHeight="1">
      <c t="s" r="A239" s="17">
        <v>217</v>
      </c>
      <c r="B239" s="8"/>
      <c r="C239" s="9"/>
      <c r="D239" s="10"/>
      <c r="E239" s="8"/>
      <c r="F239" s="9"/>
      <c r="G239" s="10"/>
      <c r="H239" s="8"/>
      <c r="I239" s="9"/>
      <c r="J239" s="10"/>
      <c r="K239" s="8"/>
      <c r="L239" s="9"/>
      <c r="M239" s="10"/>
      <c r="N239" s="8"/>
      <c r="O239" s="9"/>
      <c r="P239" s="10"/>
      <c r="Q239" s="8"/>
      <c r="R239" s="9"/>
      <c r="S239" s="10"/>
      <c r="T239" s="8"/>
      <c r="U239" s="9"/>
      <c r="V239" s="10"/>
      <c r="W239" s="8"/>
      <c r="X239" s="9"/>
      <c r="Y239" s="10"/>
      <c r="Z239" s="8"/>
      <c r="AA239" s="9"/>
      <c r="AB239" s="10"/>
      <c r="AC239" s="8"/>
      <c r="AD239" s="9"/>
    </row>
    <row r="240" ht="16.5" customHeight="1">
      <c t="s" r="A240" s="18">
        <v>217</v>
      </c>
      <c r="B240" s="13">
        <v>0</v>
      </c>
      <c r="C240" s="14">
        <f>IFERROR(B240/B446, "NA")</f>
      </c>
      <c r="D240" s="15"/>
      <c r="E240" s="13">
        <v>5923.9499999999998</v>
      </c>
      <c r="F240" s="14">
        <f>IFERROR(E240/E446, "NA")</f>
      </c>
      <c r="G240" s="15"/>
      <c r="H240" s="16">
        <f>IFERROR(-(B240-E240), "NA")</f>
      </c>
      <c r="I240" s="14">
        <f>IFERROR(H240/H446, "NA")</f>
      </c>
      <c r="J240" s="15"/>
      <c r="K240" s="13">
        <v>0</v>
      </c>
      <c r="L240" s="14">
        <f>IFERROR(K240/K446, "NA")</f>
      </c>
      <c r="M240" s="15"/>
      <c r="N240" s="16">
        <f>IFERROR(-(B240-K240), "NA")</f>
      </c>
      <c r="O240" s="14">
        <f>IFERROR(N240/N446, "NA")</f>
      </c>
      <c r="P240" s="15"/>
      <c r="Q240" s="13">
        <v>0</v>
      </c>
      <c r="R240" s="14">
        <f>IFERROR(Q240/Q446, "NA")</f>
      </c>
      <c r="S240" s="15"/>
      <c r="T240" s="13">
        <v>5923.9499999999998</v>
      </c>
      <c r="U240" s="14">
        <f>IFERROR(T240/T446, "NA")</f>
      </c>
      <c r="V240" s="15"/>
      <c r="W240" s="16">
        <f>IFERROR(-(Q240-T240), "NA")</f>
      </c>
      <c r="X240" s="14">
        <f>IFERROR(W240/W446, "NA")</f>
      </c>
      <c r="Y240" s="15"/>
      <c r="Z240" s="13">
        <v>0</v>
      </c>
      <c r="AA240" s="14">
        <f>IFERROR(Z240/Z446, "NA")</f>
      </c>
      <c r="AB240" s="15"/>
      <c r="AC240" s="16">
        <f>IFERROR(-(Q240-Z240), "NA")</f>
      </c>
      <c r="AD240" s="14">
        <f>IFERROR(AC240/AC446, "NA")</f>
      </c>
    </row>
    <row r="241" hidden="1" ht="16.5" customHeight="1">
      <c t="s" r="A241" s="18">
        <v>218</v>
      </c>
      <c r="B241" s="13">
        <v>0</v>
      </c>
      <c r="C241" s="14">
        <f>IFERROR(B241/B446, "NA")</f>
      </c>
      <c r="D241" s="15"/>
      <c r="E241" s="13">
        <v>0</v>
      </c>
      <c r="F241" s="14">
        <f>IFERROR(E241/E446, "NA")</f>
      </c>
      <c r="G241" s="15"/>
      <c r="H241" s="16">
        <f>IFERROR(-(B241-E241), "NA")</f>
      </c>
      <c r="I241" s="14">
        <f>IFERROR(H241/H446, "NA")</f>
      </c>
      <c r="J241" s="15"/>
      <c r="K241" s="13">
        <v>0</v>
      </c>
      <c r="L241" s="14">
        <f>IFERROR(K241/K446, "NA")</f>
      </c>
      <c r="M241" s="15"/>
      <c r="N241" s="16">
        <f>IFERROR(-(B241-K241), "NA")</f>
      </c>
      <c r="O241" s="14">
        <f>IFERROR(N241/N446, "NA")</f>
      </c>
      <c r="P241" s="15"/>
      <c r="Q241" s="13">
        <v>0</v>
      </c>
      <c r="R241" s="14">
        <f>IFERROR(Q241/Q446, "NA")</f>
      </c>
      <c r="S241" s="15"/>
      <c r="T241" s="13">
        <v>0</v>
      </c>
      <c r="U241" s="14">
        <f>IFERROR(T241/T446, "NA")</f>
      </c>
      <c r="V241" s="15"/>
      <c r="W241" s="16">
        <f>IFERROR(-(Q241-T241), "NA")</f>
      </c>
      <c r="X241" s="14">
        <f>IFERROR(W241/W446, "NA")</f>
      </c>
      <c r="Y241" s="15"/>
      <c r="Z241" s="13">
        <v>0</v>
      </c>
      <c r="AA241" s="14">
        <f>IFERROR(Z241/Z446, "NA")</f>
      </c>
      <c r="AB241" s="15"/>
      <c r="AC241" s="16">
        <f>IFERROR(-(Q241-Z241), "NA")</f>
      </c>
      <c r="AD241" s="14">
        <f>IFERROR(AC241/AC446, "NA")</f>
      </c>
    </row>
    <row r="242" ht="16.5" customHeight="1">
      <c t="s" r="A242" s="18">
        <v>219</v>
      </c>
      <c r="B242" s="13">
        <v>1315.9200000000001</v>
      </c>
      <c r="C242" s="14">
        <f>IFERROR(B242/B446, "NA")</f>
      </c>
      <c r="D242" s="15"/>
      <c r="E242" s="13">
        <v>0</v>
      </c>
      <c r="F242" s="14">
        <f>IFERROR(E242/E446, "NA")</f>
      </c>
      <c r="G242" s="15"/>
      <c r="H242" s="16">
        <f>IFERROR(-(B242-E242), "NA")</f>
      </c>
      <c r="I242" s="14">
        <f>IFERROR(H242/H446, "NA")</f>
      </c>
      <c r="J242" s="15"/>
      <c r="K242" s="13">
        <v>916.70000000000005</v>
      </c>
      <c r="L242" s="14">
        <f>IFERROR(K242/K446, "NA")</f>
      </c>
      <c r="M242" s="15"/>
      <c r="N242" s="16">
        <f>IFERROR(-(B242-K242), "NA")</f>
      </c>
      <c r="O242" s="14">
        <f>IFERROR(N242/N446, "NA")</f>
      </c>
      <c r="P242" s="15"/>
      <c r="Q242" s="13">
        <v>1315.9200000000001</v>
      </c>
      <c r="R242" s="14">
        <f>IFERROR(Q242/Q446, "NA")</f>
      </c>
      <c r="S242" s="15"/>
      <c r="T242" s="13">
        <v>0</v>
      </c>
      <c r="U242" s="14">
        <f>IFERROR(T242/T446, "NA")</f>
      </c>
      <c r="V242" s="15"/>
      <c r="W242" s="16">
        <f>IFERROR(-(Q242-T242), "NA")</f>
      </c>
      <c r="X242" s="14">
        <f>IFERROR(W242/W446, "NA")</f>
      </c>
      <c r="Y242" s="15"/>
      <c r="Z242" s="13">
        <v>916.70000000000005</v>
      </c>
      <c r="AA242" s="14">
        <f>IFERROR(Z242/Z446, "NA")</f>
      </c>
      <c r="AB242" s="15"/>
      <c r="AC242" s="16">
        <f>IFERROR(-(Q242-Z242), "NA")</f>
      </c>
      <c r="AD242" s="14">
        <f>IFERROR(AC242/AC446, "NA")</f>
      </c>
    </row>
    <row r="243" ht="16.5" customHeight="1">
      <c t="s" r="A243" s="18">
        <v>220</v>
      </c>
      <c r="B243" s="13">
        <v>1933.52</v>
      </c>
      <c r="C243" s="14">
        <f>IFERROR(B243/B446, "NA")</f>
      </c>
      <c r="D243" s="15"/>
      <c r="E243" s="13">
        <v>0</v>
      </c>
      <c r="F243" s="14">
        <f>IFERROR(E243/E446, "NA")</f>
      </c>
      <c r="G243" s="15"/>
      <c r="H243" s="16">
        <f>IFERROR(-(B243-E243), "NA")</f>
      </c>
      <c r="I243" s="14">
        <f>IFERROR(H243/H446, "NA")</f>
      </c>
      <c r="J243" s="15"/>
      <c r="K243" s="13">
        <v>3270.7199999999998</v>
      </c>
      <c r="L243" s="14">
        <f>IFERROR(K243/K446, "NA")</f>
      </c>
      <c r="M243" s="15"/>
      <c r="N243" s="16">
        <f>IFERROR(-(B243-K243), "NA")</f>
      </c>
      <c r="O243" s="14">
        <f>IFERROR(N243/N446, "NA")</f>
      </c>
      <c r="P243" s="15"/>
      <c r="Q243" s="13">
        <v>1933.52</v>
      </c>
      <c r="R243" s="14">
        <f>IFERROR(Q243/Q446, "NA")</f>
      </c>
      <c r="S243" s="15"/>
      <c r="T243" s="13">
        <v>0</v>
      </c>
      <c r="U243" s="14">
        <f>IFERROR(T243/T446, "NA")</f>
      </c>
      <c r="V243" s="15"/>
      <c r="W243" s="16">
        <f>IFERROR(-(Q243-T243), "NA")</f>
      </c>
      <c r="X243" s="14">
        <f>IFERROR(W243/W446, "NA")</f>
      </c>
      <c r="Y243" s="15"/>
      <c r="Z243" s="13">
        <v>3270.7199999999998</v>
      </c>
      <c r="AA243" s="14">
        <f>IFERROR(Z243/Z446, "NA")</f>
      </c>
      <c r="AB243" s="15"/>
      <c r="AC243" s="16">
        <f>IFERROR(-(Q243-Z243), "NA")</f>
      </c>
      <c r="AD243" s="14">
        <f>IFERROR(AC243/AC446, "NA")</f>
      </c>
    </row>
    <row r="244" ht="16.5" customHeight="1">
      <c t="s" r="A244" s="18">
        <v>221</v>
      </c>
      <c r="B244" s="13">
        <v>808</v>
      </c>
      <c r="C244" s="14">
        <f>IFERROR(B244/B446, "NA")</f>
      </c>
      <c r="D244" s="15"/>
      <c r="E244" s="13">
        <v>0</v>
      </c>
      <c r="F244" s="14">
        <f>IFERROR(E244/E446, "NA")</f>
      </c>
      <c r="G244" s="15"/>
      <c r="H244" s="16">
        <f>IFERROR(-(B244-E244), "NA")</f>
      </c>
      <c r="I244" s="14">
        <f>IFERROR(H244/H446, "NA")</f>
      </c>
      <c r="J244" s="15"/>
      <c r="K244" s="13">
        <v>0</v>
      </c>
      <c r="L244" s="14">
        <f>IFERROR(K244/K446, "NA")</f>
      </c>
      <c r="M244" s="15"/>
      <c r="N244" s="16">
        <f>IFERROR(-(B244-K244), "NA")</f>
      </c>
      <c r="O244" s="14">
        <f>IFERROR(N244/N446, "NA")</f>
      </c>
      <c r="P244" s="15"/>
      <c r="Q244" s="13">
        <v>808</v>
      </c>
      <c r="R244" s="14">
        <f>IFERROR(Q244/Q446, "NA")</f>
      </c>
      <c r="S244" s="15"/>
      <c r="T244" s="13">
        <v>0</v>
      </c>
      <c r="U244" s="14">
        <f>IFERROR(T244/T446, "NA")</f>
      </c>
      <c r="V244" s="15"/>
      <c r="W244" s="16">
        <f>IFERROR(-(Q244-T244), "NA")</f>
      </c>
      <c r="X244" s="14">
        <f>IFERROR(W244/W446, "NA")</f>
      </c>
      <c r="Y244" s="15"/>
      <c r="Z244" s="13">
        <v>0</v>
      </c>
      <c r="AA244" s="14">
        <f>IFERROR(Z244/Z446, "NA")</f>
      </c>
      <c r="AB244" s="15"/>
      <c r="AC244" s="16">
        <f>IFERROR(-(Q244-Z244), "NA")</f>
      </c>
      <c r="AD244" s="14">
        <f>IFERROR(AC244/AC446, "NA")</f>
      </c>
    </row>
    <row r="245" hidden="1" ht="16.5" customHeight="1">
      <c t="s" r="A245" s="18">
        <v>222</v>
      </c>
      <c r="B245" s="13">
        <v>0</v>
      </c>
      <c r="C245" s="14">
        <f>IFERROR(B245/B446, "NA")</f>
      </c>
      <c r="D245" s="15"/>
      <c r="E245" s="13">
        <v>0</v>
      </c>
      <c r="F245" s="14">
        <f>IFERROR(E245/E446, "NA")</f>
      </c>
      <c r="G245" s="15"/>
      <c r="H245" s="16">
        <f>IFERROR(-(B245-E245), "NA")</f>
      </c>
      <c r="I245" s="14">
        <f>IFERROR(H245/H446, "NA")</f>
      </c>
      <c r="J245" s="15"/>
      <c r="K245" s="13">
        <v>0</v>
      </c>
      <c r="L245" s="14">
        <f>IFERROR(K245/K446, "NA")</f>
      </c>
      <c r="M245" s="15"/>
      <c r="N245" s="16">
        <f>IFERROR(-(B245-K245), "NA")</f>
      </c>
      <c r="O245" s="14">
        <f>IFERROR(N245/N446, "NA")</f>
      </c>
      <c r="P245" s="15"/>
      <c r="Q245" s="13">
        <v>0</v>
      </c>
      <c r="R245" s="14">
        <f>IFERROR(Q245/Q446, "NA")</f>
      </c>
      <c r="S245" s="15"/>
      <c r="T245" s="13">
        <v>0</v>
      </c>
      <c r="U245" s="14">
        <f>IFERROR(T245/T446, "NA")</f>
      </c>
      <c r="V245" s="15"/>
      <c r="W245" s="16">
        <f>IFERROR(-(Q245-T245), "NA")</f>
      </c>
      <c r="X245" s="14">
        <f>IFERROR(W245/W446, "NA")</f>
      </c>
      <c r="Y245" s="15"/>
      <c r="Z245" s="13">
        <v>0</v>
      </c>
      <c r="AA245" s="14">
        <f>IFERROR(Z245/Z446, "NA")</f>
      </c>
      <c r="AB245" s="15"/>
      <c r="AC245" s="16">
        <f>IFERROR(-(Q245-Z245), "NA")</f>
      </c>
      <c r="AD245" s="14">
        <f>IFERROR(AC245/AC446, "NA")</f>
      </c>
    </row>
    <row r="246" ht="16.5" customHeight="1">
      <c t="s" r="A246" s="18">
        <v>223</v>
      </c>
      <c r="B246" s="13">
        <v>140.34</v>
      </c>
      <c r="C246" s="14">
        <f>IFERROR(B246/B446, "NA")</f>
      </c>
      <c r="D246" s="15"/>
      <c r="E246" s="13">
        <v>0</v>
      </c>
      <c r="F246" s="14">
        <f>IFERROR(E246/E446, "NA")</f>
      </c>
      <c r="G246" s="15"/>
      <c r="H246" s="16">
        <f>IFERROR(-(B246-E246), "NA")</f>
      </c>
      <c r="I246" s="14">
        <f>IFERROR(H246/H446, "NA")</f>
      </c>
      <c r="J246" s="15"/>
      <c r="K246" s="13">
        <v>238.19999999999999</v>
      </c>
      <c r="L246" s="14">
        <f>IFERROR(K246/K446, "NA")</f>
      </c>
      <c r="M246" s="15"/>
      <c r="N246" s="16">
        <f>IFERROR(-(B246-K246), "NA")</f>
      </c>
      <c r="O246" s="14">
        <f>IFERROR(N246/N446, "NA")</f>
      </c>
      <c r="P246" s="15"/>
      <c r="Q246" s="13">
        <v>140.34</v>
      </c>
      <c r="R246" s="14">
        <f>IFERROR(Q246/Q446, "NA")</f>
      </c>
      <c r="S246" s="15"/>
      <c r="T246" s="13">
        <v>0</v>
      </c>
      <c r="U246" s="14">
        <f>IFERROR(T246/T446, "NA")</f>
      </c>
      <c r="V246" s="15"/>
      <c r="W246" s="16">
        <f>IFERROR(-(Q246-T246), "NA")</f>
      </c>
      <c r="X246" s="14">
        <f>IFERROR(W246/W446, "NA")</f>
      </c>
      <c r="Y246" s="15"/>
      <c r="Z246" s="13">
        <v>238.19999999999999</v>
      </c>
      <c r="AA246" s="14">
        <f>IFERROR(Z246/Z446, "NA")</f>
      </c>
      <c r="AB246" s="15"/>
      <c r="AC246" s="16">
        <f>IFERROR(-(Q246-Z246), "NA")</f>
      </c>
      <c r="AD246" s="14">
        <f>IFERROR(AC246/AC446, "NA")</f>
      </c>
    </row>
    <row r="247" hidden="1" ht="16.5" customHeight="1">
      <c t="s" r="A247" s="18">
        <v>224</v>
      </c>
      <c r="B247" s="13">
        <v>0</v>
      </c>
      <c r="C247" s="14">
        <f>IFERROR(B247/B446, "NA")</f>
      </c>
      <c r="D247" s="15"/>
      <c r="E247" s="13">
        <v>0</v>
      </c>
      <c r="F247" s="14">
        <f>IFERROR(E247/E446, "NA")</f>
      </c>
      <c r="G247" s="15"/>
      <c r="H247" s="16">
        <f>IFERROR(-(B247-E247), "NA")</f>
      </c>
      <c r="I247" s="14">
        <f>IFERROR(H247/H446, "NA")</f>
      </c>
      <c r="J247" s="15"/>
      <c r="K247" s="13">
        <v>0</v>
      </c>
      <c r="L247" s="14">
        <f>IFERROR(K247/K446, "NA")</f>
      </c>
      <c r="M247" s="15"/>
      <c r="N247" s="16">
        <f>IFERROR(-(B247-K247), "NA")</f>
      </c>
      <c r="O247" s="14">
        <f>IFERROR(N247/N446, "NA")</f>
      </c>
      <c r="P247" s="15"/>
      <c r="Q247" s="13">
        <v>0</v>
      </c>
      <c r="R247" s="14">
        <f>IFERROR(Q247/Q446, "NA")</f>
      </c>
      <c r="S247" s="15"/>
      <c r="T247" s="13">
        <v>0</v>
      </c>
      <c r="U247" s="14">
        <f>IFERROR(T247/T446, "NA")</f>
      </c>
      <c r="V247" s="15"/>
      <c r="W247" s="16">
        <f>IFERROR(-(Q247-T247), "NA")</f>
      </c>
      <c r="X247" s="14">
        <f>IFERROR(W247/W446, "NA")</f>
      </c>
      <c r="Y247" s="15"/>
      <c r="Z247" s="13">
        <v>0</v>
      </c>
      <c r="AA247" s="14">
        <f>IFERROR(Z247/Z446, "NA")</f>
      </c>
      <c r="AB247" s="15"/>
      <c r="AC247" s="16">
        <f>IFERROR(-(Q247-Z247), "NA")</f>
      </c>
      <c r="AD247" s="14">
        <f>IFERROR(AC247/AC446, "NA")</f>
      </c>
    </row>
    <row r="248" ht="16.5" customHeight="1">
      <c t="s" r="A248" s="18">
        <v>225</v>
      </c>
      <c r="B248" s="13">
        <v>241.65000000000001</v>
      </c>
      <c r="C248" s="14">
        <f>IFERROR(B248/B446, "NA")</f>
      </c>
      <c r="D248" s="15"/>
      <c r="E248" s="13">
        <v>0</v>
      </c>
      <c r="F248" s="14">
        <f>IFERROR(E248/E446, "NA")</f>
      </c>
      <c r="G248" s="15"/>
      <c r="H248" s="16">
        <f>IFERROR(-(B248-E248), "NA")</f>
      </c>
      <c r="I248" s="14">
        <f>IFERROR(H248/H446, "NA")</f>
      </c>
      <c r="J248" s="15"/>
      <c r="K248" s="13">
        <v>250.59999999999999</v>
      </c>
      <c r="L248" s="14">
        <f>IFERROR(K248/K446, "NA")</f>
      </c>
      <c r="M248" s="15"/>
      <c r="N248" s="16">
        <f>IFERROR(-(B248-K248), "NA")</f>
      </c>
      <c r="O248" s="14">
        <f>IFERROR(N248/N446, "NA")</f>
      </c>
      <c r="P248" s="15"/>
      <c r="Q248" s="13">
        <v>241.65000000000001</v>
      </c>
      <c r="R248" s="14">
        <f>IFERROR(Q248/Q446, "NA")</f>
      </c>
      <c r="S248" s="15"/>
      <c r="T248" s="13">
        <v>0</v>
      </c>
      <c r="U248" s="14">
        <f>IFERROR(T248/T446, "NA")</f>
      </c>
      <c r="V248" s="15"/>
      <c r="W248" s="16">
        <f>IFERROR(-(Q248-T248), "NA")</f>
      </c>
      <c r="X248" s="14">
        <f>IFERROR(W248/W446, "NA")</f>
      </c>
      <c r="Y248" s="15"/>
      <c r="Z248" s="13">
        <v>250.59999999999999</v>
      </c>
      <c r="AA248" s="14">
        <f>IFERROR(Z248/Z446, "NA")</f>
      </c>
      <c r="AB248" s="15"/>
      <c r="AC248" s="16">
        <f>IFERROR(-(Q248-Z248), "NA")</f>
      </c>
      <c r="AD248" s="14">
        <f>IFERROR(AC248/AC446, "NA")</f>
      </c>
    </row>
    <row r="249" ht="16.5" customHeight="1">
      <c t="s" r="A249" s="18">
        <v>226</v>
      </c>
      <c r="B249" s="13">
        <v>1214.26</v>
      </c>
      <c r="C249" s="14">
        <f>IFERROR(B249/B446, "NA")</f>
      </c>
      <c r="D249" s="15"/>
      <c r="E249" s="13">
        <v>0</v>
      </c>
      <c r="F249" s="14">
        <f>IFERROR(E249/E446, "NA")</f>
      </c>
      <c r="G249" s="15"/>
      <c r="H249" s="16">
        <f>IFERROR(-(B249-E249), "NA")</f>
      </c>
      <c r="I249" s="14">
        <f>IFERROR(H249/H446, "NA")</f>
      </c>
      <c r="J249" s="15"/>
      <c r="K249" s="13">
        <v>1142.6700000000001</v>
      </c>
      <c r="L249" s="14">
        <f>IFERROR(K249/K446, "NA")</f>
      </c>
      <c r="M249" s="15"/>
      <c r="N249" s="16">
        <f>IFERROR(-(B249-K249), "NA")</f>
      </c>
      <c r="O249" s="14">
        <f>IFERROR(N249/N446, "NA")</f>
      </c>
      <c r="P249" s="15"/>
      <c r="Q249" s="13">
        <v>1214.26</v>
      </c>
      <c r="R249" s="14">
        <f>IFERROR(Q249/Q446, "NA")</f>
      </c>
      <c r="S249" s="15"/>
      <c r="T249" s="13">
        <v>0</v>
      </c>
      <c r="U249" s="14">
        <f>IFERROR(T249/T446, "NA")</f>
      </c>
      <c r="V249" s="15"/>
      <c r="W249" s="16">
        <f>IFERROR(-(Q249-T249), "NA")</f>
      </c>
      <c r="X249" s="14">
        <f>IFERROR(W249/W446, "NA")</f>
      </c>
      <c r="Y249" s="15"/>
      <c r="Z249" s="13">
        <v>1142.6700000000001</v>
      </c>
      <c r="AA249" s="14">
        <f>IFERROR(Z249/Z446, "NA")</f>
      </c>
      <c r="AB249" s="15"/>
      <c r="AC249" s="16">
        <f>IFERROR(-(Q249-Z249), "NA")</f>
      </c>
      <c r="AD249" s="14">
        <f>IFERROR(AC249/AC446, "NA")</f>
      </c>
    </row>
    <row r="250" hidden="1" ht="16.5" customHeight="1">
      <c t="s" r="A250" s="18">
        <v>227</v>
      </c>
      <c r="B250" s="13">
        <v>0</v>
      </c>
      <c r="C250" s="14">
        <f>IFERROR(B250/B446, "NA")</f>
      </c>
      <c r="D250" s="15"/>
      <c r="E250" s="13">
        <v>0</v>
      </c>
      <c r="F250" s="14">
        <f>IFERROR(E250/E446, "NA")</f>
      </c>
      <c r="G250" s="15"/>
      <c r="H250" s="16">
        <f>IFERROR(-(B250-E250), "NA")</f>
      </c>
      <c r="I250" s="14">
        <f>IFERROR(H250/H446, "NA")</f>
      </c>
      <c r="J250" s="15"/>
      <c r="K250" s="13">
        <v>0</v>
      </c>
      <c r="L250" s="14">
        <f>IFERROR(K250/K446, "NA")</f>
      </c>
      <c r="M250" s="15"/>
      <c r="N250" s="16">
        <f>IFERROR(-(B250-K250), "NA")</f>
      </c>
      <c r="O250" s="14">
        <f>IFERROR(N250/N446, "NA")</f>
      </c>
      <c r="P250" s="15"/>
      <c r="Q250" s="13">
        <v>0</v>
      </c>
      <c r="R250" s="14">
        <f>IFERROR(Q250/Q446, "NA")</f>
      </c>
      <c r="S250" s="15"/>
      <c r="T250" s="13">
        <v>0</v>
      </c>
      <c r="U250" s="14">
        <f>IFERROR(T250/T446, "NA")</f>
      </c>
      <c r="V250" s="15"/>
      <c r="W250" s="16">
        <f>IFERROR(-(Q250-T250), "NA")</f>
      </c>
      <c r="X250" s="14">
        <f>IFERROR(W250/W446, "NA")</f>
      </c>
      <c r="Y250" s="15"/>
      <c r="Z250" s="13">
        <v>0</v>
      </c>
      <c r="AA250" s="14">
        <f>IFERROR(Z250/Z446, "NA")</f>
      </c>
      <c r="AB250" s="15"/>
      <c r="AC250" s="16">
        <f>IFERROR(-(Q250-Z250), "NA")</f>
      </c>
      <c r="AD250" s="14">
        <f>IFERROR(AC250/AC446, "NA")</f>
      </c>
    </row>
    <row r="251" hidden="1" ht="16.5" customHeight="1">
      <c t="s" r="A251" s="18">
        <v>228</v>
      </c>
      <c r="B251" s="13">
        <v>0</v>
      </c>
      <c r="C251" s="14">
        <f>IFERROR(B251/B446, "NA")</f>
      </c>
      <c r="D251" s="15"/>
      <c r="E251" s="13">
        <v>0</v>
      </c>
      <c r="F251" s="14">
        <f>IFERROR(E251/E446, "NA")</f>
      </c>
      <c r="G251" s="15"/>
      <c r="H251" s="16">
        <f>IFERROR(-(B251-E251), "NA")</f>
      </c>
      <c r="I251" s="14">
        <f>IFERROR(H251/H446, "NA")</f>
      </c>
      <c r="J251" s="15"/>
      <c r="K251" s="13">
        <v>0</v>
      </c>
      <c r="L251" s="14">
        <f>IFERROR(K251/K446, "NA")</f>
      </c>
      <c r="M251" s="15"/>
      <c r="N251" s="16">
        <f>IFERROR(-(B251-K251), "NA")</f>
      </c>
      <c r="O251" s="14">
        <f>IFERROR(N251/N446, "NA")</f>
      </c>
      <c r="P251" s="15"/>
      <c r="Q251" s="13">
        <v>0</v>
      </c>
      <c r="R251" s="14">
        <f>IFERROR(Q251/Q446, "NA")</f>
      </c>
      <c r="S251" s="15"/>
      <c r="T251" s="13">
        <v>0</v>
      </c>
      <c r="U251" s="14">
        <f>IFERROR(T251/T446, "NA")</f>
      </c>
      <c r="V251" s="15"/>
      <c r="W251" s="16">
        <f>IFERROR(-(Q251-T251), "NA")</f>
      </c>
      <c r="X251" s="14">
        <f>IFERROR(W251/W446, "NA")</f>
      </c>
      <c r="Y251" s="15"/>
      <c r="Z251" s="13">
        <v>0</v>
      </c>
      <c r="AA251" s="14">
        <f>IFERROR(Z251/Z446, "NA")</f>
      </c>
      <c r="AB251" s="15"/>
      <c r="AC251" s="16">
        <f>IFERROR(-(Q251-Z251), "NA")</f>
      </c>
      <c r="AD251" s="14">
        <f>IFERROR(AC251/AC446, "NA")</f>
      </c>
    </row>
    <row r="252" hidden="1" ht="16.5" customHeight="1">
      <c t="s" r="A252" s="18">
        <v>229</v>
      </c>
      <c r="B252" s="13">
        <v>0</v>
      </c>
      <c r="C252" s="14">
        <f>IFERROR(B252/B446, "NA")</f>
      </c>
      <c r="D252" s="15"/>
      <c r="E252" s="13">
        <v>0</v>
      </c>
      <c r="F252" s="14">
        <f>IFERROR(E252/E446, "NA")</f>
      </c>
      <c r="G252" s="15"/>
      <c r="H252" s="16">
        <f>IFERROR(-(B252-E252), "NA")</f>
      </c>
      <c r="I252" s="14">
        <f>IFERROR(H252/H446, "NA")</f>
      </c>
      <c r="J252" s="15"/>
      <c r="K252" s="13">
        <v>0</v>
      </c>
      <c r="L252" s="14">
        <f>IFERROR(K252/K446, "NA")</f>
      </c>
      <c r="M252" s="15"/>
      <c r="N252" s="16">
        <f>IFERROR(-(B252-K252), "NA")</f>
      </c>
      <c r="O252" s="14">
        <f>IFERROR(N252/N446, "NA")</f>
      </c>
      <c r="P252" s="15"/>
      <c r="Q252" s="13">
        <v>0</v>
      </c>
      <c r="R252" s="14">
        <f>IFERROR(Q252/Q446, "NA")</f>
      </c>
      <c r="S252" s="15"/>
      <c r="T252" s="13">
        <v>0</v>
      </c>
      <c r="U252" s="14">
        <f>IFERROR(T252/T446, "NA")</f>
      </c>
      <c r="V252" s="15"/>
      <c r="W252" s="16">
        <f>IFERROR(-(Q252-T252), "NA")</f>
      </c>
      <c r="X252" s="14">
        <f>IFERROR(W252/W446, "NA")</f>
      </c>
      <c r="Y252" s="15"/>
      <c r="Z252" s="13">
        <v>0</v>
      </c>
      <c r="AA252" s="14">
        <f>IFERROR(Z252/Z446, "NA")</f>
      </c>
      <c r="AB252" s="15"/>
      <c r="AC252" s="16">
        <f>IFERROR(-(Q252-Z252), "NA")</f>
      </c>
      <c r="AD252" s="14">
        <f>IFERROR(AC252/AC446, "NA")</f>
      </c>
    </row>
    <row r="253" hidden="1" ht="16.5" customHeight="1">
      <c t="s" r="A253" s="18">
        <v>230</v>
      </c>
      <c r="B253" s="13">
        <v>0</v>
      </c>
      <c r="C253" s="14">
        <f>IFERROR(B253/B446, "NA")</f>
      </c>
      <c r="D253" s="15"/>
      <c r="E253" s="13">
        <v>0</v>
      </c>
      <c r="F253" s="14">
        <f>IFERROR(E253/E446, "NA")</f>
      </c>
      <c r="G253" s="15"/>
      <c r="H253" s="16">
        <f>IFERROR(-(B253-E253), "NA")</f>
      </c>
      <c r="I253" s="14">
        <f>IFERROR(H253/H446, "NA")</f>
      </c>
      <c r="J253" s="15"/>
      <c r="K253" s="13">
        <v>0</v>
      </c>
      <c r="L253" s="14">
        <f>IFERROR(K253/K446, "NA")</f>
      </c>
      <c r="M253" s="15"/>
      <c r="N253" s="16">
        <f>IFERROR(-(B253-K253), "NA")</f>
      </c>
      <c r="O253" s="14">
        <f>IFERROR(N253/N446, "NA")</f>
      </c>
      <c r="P253" s="15"/>
      <c r="Q253" s="13">
        <v>0</v>
      </c>
      <c r="R253" s="14">
        <f>IFERROR(Q253/Q446, "NA")</f>
      </c>
      <c r="S253" s="15"/>
      <c r="T253" s="13">
        <v>0</v>
      </c>
      <c r="U253" s="14">
        <f>IFERROR(T253/T446, "NA")</f>
      </c>
      <c r="V253" s="15"/>
      <c r="W253" s="16">
        <f>IFERROR(-(Q253-T253), "NA")</f>
      </c>
      <c r="X253" s="14">
        <f>IFERROR(W253/W446, "NA")</f>
      </c>
      <c r="Y253" s="15"/>
      <c r="Z253" s="13">
        <v>0</v>
      </c>
      <c r="AA253" s="14">
        <f>IFERROR(Z253/Z446, "NA")</f>
      </c>
      <c r="AB253" s="15"/>
      <c r="AC253" s="16">
        <f>IFERROR(-(Q253-Z253), "NA")</f>
      </c>
      <c r="AD253" s="14">
        <f>IFERROR(AC253/AC446, "NA")</f>
      </c>
    </row>
    <row r="254" ht="16.5" customHeight="1">
      <c t="s" r="A254" s="18">
        <v>231</v>
      </c>
      <c r="B254" s="13">
        <v>741.61000000000001</v>
      </c>
      <c r="C254" s="14">
        <f>IFERROR(B254/B446, "NA")</f>
      </c>
      <c r="D254" s="15"/>
      <c r="E254" s="13">
        <v>0</v>
      </c>
      <c r="F254" s="14">
        <f>IFERROR(E254/E446, "NA")</f>
      </c>
      <c r="G254" s="15"/>
      <c r="H254" s="16">
        <f>IFERROR(-(B254-E254), "NA")</f>
      </c>
      <c r="I254" s="14">
        <f>IFERROR(H254/H446, "NA")</f>
      </c>
      <c r="J254" s="15"/>
      <c r="K254" s="13">
        <v>1175.98</v>
      </c>
      <c r="L254" s="14">
        <f>IFERROR(K254/K446, "NA")</f>
      </c>
      <c r="M254" s="15"/>
      <c r="N254" s="16">
        <f>IFERROR(-(B254-K254), "NA")</f>
      </c>
      <c r="O254" s="14">
        <f>IFERROR(N254/N446, "NA")</f>
      </c>
      <c r="P254" s="15"/>
      <c r="Q254" s="13">
        <v>741.61000000000001</v>
      </c>
      <c r="R254" s="14">
        <f>IFERROR(Q254/Q446, "NA")</f>
      </c>
      <c r="S254" s="15"/>
      <c r="T254" s="13">
        <v>0</v>
      </c>
      <c r="U254" s="14">
        <f>IFERROR(T254/T446, "NA")</f>
      </c>
      <c r="V254" s="15"/>
      <c r="W254" s="16">
        <f>IFERROR(-(Q254-T254), "NA")</f>
      </c>
      <c r="X254" s="14">
        <f>IFERROR(W254/W446, "NA")</f>
      </c>
      <c r="Y254" s="15"/>
      <c r="Z254" s="13">
        <v>1175.98</v>
      </c>
      <c r="AA254" s="14">
        <f>IFERROR(Z254/Z446, "NA")</f>
      </c>
      <c r="AB254" s="15"/>
      <c r="AC254" s="16">
        <f>IFERROR(-(Q254-Z254), "NA")</f>
      </c>
      <c r="AD254" s="14">
        <f>IFERROR(AC254/AC446, "NA")</f>
      </c>
    </row>
    <row r="255" hidden="1" ht="16.5" customHeight="1">
      <c t="s" r="A255" s="18">
        <v>232</v>
      </c>
      <c r="B255" s="13">
        <v>0</v>
      </c>
      <c r="C255" s="14">
        <f>IFERROR(B255/B446, "NA")</f>
      </c>
      <c r="D255" s="15"/>
      <c r="E255" s="13">
        <v>0</v>
      </c>
      <c r="F255" s="14">
        <f>IFERROR(E255/E446, "NA")</f>
      </c>
      <c r="G255" s="15"/>
      <c r="H255" s="16">
        <f>IFERROR(-(B255-E255), "NA")</f>
      </c>
      <c r="I255" s="14">
        <f>IFERROR(H255/H446, "NA")</f>
      </c>
      <c r="J255" s="15"/>
      <c r="K255" s="13">
        <v>0</v>
      </c>
      <c r="L255" s="14">
        <f>IFERROR(K255/K446, "NA")</f>
      </c>
      <c r="M255" s="15"/>
      <c r="N255" s="16">
        <f>IFERROR(-(B255-K255), "NA")</f>
      </c>
      <c r="O255" s="14">
        <f>IFERROR(N255/N446, "NA")</f>
      </c>
      <c r="P255" s="15"/>
      <c r="Q255" s="13">
        <v>0</v>
      </c>
      <c r="R255" s="14">
        <f>IFERROR(Q255/Q446, "NA")</f>
      </c>
      <c r="S255" s="15"/>
      <c r="T255" s="13">
        <v>0</v>
      </c>
      <c r="U255" s="14">
        <f>IFERROR(T255/T446, "NA")</f>
      </c>
      <c r="V255" s="15"/>
      <c r="W255" s="16">
        <f>IFERROR(-(Q255-T255), "NA")</f>
      </c>
      <c r="X255" s="14">
        <f>IFERROR(W255/W446, "NA")</f>
      </c>
      <c r="Y255" s="15"/>
      <c r="Z255" s="13">
        <v>0</v>
      </c>
      <c r="AA255" s="14">
        <f>IFERROR(Z255/Z446, "NA")</f>
      </c>
      <c r="AB255" s="15"/>
      <c r="AC255" s="16">
        <f>IFERROR(-(Q255-Z255), "NA")</f>
      </c>
      <c r="AD255" s="14">
        <f>IFERROR(AC255/AC446, "NA")</f>
      </c>
    </row>
    <row r="256" hidden="1" ht="16.5" customHeight="1">
      <c t="s" r="A256" s="18">
        <v>233</v>
      </c>
      <c r="B256" s="13">
        <v>0</v>
      </c>
      <c r="C256" s="14">
        <f>IFERROR(B256/B446, "NA")</f>
      </c>
      <c r="D256" s="15"/>
      <c r="E256" s="13">
        <v>0</v>
      </c>
      <c r="F256" s="14">
        <f>IFERROR(E256/E446, "NA")</f>
      </c>
      <c r="G256" s="15"/>
      <c r="H256" s="16">
        <f>IFERROR(-(B256-E256), "NA")</f>
      </c>
      <c r="I256" s="14">
        <f>IFERROR(H256/H446, "NA")</f>
      </c>
      <c r="J256" s="15"/>
      <c r="K256" s="13">
        <v>0</v>
      </c>
      <c r="L256" s="14">
        <f>IFERROR(K256/K446, "NA")</f>
      </c>
      <c r="M256" s="15"/>
      <c r="N256" s="16">
        <f>IFERROR(-(B256-K256), "NA")</f>
      </c>
      <c r="O256" s="14">
        <f>IFERROR(N256/N446, "NA")</f>
      </c>
      <c r="P256" s="15"/>
      <c r="Q256" s="13">
        <v>0</v>
      </c>
      <c r="R256" s="14">
        <f>IFERROR(Q256/Q446, "NA")</f>
      </c>
      <c r="S256" s="15"/>
      <c r="T256" s="13">
        <v>0</v>
      </c>
      <c r="U256" s="14">
        <f>IFERROR(T256/T446, "NA")</f>
      </c>
      <c r="V256" s="15"/>
      <c r="W256" s="16">
        <f>IFERROR(-(Q256-T256), "NA")</f>
      </c>
      <c r="X256" s="14">
        <f>IFERROR(W256/W446, "NA")</f>
      </c>
      <c r="Y256" s="15"/>
      <c r="Z256" s="13">
        <v>0</v>
      </c>
      <c r="AA256" s="14">
        <f>IFERROR(Z256/Z446, "NA")</f>
      </c>
      <c r="AB256" s="15"/>
      <c r="AC256" s="16">
        <f>IFERROR(-(Q256-Z256), "NA")</f>
      </c>
      <c r="AD256" s="14">
        <f>IFERROR(AC256/AC446, "NA")</f>
      </c>
    </row>
    <row r="257" hidden="1" ht="16.5" customHeight="1">
      <c t="s" r="A257" s="18">
        <v>234</v>
      </c>
      <c r="B257" s="13">
        <v>0</v>
      </c>
      <c r="C257" s="14">
        <f>IFERROR(B257/B446, "NA")</f>
      </c>
      <c r="D257" s="15"/>
      <c r="E257" s="13">
        <v>0</v>
      </c>
      <c r="F257" s="14">
        <f>IFERROR(E257/E446, "NA")</f>
      </c>
      <c r="G257" s="15"/>
      <c r="H257" s="16">
        <f>IFERROR(-(B257-E257), "NA")</f>
      </c>
      <c r="I257" s="14">
        <f>IFERROR(H257/H446, "NA")</f>
      </c>
      <c r="J257" s="15"/>
      <c r="K257" s="13">
        <v>0</v>
      </c>
      <c r="L257" s="14">
        <f>IFERROR(K257/K446, "NA")</f>
      </c>
      <c r="M257" s="15"/>
      <c r="N257" s="16">
        <f>IFERROR(-(B257-K257), "NA")</f>
      </c>
      <c r="O257" s="14">
        <f>IFERROR(N257/N446, "NA")</f>
      </c>
      <c r="P257" s="15"/>
      <c r="Q257" s="13">
        <v>0</v>
      </c>
      <c r="R257" s="14">
        <f>IFERROR(Q257/Q446, "NA")</f>
      </c>
      <c r="S257" s="15"/>
      <c r="T257" s="13">
        <v>0</v>
      </c>
      <c r="U257" s="14">
        <f>IFERROR(T257/T446, "NA")</f>
      </c>
      <c r="V257" s="15"/>
      <c r="W257" s="16">
        <f>IFERROR(-(Q257-T257), "NA")</f>
      </c>
      <c r="X257" s="14">
        <f>IFERROR(W257/W446, "NA")</f>
      </c>
      <c r="Y257" s="15"/>
      <c r="Z257" s="13">
        <v>0</v>
      </c>
      <c r="AA257" s="14">
        <f>IFERROR(Z257/Z446, "NA")</f>
      </c>
      <c r="AB257" s="15"/>
      <c r="AC257" s="16">
        <f>IFERROR(-(Q257-Z257), "NA")</f>
      </c>
      <c r="AD257" s="14">
        <f>IFERROR(AC257/AC446, "NA")</f>
      </c>
    </row>
    <row r="258" hidden="1" ht="16.5" customHeight="1">
      <c t="s" r="A258" s="18">
        <v>235</v>
      </c>
      <c r="B258" s="13">
        <v>0</v>
      </c>
      <c r="C258" s="14">
        <f>IFERROR(B258/B446, "NA")</f>
      </c>
      <c r="D258" s="15"/>
      <c r="E258" s="13">
        <v>0</v>
      </c>
      <c r="F258" s="14">
        <f>IFERROR(E258/E446, "NA")</f>
      </c>
      <c r="G258" s="15"/>
      <c r="H258" s="16">
        <f>IFERROR(-(B258-E258), "NA")</f>
      </c>
      <c r="I258" s="14">
        <f>IFERROR(H258/H446, "NA")</f>
      </c>
      <c r="J258" s="15"/>
      <c r="K258" s="13">
        <v>0</v>
      </c>
      <c r="L258" s="14">
        <f>IFERROR(K258/K446, "NA")</f>
      </c>
      <c r="M258" s="15"/>
      <c r="N258" s="16">
        <f>IFERROR(-(B258-K258), "NA")</f>
      </c>
      <c r="O258" s="14">
        <f>IFERROR(N258/N446, "NA")</f>
      </c>
      <c r="P258" s="15"/>
      <c r="Q258" s="13">
        <v>0</v>
      </c>
      <c r="R258" s="14">
        <f>IFERROR(Q258/Q446, "NA")</f>
      </c>
      <c r="S258" s="15"/>
      <c r="T258" s="13">
        <v>0</v>
      </c>
      <c r="U258" s="14">
        <f>IFERROR(T258/T446, "NA")</f>
      </c>
      <c r="V258" s="15"/>
      <c r="W258" s="16">
        <f>IFERROR(-(Q258-T258), "NA")</f>
      </c>
      <c r="X258" s="14">
        <f>IFERROR(W258/W446, "NA")</f>
      </c>
      <c r="Y258" s="15"/>
      <c r="Z258" s="13">
        <v>0</v>
      </c>
      <c r="AA258" s="14">
        <f>IFERROR(Z258/Z446, "NA")</f>
      </c>
      <c r="AB258" s="15"/>
      <c r="AC258" s="16">
        <f>IFERROR(-(Q258-Z258), "NA")</f>
      </c>
      <c r="AD258" s="14">
        <f>IFERROR(AC258/AC446, "NA")</f>
      </c>
    </row>
    <row r="259" hidden="1" ht="16.5" customHeight="1">
      <c t="s" r="A259" s="18">
        <v>236</v>
      </c>
      <c r="B259" s="13">
        <v>0</v>
      </c>
      <c r="C259" s="14">
        <f>IFERROR(B259/B446, "NA")</f>
      </c>
      <c r="D259" s="15"/>
      <c r="E259" s="13">
        <v>0</v>
      </c>
      <c r="F259" s="14">
        <f>IFERROR(E259/E446, "NA")</f>
      </c>
      <c r="G259" s="15"/>
      <c r="H259" s="16">
        <f>IFERROR(-(B259-E259), "NA")</f>
      </c>
      <c r="I259" s="14">
        <f>IFERROR(H259/H446, "NA")</f>
      </c>
      <c r="J259" s="15"/>
      <c r="K259" s="13">
        <v>0</v>
      </c>
      <c r="L259" s="14">
        <f>IFERROR(K259/K446, "NA")</f>
      </c>
      <c r="M259" s="15"/>
      <c r="N259" s="16">
        <f>IFERROR(-(B259-K259), "NA")</f>
      </c>
      <c r="O259" s="14">
        <f>IFERROR(N259/N446, "NA")</f>
      </c>
      <c r="P259" s="15"/>
      <c r="Q259" s="13">
        <v>0</v>
      </c>
      <c r="R259" s="14">
        <f>IFERROR(Q259/Q446, "NA")</f>
      </c>
      <c r="S259" s="15"/>
      <c r="T259" s="13">
        <v>0</v>
      </c>
      <c r="U259" s="14">
        <f>IFERROR(T259/T446, "NA")</f>
      </c>
      <c r="V259" s="15"/>
      <c r="W259" s="16">
        <f>IFERROR(-(Q259-T259), "NA")</f>
      </c>
      <c r="X259" s="14">
        <f>IFERROR(W259/W446, "NA")</f>
      </c>
      <c r="Y259" s="15"/>
      <c r="Z259" s="13">
        <v>0</v>
      </c>
      <c r="AA259" s="14">
        <f>IFERROR(Z259/Z446, "NA")</f>
      </c>
      <c r="AB259" s="15"/>
      <c r="AC259" s="16">
        <f>IFERROR(-(Q259-Z259), "NA")</f>
      </c>
      <c r="AD259" s="14">
        <f>IFERROR(AC259/AC446, "NA")</f>
      </c>
    </row>
    <row r="260" hidden="1" ht="16.5" customHeight="1">
      <c t="s" r="A260" s="18">
        <v>237</v>
      </c>
      <c r="B260" s="13">
        <v>0</v>
      </c>
      <c r="C260" s="14">
        <f>IFERROR(B260/B446, "NA")</f>
      </c>
      <c r="D260" s="15"/>
      <c r="E260" s="13">
        <v>0</v>
      </c>
      <c r="F260" s="14">
        <f>IFERROR(E260/E446, "NA")</f>
      </c>
      <c r="G260" s="15"/>
      <c r="H260" s="16">
        <f>IFERROR(-(B260-E260), "NA")</f>
      </c>
      <c r="I260" s="14">
        <f>IFERROR(H260/H446, "NA")</f>
      </c>
      <c r="J260" s="15"/>
      <c r="K260" s="13">
        <v>0</v>
      </c>
      <c r="L260" s="14">
        <f>IFERROR(K260/K446, "NA")</f>
      </c>
      <c r="M260" s="15"/>
      <c r="N260" s="16">
        <f>IFERROR(-(B260-K260), "NA")</f>
      </c>
      <c r="O260" s="14">
        <f>IFERROR(N260/N446, "NA")</f>
      </c>
      <c r="P260" s="15"/>
      <c r="Q260" s="13">
        <v>0</v>
      </c>
      <c r="R260" s="14">
        <f>IFERROR(Q260/Q446, "NA")</f>
      </c>
      <c r="S260" s="15"/>
      <c r="T260" s="13">
        <v>0</v>
      </c>
      <c r="U260" s="14">
        <f>IFERROR(T260/T446, "NA")</f>
      </c>
      <c r="V260" s="15"/>
      <c r="W260" s="16">
        <f>IFERROR(-(Q260-T260), "NA")</f>
      </c>
      <c r="X260" s="14">
        <f>IFERROR(W260/W446, "NA")</f>
      </c>
      <c r="Y260" s="15"/>
      <c r="Z260" s="13">
        <v>0</v>
      </c>
      <c r="AA260" s="14">
        <f>IFERROR(Z260/Z446, "NA")</f>
      </c>
      <c r="AB260" s="15"/>
      <c r="AC260" s="16">
        <f>IFERROR(-(Q260-Z260), "NA")</f>
      </c>
      <c r="AD260" s="14">
        <f>IFERROR(AC260/AC446, "NA")</f>
      </c>
    </row>
    <row r="261" hidden="1" ht="16.5" customHeight="1">
      <c t="s" r="A261" s="18">
        <v>238</v>
      </c>
      <c r="B261" s="13">
        <v>0</v>
      </c>
      <c r="C261" s="14">
        <f>IFERROR(B261/B446, "NA")</f>
      </c>
      <c r="D261" s="15"/>
      <c r="E261" s="13">
        <v>0</v>
      </c>
      <c r="F261" s="14">
        <f>IFERROR(E261/E446, "NA")</f>
      </c>
      <c r="G261" s="15"/>
      <c r="H261" s="16">
        <f>IFERROR(-(B261-E261), "NA")</f>
      </c>
      <c r="I261" s="14">
        <f>IFERROR(H261/H446, "NA")</f>
      </c>
      <c r="J261" s="15"/>
      <c r="K261" s="13">
        <v>0</v>
      </c>
      <c r="L261" s="14">
        <f>IFERROR(K261/K446, "NA")</f>
      </c>
      <c r="M261" s="15"/>
      <c r="N261" s="16">
        <f>IFERROR(-(B261-K261), "NA")</f>
      </c>
      <c r="O261" s="14">
        <f>IFERROR(N261/N446, "NA")</f>
      </c>
      <c r="P261" s="15"/>
      <c r="Q261" s="13">
        <v>0</v>
      </c>
      <c r="R261" s="14">
        <f>IFERROR(Q261/Q446, "NA")</f>
      </c>
      <c r="S261" s="15"/>
      <c r="T261" s="13">
        <v>0</v>
      </c>
      <c r="U261" s="14">
        <f>IFERROR(T261/T446, "NA")</f>
      </c>
      <c r="V261" s="15"/>
      <c r="W261" s="16">
        <f>IFERROR(-(Q261-T261), "NA")</f>
      </c>
      <c r="X261" s="14">
        <f>IFERROR(W261/W446, "NA")</f>
      </c>
      <c r="Y261" s="15"/>
      <c r="Z261" s="13">
        <v>0</v>
      </c>
      <c r="AA261" s="14">
        <f>IFERROR(Z261/Z446, "NA")</f>
      </c>
      <c r="AB261" s="15"/>
      <c r="AC261" s="16">
        <f>IFERROR(-(Q261-Z261), "NA")</f>
      </c>
      <c r="AD261" s="14">
        <f>IFERROR(AC261/AC446, "NA")</f>
      </c>
    </row>
    <row r="262" hidden="1" ht="16.5" customHeight="1">
      <c t="s" r="A262" s="18">
        <v>239</v>
      </c>
      <c r="B262" s="13">
        <v>0</v>
      </c>
      <c r="C262" s="14">
        <f>IFERROR(B262/B446, "NA")</f>
      </c>
      <c r="D262" s="15"/>
      <c r="E262" s="13">
        <v>0</v>
      </c>
      <c r="F262" s="14">
        <f>IFERROR(E262/E446, "NA")</f>
      </c>
      <c r="G262" s="15"/>
      <c r="H262" s="16">
        <f>IFERROR(-(B262-E262), "NA")</f>
      </c>
      <c r="I262" s="14">
        <f>IFERROR(H262/H446, "NA")</f>
      </c>
      <c r="J262" s="15"/>
      <c r="K262" s="13">
        <v>0</v>
      </c>
      <c r="L262" s="14">
        <f>IFERROR(K262/K446, "NA")</f>
      </c>
      <c r="M262" s="15"/>
      <c r="N262" s="16">
        <f>IFERROR(-(B262-K262), "NA")</f>
      </c>
      <c r="O262" s="14">
        <f>IFERROR(N262/N446, "NA")</f>
      </c>
      <c r="P262" s="15"/>
      <c r="Q262" s="13">
        <v>0</v>
      </c>
      <c r="R262" s="14">
        <f>IFERROR(Q262/Q446, "NA")</f>
      </c>
      <c r="S262" s="15"/>
      <c r="T262" s="13">
        <v>0</v>
      </c>
      <c r="U262" s="14">
        <f>IFERROR(T262/T446, "NA")</f>
      </c>
      <c r="V262" s="15"/>
      <c r="W262" s="16">
        <f>IFERROR(-(Q262-T262), "NA")</f>
      </c>
      <c r="X262" s="14">
        <f>IFERROR(W262/W446, "NA")</f>
      </c>
      <c r="Y262" s="15"/>
      <c r="Z262" s="13">
        <v>0</v>
      </c>
      <c r="AA262" s="14">
        <f>IFERROR(Z262/Z446, "NA")</f>
      </c>
      <c r="AB262" s="15"/>
      <c r="AC262" s="16">
        <f>IFERROR(-(Q262-Z262), "NA")</f>
      </c>
      <c r="AD262" s="14">
        <f>IFERROR(AC262/AC446, "NA")</f>
      </c>
    </row>
    <row r="263" ht="16.5" customHeight="1">
      <c t="s" r="A263" s="19">
        <v>240</v>
      </c>
      <c r="B263" s="20">
        <f>IFERROR(B240+B241+B242+B243+B244+B245+B246+B247+B248+B249+B250+B251+B252+B253+B254+B255+B256+B257+B258+B259+B260+B261+B262, "NA")</f>
      </c>
      <c r="C263" s="21">
        <f>IFERROR(B263/B446, "NA")</f>
      </c>
      <c r="D263" s="8"/>
      <c r="E263" s="20">
        <f>IFERROR(E240+E241+E242+E243+E244+E245+E246+E247+E248+E249+E250+E251+E252+E253+E254+E255+E256+E257+E258+E259+E260+E261+E262, "NA")</f>
      </c>
      <c r="F263" s="21">
        <f>IFERROR(E263/E446, "NA")</f>
      </c>
      <c r="G263" s="8"/>
      <c r="H263" s="20">
        <f>IFERROR(-(B263-E263), "NA")</f>
      </c>
      <c r="I263" s="21">
        <f>IFERROR(H263/H446, "NA")</f>
      </c>
      <c r="J263" s="8"/>
      <c r="K263" s="20">
        <f>IFERROR(K240+K241+K242+K243+K244+K245+K246+K247+K248+K249+K250+K251+K252+K253+K254+K255+K256+K257+K258+K259+K260+K261+K262, "NA")</f>
      </c>
      <c r="L263" s="21">
        <f>IFERROR(K263/K446, "NA")</f>
      </c>
      <c r="M263" s="8"/>
      <c r="N263" s="20">
        <f>IFERROR(-(B263-K263), "NA")</f>
      </c>
      <c r="O263" s="21">
        <f>IFERROR(N263/N446, "NA")</f>
      </c>
      <c r="P263" s="8"/>
      <c r="Q263" s="20">
        <f>IFERROR(Q240+Q241+Q242+Q243+Q244+Q245+Q246+Q247+Q248+Q249+Q250+Q251+Q252+Q253+Q254+Q255+Q256+Q257+Q258+Q259+Q260+Q261+Q262, "NA")</f>
      </c>
      <c r="R263" s="21">
        <f>IFERROR(Q263/Q446, "NA")</f>
      </c>
      <c r="S263" s="8"/>
      <c r="T263" s="20">
        <f>IFERROR(T240+T241+T242+T243+T244+T245+T246+T247+T248+T249+T250+T251+T252+T253+T254+T255+T256+T257+T258+T259+T260+T261+T262, "NA")</f>
      </c>
      <c r="U263" s="21">
        <f>IFERROR(T263/T446, "NA")</f>
      </c>
      <c r="V263" s="8"/>
      <c r="W263" s="20">
        <f>IFERROR(-(Q263-T263), "NA")</f>
      </c>
      <c r="X263" s="21">
        <f>IFERROR(W263/W446, "NA")</f>
      </c>
      <c r="Y263" s="8"/>
      <c r="Z263" s="20">
        <f>IFERROR(Z240+Z241+Z242+Z243+Z244+Z245+Z246+Z247+Z248+Z249+Z250+Z251+Z252+Z253+Z254+Z255+Z256+Z257+Z258+Z259+Z260+Z261+Z262, "NA")</f>
      </c>
      <c r="AA263" s="21">
        <f>IFERROR(Z263/Z446, "NA")</f>
      </c>
      <c r="AB263" s="8"/>
      <c r="AC263" s="20">
        <f>IFERROR(-(Q263-Z263), "NA")</f>
      </c>
      <c r="AD263" s="21">
        <f>IFERROR(AC263/AC446, "NA")</f>
      </c>
    </row>
    <row r="264" ht="16.5" customHeight="1">
      <c t="s" r="A264" s="25">
        <v>241</v>
      </c>
      <c r="B264" s="20">
        <f>IFERROR(B238+B240+B241+B242+B243+B244+B245+B246+B247+B248+B249+B250+B251+B252+B253+B254+B255+B256+B257+B258+B259+B260+B261+B262, "NA")</f>
      </c>
      <c r="C264" s="21">
        <f>IFERROR(B264/B446, "NA")</f>
      </c>
      <c r="D264" s="8"/>
      <c r="E264" s="20">
        <f>IFERROR(E238+E240+E241+E242+E243+E244+E245+E246+E247+E248+E249+E250+E251+E252+E253+E254+E255+E256+E257+E258+E259+E260+E261+E262, "NA")</f>
      </c>
      <c r="F264" s="21">
        <f>IFERROR(E264/E446, "NA")</f>
      </c>
      <c r="G264" s="8"/>
      <c r="H264" s="20">
        <f>IFERROR(-(B264-E264), "NA")</f>
      </c>
      <c r="I264" s="21">
        <f>IFERROR(H264/H446, "NA")</f>
      </c>
      <c r="J264" s="8"/>
      <c r="K264" s="20">
        <f>IFERROR(K238+K240+K241+K242+K243+K244+K245+K246+K247+K248+K249+K250+K251+K252+K253+K254+K255+K256+K257+K258+K259+K260+K261+K262, "NA")</f>
      </c>
      <c r="L264" s="21">
        <f>IFERROR(K264/K446, "NA")</f>
      </c>
      <c r="M264" s="8"/>
      <c r="N264" s="20">
        <f>IFERROR(-(B264-K264), "NA")</f>
      </c>
      <c r="O264" s="21">
        <f>IFERROR(N264/N446, "NA")</f>
      </c>
      <c r="P264" s="8"/>
      <c r="Q264" s="20">
        <f>IFERROR(Q238+Q240+Q241+Q242+Q243+Q244+Q245+Q246+Q247+Q248+Q249+Q250+Q251+Q252+Q253+Q254+Q255+Q256+Q257+Q258+Q259+Q260+Q261+Q262, "NA")</f>
      </c>
      <c r="R264" s="21">
        <f>IFERROR(Q264/Q446, "NA")</f>
      </c>
      <c r="S264" s="8"/>
      <c r="T264" s="20">
        <f>IFERROR(T238+T240+T241+T242+T243+T244+T245+T246+T247+T248+T249+T250+T251+T252+T253+T254+T255+T256+T257+T258+T259+T260+T261+T262, "NA")</f>
      </c>
      <c r="U264" s="21">
        <f>IFERROR(T264/T446, "NA")</f>
      </c>
      <c r="V264" s="8"/>
      <c r="W264" s="20">
        <f>IFERROR(-(Q264-T264), "NA")</f>
      </c>
      <c r="X264" s="21">
        <f>IFERROR(W264/W446, "NA")</f>
      </c>
      <c r="Y264" s="8"/>
      <c r="Z264" s="20">
        <f>IFERROR(Z238+Z240+Z241+Z242+Z243+Z244+Z245+Z246+Z247+Z248+Z249+Z250+Z251+Z252+Z253+Z254+Z255+Z256+Z257+Z258+Z259+Z260+Z261+Z262, "NA")</f>
      </c>
      <c r="AA264" s="21">
        <f>IFERROR(Z264/Z446, "NA")</f>
      </c>
      <c r="AB264" s="8"/>
      <c r="AC264" s="20">
        <f>IFERROR(-(Q264-Z264), "NA")</f>
      </c>
      <c r="AD264" s="21">
        <f>IFERROR(AC264/AC446, "NA")</f>
      </c>
    </row>
    <row r="265" ht="16.5" customHeight="1">
      <c t="s" r="A265" s="11">
        <v>242</v>
      </c>
      <c r="B265" s="8"/>
      <c r="C265" s="9"/>
      <c r="D265" s="10"/>
      <c r="E265" s="8"/>
      <c r="F265" s="9"/>
      <c r="G265" s="10"/>
      <c r="H265" s="8"/>
      <c r="I265" s="9"/>
      <c r="J265" s="10"/>
      <c r="K265" s="8"/>
      <c r="L265" s="9"/>
      <c r="M265" s="10"/>
      <c r="N265" s="8"/>
      <c r="O265" s="9"/>
      <c r="P265" s="10"/>
      <c r="Q265" s="8"/>
      <c r="R265" s="9"/>
      <c r="S265" s="10"/>
      <c r="T265" s="8"/>
      <c r="U265" s="9"/>
      <c r="V265" s="10"/>
      <c r="W265" s="8"/>
      <c r="X265" s="9"/>
      <c r="Y265" s="10"/>
      <c r="Z265" s="8"/>
      <c r="AA265" s="9"/>
      <c r="AB265" s="10"/>
      <c r="AC265" s="8"/>
      <c r="AD265" s="9"/>
    </row>
    <row r="266" ht="16.5" customHeight="1">
      <c t="s" r="A266" s="12">
        <v>242</v>
      </c>
      <c r="B266" s="13">
        <v>2472.1100000000001</v>
      </c>
      <c r="C266" s="14">
        <f>IFERROR(B266/B446, "NA")</f>
      </c>
      <c r="D266" s="15"/>
      <c r="E266" s="13">
        <v>2622.0799999999999</v>
      </c>
      <c r="F266" s="14">
        <f>IFERROR(E266/E446, "NA")</f>
      </c>
      <c r="G266" s="15"/>
      <c r="H266" s="16">
        <f>IFERROR(-(B266-E266), "NA")</f>
      </c>
      <c r="I266" s="14">
        <f>IFERROR(H266/H446, "NA")</f>
      </c>
      <c r="J266" s="15"/>
      <c r="K266" s="13">
        <v>2537.0999999999999</v>
      </c>
      <c r="L266" s="14">
        <f>IFERROR(K266/K446, "NA")</f>
      </c>
      <c r="M266" s="15"/>
      <c r="N266" s="16">
        <f>IFERROR(-(B266-K266), "NA")</f>
      </c>
      <c r="O266" s="14">
        <f>IFERROR(N266/N446, "NA")</f>
      </c>
      <c r="P266" s="15"/>
      <c r="Q266" s="13">
        <v>2472.1100000000001</v>
      </c>
      <c r="R266" s="14">
        <f>IFERROR(Q266/Q446, "NA")</f>
      </c>
      <c r="S266" s="15"/>
      <c r="T266" s="13">
        <v>2622.0799999999999</v>
      </c>
      <c r="U266" s="14">
        <f>IFERROR(T266/T446, "NA")</f>
      </c>
      <c r="V266" s="15"/>
      <c r="W266" s="16">
        <f>IFERROR(-(Q266-T266), "NA")</f>
      </c>
      <c r="X266" s="14">
        <f>IFERROR(W266/W446, "NA")</f>
      </c>
      <c r="Y266" s="15"/>
      <c r="Z266" s="13">
        <v>2537.0999999999999</v>
      </c>
      <c r="AA266" s="14">
        <f>IFERROR(Z266/Z446, "NA")</f>
      </c>
      <c r="AB266" s="15"/>
      <c r="AC266" s="16">
        <f>IFERROR(-(Q266-Z266), "NA")</f>
      </c>
      <c r="AD266" s="14">
        <f>IFERROR(AC266/AC446, "NA")</f>
      </c>
    </row>
    <row r="267" hidden="1" ht="16.5" customHeight="1">
      <c t="s" r="A267" s="12">
        <v>243</v>
      </c>
      <c r="B267" s="13">
        <v>0</v>
      </c>
      <c r="C267" s="14">
        <f>IFERROR(B267/B446, "NA")</f>
      </c>
      <c r="D267" s="15"/>
      <c r="E267" s="13">
        <v>0</v>
      </c>
      <c r="F267" s="14">
        <f>IFERROR(E267/E446, "NA")</f>
      </c>
      <c r="G267" s="15"/>
      <c r="H267" s="16">
        <f>IFERROR(-(B267-E267), "NA")</f>
      </c>
      <c r="I267" s="14">
        <f>IFERROR(H267/H446, "NA")</f>
      </c>
      <c r="J267" s="15"/>
      <c r="K267" s="13">
        <v>0</v>
      </c>
      <c r="L267" s="14">
        <f>IFERROR(K267/K446, "NA")</f>
      </c>
      <c r="M267" s="15"/>
      <c r="N267" s="16">
        <f>IFERROR(-(B267-K267), "NA")</f>
      </c>
      <c r="O267" s="14">
        <f>IFERROR(N267/N446, "NA")</f>
      </c>
      <c r="P267" s="15"/>
      <c r="Q267" s="13">
        <v>0</v>
      </c>
      <c r="R267" s="14">
        <f>IFERROR(Q267/Q446, "NA")</f>
      </c>
      <c r="S267" s="15"/>
      <c r="T267" s="13">
        <v>0</v>
      </c>
      <c r="U267" s="14">
        <f>IFERROR(T267/T446, "NA")</f>
      </c>
      <c r="V267" s="15"/>
      <c r="W267" s="16">
        <f>IFERROR(-(Q267-T267), "NA")</f>
      </c>
      <c r="X267" s="14">
        <f>IFERROR(W267/W446, "NA")</f>
      </c>
      <c r="Y267" s="15"/>
      <c r="Z267" s="13">
        <v>0</v>
      </c>
      <c r="AA267" s="14">
        <f>IFERROR(Z267/Z446, "NA")</f>
      </c>
      <c r="AB267" s="15"/>
      <c r="AC267" s="16">
        <f>IFERROR(-(Q267-Z267), "NA")</f>
      </c>
      <c r="AD267" s="14">
        <f>IFERROR(AC267/AC446, "NA")</f>
      </c>
    </row>
    <row r="268" ht="16.5" customHeight="1">
      <c t="s" r="A268" s="25">
        <v>244</v>
      </c>
      <c r="B268" s="20">
        <f>IFERROR(B266+B267, "NA")</f>
      </c>
      <c r="C268" s="21">
        <f>IFERROR(B268/B446, "NA")</f>
      </c>
      <c r="D268" s="8"/>
      <c r="E268" s="20">
        <f>IFERROR(E266+E267, "NA")</f>
      </c>
      <c r="F268" s="21">
        <f>IFERROR(E268/E446, "NA")</f>
      </c>
      <c r="G268" s="8"/>
      <c r="H268" s="20">
        <f>IFERROR(-(B268-E268), "NA")</f>
      </c>
      <c r="I268" s="21">
        <f>IFERROR(H268/H446, "NA")</f>
      </c>
      <c r="J268" s="8"/>
      <c r="K268" s="20">
        <f>IFERROR(K266+K267, "NA")</f>
      </c>
      <c r="L268" s="21">
        <f>IFERROR(K268/K446, "NA")</f>
      </c>
      <c r="M268" s="8"/>
      <c r="N268" s="20">
        <f>IFERROR(-(B268-K268), "NA")</f>
      </c>
      <c r="O268" s="21">
        <f>IFERROR(N268/N446, "NA")</f>
      </c>
      <c r="P268" s="8"/>
      <c r="Q268" s="20">
        <f>IFERROR(Q266+Q267, "NA")</f>
      </c>
      <c r="R268" s="21">
        <f>IFERROR(Q268/Q446, "NA")</f>
      </c>
      <c r="S268" s="8"/>
      <c r="T268" s="20">
        <f>IFERROR(T266+T267, "NA")</f>
      </c>
      <c r="U268" s="21">
        <f>IFERROR(T268/T446, "NA")</f>
      </c>
      <c r="V268" s="8"/>
      <c r="W268" s="20">
        <f>IFERROR(-(Q268-T268), "NA")</f>
      </c>
      <c r="X268" s="21">
        <f>IFERROR(W268/W446, "NA")</f>
      </c>
      <c r="Y268" s="8"/>
      <c r="Z268" s="20">
        <f>IFERROR(Z266+Z267, "NA")</f>
      </c>
      <c r="AA268" s="21">
        <f>IFERROR(Z268/Z446, "NA")</f>
      </c>
      <c r="AB268" s="8"/>
      <c r="AC268" s="20">
        <f>IFERROR(-(Q268-Z268), "NA")</f>
      </c>
      <c r="AD268" s="21">
        <f>IFERROR(AC268/AC446, "NA")</f>
      </c>
    </row>
    <row r="269" ht="16.5" customHeight="1">
      <c t="s" r="A269" s="11">
        <v>245</v>
      </c>
      <c r="B269" s="8"/>
      <c r="C269" s="9"/>
      <c r="D269" s="10"/>
      <c r="E269" s="8"/>
      <c r="F269" s="9"/>
      <c r="G269" s="10"/>
      <c r="H269" s="8"/>
      <c r="I269" s="9"/>
      <c r="J269" s="10"/>
      <c r="K269" s="8"/>
      <c r="L269" s="9"/>
      <c r="M269" s="10"/>
      <c r="N269" s="8"/>
      <c r="O269" s="9"/>
      <c r="P269" s="10"/>
      <c r="Q269" s="8"/>
      <c r="R269" s="9"/>
      <c r="S269" s="10"/>
      <c r="T269" s="8"/>
      <c r="U269" s="9"/>
      <c r="V269" s="10"/>
      <c r="W269" s="8"/>
      <c r="X269" s="9"/>
      <c r="Y269" s="10"/>
      <c r="Z269" s="8"/>
      <c r="AA269" s="9"/>
      <c r="AB269" s="10"/>
      <c r="AC269" s="8"/>
      <c r="AD269" s="9"/>
    </row>
    <row r="270" hidden="1" ht="16.5" customHeight="1">
      <c t="s" r="A270" s="12">
        <v>245</v>
      </c>
      <c r="B270" s="13">
        <v>0</v>
      </c>
      <c r="C270" s="14">
        <f>IFERROR(B270/B446, "NA")</f>
      </c>
      <c r="D270" s="15"/>
      <c r="E270" s="13">
        <v>0</v>
      </c>
      <c r="F270" s="14">
        <f>IFERROR(E270/E446, "NA")</f>
      </c>
      <c r="G270" s="15"/>
      <c r="H270" s="16">
        <f>IFERROR(-(B270-E270), "NA")</f>
      </c>
      <c r="I270" s="14">
        <f>IFERROR(H270/H446, "NA")</f>
      </c>
      <c r="J270" s="15"/>
      <c r="K270" s="13">
        <v>0</v>
      </c>
      <c r="L270" s="14">
        <f>IFERROR(K270/K446, "NA")</f>
      </c>
      <c r="M270" s="15"/>
      <c r="N270" s="16">
        <f>IFERROR(-(B270-K270), "NA")</f>
      </c>
      <c r="O270" s="14">
        <f>IFERROR(N270/N446, "NA")</f>
      </c>
      <c r="P270" s="15"/>
      <c r="Q270" s="13">
        <v>0</v>
      </c>
      <c r="R270" s="14">
        <f>IFERROR(Q270/Q446, "NA")</f>
      </c>
      <c r="S270" s="15"/>
      <c r="T270" s="13">
        <v>0</v>
      </c>
      <c r="U270" s="14">
        <f>IFERROR(T270/T446, "NA")</f>
      </c>
      <c r="V270" s="15"/>
      <c r="W270" s="16">
        <f>IFERROR(-(Q270-T270), "NA")</f>
      </c>
      <c r="X270" s="14">
        <f>IFERROR(W270/W446, "NA")</f>
      </c>
      <c r="Y270" s="15"/>
      <c r="Z270" s="13">
        <v>0</v>
      </c>
      <c r="AA270" s="14">
        <f>IFERROR(Z270/Z446, "NA")</f>
      </c>
      <c r="AB270" s="15"/>
      <c r="AC270" s="16">
        <f>IFERROR(-(Q270-Z270), "NA")</f>
      </c>
      <c r="AD270" s="14">
        <f>IFERROR(AC270/AC446, "NA")</f>
      </c>
    </row>
    <row r="271" ht="16.5" customHeight="1">
      <c t="s" r="A271" s="12">
        <v>246</v>
      </c>
      <c r="B271" s="13">
        <v>89.719999999999999</v>
      </c>
      <c r="C271" s="14">
        <f>IFERROR(B271/B446, "NA")</f>
      </c>
      <c r="D271" s="15"/>
      <c r="E271" s="13">
        <v>111.38</v>
      </c>
      <c r="F271" s="14">
        <f>IFERROR(E271/E446, "NA")</f>
      </c>
      <c r="G271" s="15"/>
      <c r="H271" s="16">
        <f>IFERROR(-(B271-E271), "NA")</f>
      </c>
      <c r="I271" s="14">
        <f>IFERROR(H271/H446, "NA")</f>
      </c>
      <c r="J271" s="15"/>
      <c r="K271" s="13">
        <v>214.97</v>
      </c>
      <c r="L271" s="14">
        <f>IFERROR(K271/K446, "NA")</f>
      </c>
      <c r="M271" s="15"/>
      <c r="N271" s="16">
        <f>IFERROR(-(B271-K271), "NA")</f>
      </c>
      <c r="O271" s="14">
        <f>IFERROR(N271/N446, "NA")</f>
      </c>
      <c r="P271" s="15"/>
      <c r="Q271" s="13">
        <v>89.719999999999999</v>
      </c>
      <c r="R271" s="14">
        <f>IFERROR(Q271/Q446, "NA")</f>
      </c>
      <c r="S271" s="15"/>
      <c r="T271" s="13">
        <v>111.38</v>
      </c>
      <c r="U271" s="14">
        <f>IFERROR(T271/T446, "NA")</f>
      </c>
      <c r="V271" s="15"/>
      <c r="W271" s="16">
        <f>IFERROR(-(Q271-T271), "NA")</f>
      </c>
      <c r="X271" s="14">
        <f>IFERROR(W271/W446, "NA")</f>
      </c>
      <c r="Y271" s="15"/>
      <c r="Z271" s="13">
        <v>214.97</v>
      </c>
      <c r="AA271" s="14">
        <f>IFERROR(Z271/Z446, "NA")</f>
      </c>
      <c r="AB271" s="15"/>
      <c r="AC271" s="16">
        <f>IFERROR(-(Q271-Z271), "NA")</f>
      </c>
      <c r="AD271" s="14">
        <f>IFERROR(AC271/AC446, "NA")</f>
      </c>
    </row>
    <row r="272" ht="16.5" customHeight="1">
      <c t="s" r="A272" s="12">
        <v>247</v>
      </c>
      <c r="B272" s="13">
        <v>1183.72</v>
      </c>
      <c r="C272" s="14">
        <f>IFERROR(B272/B446, "NA")</f>
      </c>
      <c r="D272" s="15"/>
      <c r="E272" s="13">
        <v>1183.75</v>
      </c>
      <c r="F272" s="14">
        <f>IFERROR(E272/E446, "NA")</f>
      </c>
      <c r="G272" s="15"/>
      <c r="H272" s="16">
        <f>IFERROR(-(B272-E272), "NA")</f>
      </c>
      <c r="I272" s="14">
        <f>IFERROR(H272/H446, "NA")</f>
      </c>
      <c r="J272" s="15"/>
      <c r="K272" s="13">
        <v>806.53999999999996</v>
      </c>
      <c r="L272" s="14">
        <f>IFERROR(K272/K446, "NA")</f>
      </c>
      <c r="M272" s="15"/>
      <c r="N272" s="16">
        <f>IFERROR(-(B272-K272), "NA")</f>
      </c>
      <c r="O272" s="14">
        <f>IFERROR(N272/N446, "NA")</f>
      </c>
      <c r="P272" s="15"/>
      <c r="Q272" s="13">
        <v>1183.72</v>
      </c>
      <c r="R272" s="14">
        <f>IFERROR(Q272/Q446, "NA")</f>
      </c>
      <c r="S272" s="15"/>
      <c r="T272" s="13">
        <v>1183.75</v>
      </c>
      <c r="U272" s="14">
        <f>IFERROR(T272/T446, "NA")</f>
      </c>
      <c r="V272" s="15"/>
      <c r="W272" s="16">
        <f>IFERROR(-(Q272-T272), "NA")</f>
      </c>
      <c r="X272" s="14">
        <f>IFERROR(W272/W446, "NA")</f>
      </c>
      <c r="Y272" s="15"/>
      <c r="Z272" s="13">
        <v>806.53999999999996</v>
      </c>
      <c r="AA272" s="14">
        <f>IFERROR(Z272/Z446, "NA")</f>
      </c>
      <c r="AB272" s="15"/>
      <c r="AC272" s="16">
        <f>IFERROR(-(Q272-Z272), "NA")</f>
      </c>
      <c r="AD272" s="14">
        <f>IFERROR(AC272/AC446, "NA")</f>
      </c>
    </row>
    <row r="273" hidden="1" ht="16.5" customHeight="1">
      <c t="s" r="A273" s="12">
        <v>248</v>
      </c>
      <c r="B273" s="13">
        <v>0</v>
      </c>
      <c r="C273" s="14">
        <f>IFERROR(B273/B446, "NA")</f>
      </c>
      <c r="D273" s="15"/>
      <c r="E273" s="13">
        <v>0</v>
      </c>
      <c r="F273" s="14">
        <f>IFERROR(E273/E446, "NA")</f>
      </c>
      <c r="G273" s="15"/>
      <c r="H273" s="16">
        <f>IFERROR(-(B273-E273), "NA")</f>
      </c>
      <c r="I273" s="14">
        <f>IFERROR(H273/H446, "NA")</f>
      </c>
      <c r="J273" s="15"/>
      <c r="K273" s="13">
        <v>0</v>
      </c>
      <c r="L273" s="14">
        <f>IFERROR(K273/K446, "NA")</f>
      </c>
      <c r="M273" s="15"/>
      <c r="N273" s="16">
        <f>IFERROR(-(B273-K273), "NA")</f>
      </c>
      <c r="O273" s="14">
        <f>IFERROR(N273/N446, "NA")</f>
      </c>
      <c r="P273" s="15"/>
      <c r="Q273" s="13">
        <v>0</v>
      </c>
      <c r="R273" s="14">
        <f>IFERROR(Q273/Q446, "NA")</f>
      </c>
      <c r="S273" s="15"/>
      <c r="T273" s="13">
        <v>0</v>
      </c>
      <c r="U273" s="14">
        <f>IFERROR(T273/T446, "NA")</f>
      </c>
      <c r="V273" s="15"/>
      <c r="W273" s="16">
        <f>IFERROR(-(Q273-T273), "NA")</f>
      </c>
      <c r="X273" s="14">
        <f>IFERROR(W273/W446, "NA")</f>
      </c>
      <c r="Y273" s="15"/>
      <c r="Z273" s="13">
        <v>0</v>
      </c>
      <c r="AA273" s="14">
        <f>IFERROR(Z273/Z446, "NA")</f>
      </c>
      <c r="AB273" s="15"/>
      <c r="AC273" s="16">
        <f>IFERROR(-(Q273-Z273), "NA")</f>
      </c>
      <c r="AD273" s="14">
        <f>IFERROR(AC273/AC446, "NA")</f>
      </c>
    </row>
    <row r="274" ht="16.5" customHeight="1">
      <c t="s" r="A274" s="25">
        <v>249</v>
      </c>
      <c r="B274" s="20">
        <f>IFERROR(B270+B271+B272+B273, "NA")</f>
      </c>
      <c r="C274" s="21">
        <f>IFERROR(B274/B446, "NA")</f>
      </c>
      <c r="D274" s="8"/>
      <c r="E274" s="20">
        <f>IFERROR(E270+E271+E272+E273, "NA")</f>
      </c>
      <c r="F274" s="21">
        <f>IFERROR(E274/E446, "NA")</f>
      </c>
      <c r="G274" s="8"/>
      <c r="H274" s="20">
        <f>IFERROR(-(B274-E274), "NA")</f>
      </c>
      <c r="I274" s="21">
        <f>IFERROR(H274/H446, "NA")</f>
      </c>
      <c r="J274" s="8"/>
      <c r="K274" s="20">
        <f>IFERROR(K270+K271+K272+K273, "NA")</f>
      </c>
      <c r="L274" s="21">
        <f>IFERROR(K274/K446, "NA")</f>
      </c>
      <c r="M274" s="8"/>
      <c r="N274" s="20">
        <f>IFERROR(-(B274-K274), "NA")</f>
      </c>
      <c r="O274" s="21">
        <f>IFERROR(N274/N446, "NA")</f>
      </c>
      <c r="P274" s="8"/>
      <c r="Q274" s="20">
        <f>IFERROR(Q270+Q271+Q272+Q273, "NA")</f>
      </c>
      <c r="R274" s="21">
        <f>IFERROR(Q274/Q446, "NA")</f>
      </c>
      <c r="S274" s="8"/>
      <c r="T274" s="20">
        <f>IFERROR(T270+T271+T272+T273, "NA")</f>
      </c>
      <c r="U274" s="21">
        <f>IFERROR(T274/T446, "NA")</f>
      </c>
      <c r="V274" s="8"/>
      <c r="W274" s="20">
        <f>IFERROR(-(Q274-T274), "NA")</f>
      </c>
      <c r="X274" s="21">
        <f>IFERROR(W274/W446, "NA")</f>
      </c>
      <c r="Y274" s="8"/>
      <c r="Z274" s="20">
        <f>IFERROR(Z270+Z271+Z272+Z273, "NA")</f>
      </c>
      <c r="AA274" s="21">
        <f>IFERROR(Z274/Z446, "NA")</f>
      </c>
      <c r="AB274" s="8"/>
      <c r="AC274" s="20">
        <f>IFERROR(-(Q274-Z274), "NA")</f>
      </c>
      <c r="AD274" s="21">
        <f>IFERROR(AC274/AC446, "NA")</f>
      </c>
    </row>
    <row r="275" ht="16.5" customHeight="1">
      <c t="s" r="A275" s="11">
        <v>250</v>
      </c>
      <c r="B275" s="8"/>
      <c r="C275" s="9"/>
      <c r="D275" s="10"/>
      <c r="E275" s="8"/>
      <c r="F275" s="9"/>
      <c r="G275" s="10"/>
      <c r="H275" s="8"/>
      <c r="I275" s="9"/>
      <c r="J275" s="10"/>
      <c r="K275" s="8"/>
      <c r="L275" s="9"/>
      <c r="M275" s="10"/>
      <c r="N275" s="8"/>
      <c r="O275" s="9"/>
      <c r="P275" s="10"/>
      <c r="Q275" s="8"/>
      <c r="R275" s="9"/>
      <c r="S275" s="10"/>
      <c r="T275" s="8"/>
      <c r="U275" s="9"/>
      <c r="V275" s="10"/>
      <c r="W275" s="8"/>
      <c r="X275" s="9"/>
      <c r="Y275" s="10"/>
      <c r="Z275" s="8"/>
      <c r="AA275" s="9"/>
      <c r="AB275" s="10"/>
      <c r="AC275" s="8"/>
      <c r="AD275" s="9"/>
    </row>
    <row r="276" hidden="1" ht="16.5" customHeight="1">
      <c t="s" r="A276" s="12">
        <v>250</v>
      </c>
      <c r="B276" s="13">
        <v>0</v>
      </c>
      <c r="C276" s="14">
        <f>IFERROR(B276/B446, "NA")</f>
      </c>
      <c r="D276" s="15"/>
      <c r="E276" s="13">
        <v>0</v>
      </c>
      <c r="F276" s="14">
        <f>IFERROR(E276/E446, "NA")</f>
      </c>
      <c r="G276" s="15"/>
      <c r="H276" s="16">
        <f>IFERROR(-(B276-E276), "NA")</f>
      </c>
      <c r="I276" s="14">
        <f>IFERROR(H276/H446, "NA")</f>
      </c>
      <c r="J276" s="15"/>
      <c r="K276" s="13">
        <v>0</v>
      </c>
      <c r="L276" s="14">
        <f>IFERROR(K276/K446, "NA")</f>
      </c>
      <c r="M276" s="15"/>
      <c r="N276" s="16">
        <f>IFERROR(-(B276-K276), "NA")</f>
      </c>
      <c r="O276" s="14">
        <f>IFERROR(N276/N446, "NA")</f>
      </c>
      <c r="P276" s="15"/>
      <c r="Q276" s="13">
        <v>0</v>
      </c>
      <c r="R276" s="14">
        <f>IFERROR(Q276/Q446, "NA")</f>
      </c>
      <c r="S276" s="15"/>
      <c r="T276" s="13">
        <v>0</v>
      </c>
      <c r="U276" s="14">
        <f>IFERROR(T276/T446, "NA")</f>
      </c>
      <c r="V276" s="15"/>
      <c r="W276" s="16">
        <f>IFERROR(-(Q276-T276), "NA")</f>
      </c>
      <c r="X276" s="14">
        <f>IFERROR(W276/W446, "NA")</f>
      </c>
      <c r="Y276" s="15"/>
      <c r="Z276" s="13">
        <v>0</v>
      </c>
      <c r="AA276" s="14">
        <f>IFERROR(Z276/Z446, "NA")</f>
      </c>
      <c r="AB276" s="15"/>
      <c r="AC276" s="16">
        <f>IFERROR(-(Q276-Z276), "NA")</f>
      </c>
      <c r="AD276" s="14">
        <f>IFERROR(AC276/AC446, "NA")</f>
      </c>
    </row>
    <row r="277" hidden="1" ht="16.5" customHeight="1">
      <c t="s" r="A277" s="12">
        <v>251</v>
      </c>
      <c r="B277" s="13">
        <v>0</v>
      </c>
      <c r="C277" s="14">
        <f>IFERROR(B277/B446, "NA")</f>
      </c>
      <c r="D277" s="15"/>
      <c r="E277" s="13">
        <v>0</v>
      </c>
      <c r="F277" s="14">
        <f>IFERROR(E277/E446, "NA")</f>
      </c>
      <c r="G277" s="15"/>
      <c r="H277" s="16">
        <f>IFERROR(-(B277-E277), "NA")</f>
      </c>
      <c r="I277" s="14">
        <f>IFERROR(H277/H446, "NA")</f>
      </c>
      <c r="J277" s="15"/>
      <c r="K277" s="13">
        <v>0</v>
      </c>
      <c r="L277" s="14">
        <f>IFERROR(K277/K446, "NA")</f>
      </c>
      <c r="M277" s="15"/>
      <c r="N277" s="16">
        <f>IFERROR(-(B277-K277), "NA")</f>
      </c>
      <c r="O277" s="14">
        <f>IFERROR(N277/N446, "NA")</f>
      </c>
      <c r="P277" s="15"/>
      <c r="Q277" s="13">
        <v>0</v>
      </c>
      <c r="R277" s="14">
        <f>IFERROR(Q277/Q446, "NA")</f>
      </c>
      <c r="S277" s="15"/>
      <c r="T277" s="13">
        <v>0</v>
      </c>
      <c r="U277" s="14">
        <f>IFERROR(T277/T446, "NA")</f>
      </c>
      <c r="V277" s="15"/>
      <c r="W277" s="16">
        <f>IFERROR(-(Q277-T277), "NA")</f>
      </c>
      <c r="X277" s="14">
        <f>IFERROR(W277/W446, "NA")</f>
      </c>
      <c r="Y277" s="15"/>
      <c r="Z277" s="13">
        <v>0</v>
      </c>
      <c r="AA277" s="14">
        <f>IFERROR(Z277/Z446, "NA")</f>
      </c>
      <c r="AB277" s="15"/>
      <c r="AC277" s="16">
        <f>IFERROR(-(Q277-Z277), "NA")</f>
      </c>
      <c r="AD277" s="14">
        <f>IFERROR(AC277/AC446, "NA")</f>
      </c>
    </row>
    <row r="278" hidden="1" ht="16.5" customHeight="1">
      <c t="s" r="A278" s="12">
        <v>252</v>
      </c>
      <c r="B278" s="13">
        <v>0</v>
      </c>
      <c r="C278" s="14">
        <f>IFERROR(B278/B446, "NA")</f>
      </c>
      <c r="D278" s="15"/>
      <c r="E278" s="13">
        <v>0</v>
      </c>
      <c r="F278" s="14">
        <f>IFERROR(E278/E446, "NA")</f>
      </c>
      <c r="G278" s="15"/>
      <c r="H278" s="16">
        <f>IFERROR(-(B278-E278), "NA")</f>
      </c>
      <c r="I278" s="14">
        <f>IFERROR(H278/H446, "NA")</f>
      </c>
      <c r="J278" s="15"/>
      <c r="K278" s="13">
        <v>0</v>
      </c>
      <c r="L278" s="14">
        <f>IFERROR(K278/K446, "NA")</f>
      </c>
      <c r="M278" s="15"/>
      <c r="N278" s="16">
        <f>IFERROR(-(B278-K278), "NA")</f>
      </c>
      <c r="O278" s="14">
        <f>IFERROR(N278/N446, "NA")</f>
      </c>
      <c r="P278" s="15"/>
      <c r="Q278" s="13">
        <v>0</v>
      </c>
      <c r="R278" s="14">
        <f>IFERROR(Q278/Q446, "NA")</f>
      </c>
      <c r="S278" s="15"/>
      <c r="T278" s="13">
        <v>0</v>
      </c>
      <c r="U278" s="14">
        <f>IFERROR(T278/T446, "NA")</f>
      </c>
      <c r="V278" s="15"/>
      <c r="W278" s="16">
        <f>IFERROR(-(Q278-T278), "NA")</f>
      </c>
      <c r="X278" s="14">
        <f>IFERROR(W278/W446, "NA")</f>
      </c>
      <c r="Y278" s="15"/>
      <c r="Z278" s="13">
        <v>0</v>
      </c>
      <c r="AA278" s="14">
        <f>IFERROR(Z278/Z446, "NA")</f>
      </c>
      <c r="AB278" s="15"/>
      <c r="AC278" s="16">
        <f>IFERROR(-(Q278-Z278), "NA")</f>
      </c>
      <c r="AD278" s="14">
        <f>IFERROR(AC278/AC446, "NA")</f>
      </c>
    </row>
    <row r="279" hidden="1" ht="16.5" customHeight="1">
      <c t="s" r="A279" s="12">
        <v>253</v>
      </c>
      <c r="B279" s="13">
        <v>0</v>
      </c>
      <c r="C279" s="14">
        <f>IFERROR(B279/B446, "NA")</f>
      </c>
      <c r="D279" s="15"/>
      <c r="E279" s="13">
        <v>0</v>
      </c>
      <c r="F279" s="14">
        <f>IFERROR(E279/E446, "NA")</f>
      </c>
      <c r="G279" s="15"/>
      <c r="H279" s="16">
        <f>IFERROR(-(B279-E279), "NA")</f>
      </c>
      <c r="I279" s="14">
        <f>IFERROR(H279/H446, "NA")</f>
      </c>
      <c r="J279" s="15"/>
      <c r="K279" s="13">
        <v>0</v>
      </c>
      <c r="L279" s="14">
        <f>IFERROR(K279/K446, "NA")</f>
      </c>
      <c r="M279" s="15"/>
      <c r="N279" s="16">
        <f>IFERROR(-(B279-K279), "NA")</f>
      </c>
      <c r="O279" s="14">
        <f>IFERROR(N279/N446, "NA")</f>
      </c>
      <c r="P279" s="15"/>
      <c r="Q279" s="13">
        <v>0</v>
      </c>
      <c r="R279" s="14">
        <f>IFERROR(Q279/Q446, "NA")</f>
      </c>
      <c r="S279" s="15"/>
      <c r="T279" s="13">
        <v>0</v>
      </c>
      <c r="U279" s="14">
        <f>IFERROR(T279/T446, "NA")</f>
      </c>
      <c r="V279" s="15"/>
      <c r="W279" s="16">
        <f>IFERROR(-(Q279-T279), "NA")</f>
      </c>
      <c r="X279" s="14">
        <f>IFERROR(W279/W446, "NA")</f>
      </c>
      <c r="Y279" s="15"/>
      <c r="Z279" s="13">
        <v>0</v>
      </c>
      <c r="AA279" s="14">
        <f>IFERROR(Z279/Z446, "NA")</f>
      </c>
      <c r="AB279" s="15"/>
      <c r="AC279" s="16">
        <f>IFERROR(-(Q279-Z279), "NA")</f>
      </c>
      <c r="AD279" s="14">
        <f>IFERROR(AC279/AC446, "NA")</f>
      </c>
    </row>
    <row r="280" hidden="1" ht="16.5" customHeight="1">
      <c t="s" r="A280" s="12">
        <v>254</v>
      </c>
      <c r="B280" s="13">
        <v>0</v>
      </c>
      <c r="C280" s="14">
        <f>IFERROR(B280/B446, "NA")</f>
      </c>
      <c r="D280" s="15"/>
      <c r="E280" s="13">
        <v>0</v>
      </c>
      <c r="F280" s="14">
        <f>IFERROR(E280/E446, "NA")</f>
      </c>
      <c r="G280" s="15"/>
      <c r="H280" s="16">
        <f>IFERROR(-(B280-E280), "NA")</f>
      </c>
      <c r="I280" s="14">
        <f>IFERROR(H280/H446, "NA")</f>
      </c>
      <c r="J280" s="15"/>
      <c r="K280" s="13">
        <v>0</v>
      </c>
      <c r="L280" s="14">
        <f>IFERROR(K280/K446, "NA")</f>
      </c>
      <c r="M280" s="15"/>
      <c r="N280" s="16">
        <f>IFERROR(-(B280-K280), "NA")</f>
      </c>
      <c r="O280" s="14">
        <f>IFERROR(N280/N446, "NA")</f>
      </c>
      <c r="P280" s="15"/>
      <c r="Q280" s="13">
        <v>0</v>
      </c>
      <c r="R280" s="14">
        <f>IFERROR(Q280/Q446, "NA")</f>
      </c>
      <c r="S280" s="15"/>
      <c r="T280" s="13">
        <v>0</v>
      </c>
      <c r="U280" s="14">
        <f>IFERROR(T280/T446, "NA")</f>
      </c>
      <c r="V280" s="15"/>
      <c r="W280" s="16">
        <f>IFERROR(-(Q280-T280), "NA")</f>
      </c>
      <c r="X280" s="14">
        <f>IFERROR(W280/W446, "NA")</f>
      </c>
      <c r="Y280" s="15"/>
      <c r="Z280" s="13">
        <v>0</v>
      </c>
      <c r="AA280" s="14">
        <f>IFERROR(Z280/Z446, "NA")</f>
      </c>
      <c r="AB280" s="15"/>
      <c r="AC280" s="16">
        <f>IFERROR(-(Q280-Z280), "NA")</f>
      </c>
      <c r="AD280" s="14">
        <f>IFERROR(AC280/AC446, "NA")</f>
      </c>
    </row>
    <row r="281" hidden="1" ht="16.5" customHeight="1">
      <c t="s" r="A281" s="12">
        <v>255</v>
      </c>
      <c r="B281" s="13">
        <v>0</v>
      </c>
      <c r="C281" s="14">
        <f>IFERROR(B281/B446, "NA")</f>
      </c>
      <c r="D281" s="15"/>
      <c r="E281" s="13">
        <v>0</v>
      </c>
      <c r="F281" s="14">
        <f>IFERROR(E281/E446, "NA")</f>
      </c>
      <c r="G281" s="15"/>
      <c r="H281" s="16">
        <f>IFERROR(-(B281-E281), "NA")</f>
      </c>
      <c r="I281" s="14">
        <f>IFERROR(H281/H446, "NA")</f>
      </c>
      <c r="J281" s="15"/>
      <c r="K281" s="13">
        <v>0</v>
      </c>
      <c r="L281" s="14">
        <f>IFERROR(K281/K446, "NA")</f>
      </c>
      <c r="M281" s="15"/>
      <c r="N281" s="16">
        <f>IFERROR(-(B281-K281), "NA")</f>
      </c>
      <c r="O281" s="14">
        <f>IFERROR(N281/N446, "NA")</f>
      </c>
      <c r="P281" s="15"/>
      <c r="Q281" s="13">
        <v>0</v>
      </c>
      <c r="R281" s="14">
        <f>IFERROR(Q281/Q446, "NA")</f>
      </c>
      <c r="S281" s="15"/>
      <c r="T281" s="13">
        <v>0</v>
      </c>
      <c r="U281" s="14">
        <f>IFERROR(T281/T446, "NA")</f>
      </c>
      <c r="V281" s="15"/>
      <c r="W281" s="16">
        <f>IFERROR(-(Q281-T281), "NA")</f>
      </c>
      <c r="X281" s="14">
        <f>IFERROR(W281/W446, "NA")</f>
      </c>
      <c r="Y281" s="15"/>
      <c r="Z281" s="13">
        <v>0</v>
      </c>
      <c r="AA281" s="14">
        <f>IFERROR(Z281/Z446, "NA")</f>
      </c>
      <c r="AB281" s="15"/>
      <c r="AC281" s="16">
        <f>IFERROR(-(Q281-Z281), "NA")</f>
      </c>
      <c r="AD281" s="14">
        <f>IFERROR(AC281/AC446, "NA")</f>
      </c>
    </row>
    <row r="282" hidden="1" ht="16.5" customHeight="1">
      <c t="s" r="A282" s="12">
        <v>256</v>
      </c>
      <c r="B282" s="13">
        <v>0</v>
      </c>
      <c r="C282" s="14">
        <f>IFERROR(B282/B446, "NA")</f>
      </c>
      <c r="D282" s="15"/>
      <c r="E282" s="13">
        <v>0</v>
      </c>
      <c r="F282" s="14">
        <f>IFERROR(E282/E446, "NA")</f>
      </c>
      <c r="G282" s="15"/>
      <c r="H282" s="16">
        <f>IFERROR(-(B282-E282), "NA")</f>
      </c>
      <c r="I282" s="14">
        <f>IFERROR(H282/H446, "NA")</f>
      </c>
      <c r="J282" s="15"/>
      <c r="K282" s="13">
        <v>0</v>
      </c>
      <c r="L282" s="14">
        <f>IFERROR(K282/K446, "NA")</f>
      </c>
      <c r="M282" s="15"/>
      <c r="N282" s="16">
        <f>IFERROR(-(B282-K282), "NA")</f>
      </c>
      <c r="O282" s="14">
        <f>IFERROR(N282/N446, "NA")</f>
      </c>
      <c r="P282" s="15"/>
      <c r="Q282" s="13">
        <v>0</v>
      </c>
      <c r="R282" s="14">
        <f>IFERROR(Q282/Q446, "NA")</f>
      </c>
      <c r="S282" s="15"/>
      <c r="T282" s="13">
        <v>0</v>
      </c>
      <c r="U282" s="14">
        <f>IFERROR(T282/T446, "NA")</f>
      </c>
      <c r="V282" s="15"/>
      <c r="W282" s="16">
        <f>IFERROR(-(Q282-T282), "NA")</f>
      </c>
      <c r="X282" s="14">
        <f>IFERROR(W282/W446, "NA")</f>
      </c>
      <c r="Y282" s="15"/>
      <c r="Z282" s="13">
        <v>0</v>
      </c>
      <c r="AA282" s="14">
        <f>IFERROR(Z282/Z446, "NA")</f>
      </c>
      <c r="AB282" s="15"/>
      <c r="AC282" s="16">
        <f>IFERROR(-(Q282-Z282), "NA")</f>
      </c>
      <c r="AD282" s="14">
        <f>IFERROR(AC282/AC446, "NA")</f>
      </c>
    </row>
    <row r="283" hidden="1" ht="16.5" customHeight="1">
      <c t="s" r="A283" s="12">
        <v>257</v>
      </c>
      <c r="B283" s="13">
        <v>0</v>
      </c>
      <c r="C283" s="14">
        <f>IFERROR(B283/B446, "NA")</f>
      </c>
      <c r="D283" s="15"/>
      <c r="E283" s="13">
        <v>0</v>
      </c>
      <c r="F283" s="14">
        <f>IFERROR(E283/E446, "NA")</f>
      </c>
      <c r="G283" s="15"/>
      <c r="H283" s="16">
        <f>IFERROR(-(B283-E283), "NA")</f>
      </c>
      <c r="I283" s="14">
        <f>IFERROR(H283/H446, "NA")</f>
      </c>
      <c r="J283" s="15"/>
      <c r="K283" s="13">
        <v>0</v>
      </c>
      <c r="L283" s="14">
        <f>IFERROR(K283/K446, "NA")</f>
      </c>
      <c r="M283" s="15"/>
      <c r="N283" s="16">
        <f>IFERROR(-(B283-K283), "NA")</f>
      </c>
      <c r="O283" s="14">
        <f>IFERROR(N283/N446, "NA")</f>
      </c>
      <c r="P283" s="15"/>
      <c r="Q283" s="13">
        <v>0</v>
      </c>
      <c r="R283" s="14">
        <f>IFERROR(Q283/Q446, "NA")</f>
      </c>
      <c r="S283" s="15"/>
      <c r="T283" s="13">
        <v>0</v>
      </c>
      <c r="U283" s="14">
        <f>IFERROR(T283/T446, "NA")</f>
      </c>
      <c r="V283" s="15"/>
      <c r="W283" s="16">
        <f>IFERROR(-(Q283-T283), "NA")</f>
      </c>
      <c r="X283" s="14">
        <f>IFERROR(W283/W446, "NA")</f>
      </c>
      <c r="Y283" s="15"/>
      <c r="Z283" s="13">
        <v>0</v>
      </c>
      <c r="AA283" s="14">
        <f>IFERROR(Z283/Z446, "NA")</f>
      </c>
      <c r="AB283" s="15"/>
      <c r="AC283" s="16">
        <f>IFERROR(-(Q283-Z283), "NA")</f>
      </c>
      <c r="AD283" s="14">
        <f>IFERROR(AC283/AC446, "NA")</f>
      </c>
    </row>
    <row r="284" hidden="1" ht="16.5" customHeight="1">
      <c t="s" r="A284" s="12">
        <v>258</v>
      </c>
      <c r="B284" s="13">
        <v>0</v>
      </c>
      <c r="C284" s="14">
        <f>IFERROR(B284/B446, "NA")</f>
      </c>
      <c r="D284" s="15"/>
      <c r="E284" s="13">
        <v>0</v>
      </c>
      <c r="F284" s="14">
        <f>IFERROR(E284/E446, "NA")</f>
      </c>
      <c r="G284" s="15"/>
      <c r="H284" s="16">
        <f>IFERROR(-(B284-E284), "NA")</f>
      </c>
      <c r="I284" s="14">
        <f>IFERROR(H284/H446, "NA")</f>
      </c>
      <c r="J284" s="15"/>
      <c r="K284" s="13">
        <v>0</v>
      </c>
      <c r="L284" s="14">
        <f>IFERROR(K284/K446, "NA")</f>
      </c>
      <c r="M284" s="15"/>
      <c r="N284" s="16">
        <f>IFERROR(-(B284-K284), "NA")</f>
      </c>
      <c r="O284" s="14">
        <f>IFERROR(N284/N446, "NA")</f>
      </c>
      <c r="P284" s="15"/>
      <c r="Q284" s="13">
        <v>0</v>
      </c>
      <c r="R284" s="14">
        <f>IFERROR(Q284/Q446, "NA")</f>
      </c>
      <c r="S284" s="15"/>
      <c r="T284" s="13">
        <v>0</v>
      </c>
      <c r="U284" s="14">
        <f>IFERROR(T284/T446, "NA")</f>
      </c>
      <c r="V284" s="15"/>
      <c r="W284" s="16">
        <f>IFERROR(-(Q284-T284), "NA")</f>
      </c>
      <c r="X284" s="14">
        <f>IFERROR(W284/W446, "NA")</f>
      </c>
      <c r="Y284" s="15"/>
      <c r="Z284" s="13">
        <v>0</v>
      </c>
      <c r="AA284" s="14">
        <f>IFERROR(Z284/Z446, "NA")</f>
      </c>
      <c r="AB284" s="15"/>
      <c r="AC284" s="16">
        <f>IFERROR(-(Q284-Z284), "NA")</f>
      </c>
      <c r="AD284" s="14">
        <f>IFERROR(AC284/AC446, "NA")</f>
      </c>
    </row>
    <row r="285" ht="16.5" customHeight="1">
      <c t="s" r="A285" s="25">
        <v>259</v>
      </c>
      <c r="B285" s="20">
        <f>IFERROR(B276+B277+B278+B279+B280+B281+B282+B283+B284, "NA")</f>
      </c>
      <c r="C285" s="21">
        <f>IFERROR(B285/B446, "NA")</f>
      </c>
      <c r="D285" s="8"/>
      <c r="E285" s="20">
        <f>IFERROR(E276+E277+E278+E279+E280+E281+E282+E283+E284, "NA")</f>
      </c>
      <c r="F285" s="21">
        <f>IFERROR(E285/E446, "NA")</f>
      </c>
      <c r="G285" s="8"/>
      <c r="H285" s="20">
        <f>IFERROR(-(B285-E285), "NA")</f>
      </c>
      <c r="I285" s="21">
        <f>IFERROR(H285/H446, "NA")</f>
      </c>
      <c r="J285" s="8"/>
      <c r="K285" s="20">
        <f>IFERROR(K276+K277+K278+K279+K280+K281+K282+K283+K284, "NA")</f>
      </c>
      <c r="L285" s="21">
        <f>IFERROR(K285/K446, "NA")</f>
      </c>
      <c r="M285" s="8"/>
      <c r="N285" s="20">
        <f>IFERROR(-(B285-K285), "NA")</f>
      </c>
      <c r="O285" s="21">
        <f>IFERROR(N285/N446, "NA")</f>
      </c>
      <c r="P285" s="8"/>
      <c r="Q285" s="20">
        <f>IFERROR(Q276+Q277+Q278+Q279+Q280+Q281+Q282+Q283+Q284, "NA")</f>
      </c>
      <c r="R285" s="21">
        <f>IFERROR(Q285/Q446, "NA")</f>
      </c>
      <c r="S285" s="8"/>
      <c r="T285" s="20">
        <f>IFERROR(T276+T277+T278+T279+T280+T281+T282+T283+T284, "NA")</f>
      </c>
      <c r="U285" s="21">
        <f>IFERROR(T285/T446, "NA")</f>
      </c>
      <c r="V285" s="8"/>
      <c r="W285" s="20">
        <f>IFERROR(-(Q285-T285), "NA")</f>
      </c>
      <c r="X285" s="21">
        <f>IFERROR(W285/W446, "NA")</f>
      </c>
      <c r="Y285" s="8"/>
      <c r="Z285" s="20">
        <f>IFERROR(Z276+Z277+Z278+Z279+Z280+Z281+Z282+Z283+Z284, "NA")</f>
      </c>
      <c r="AA285" s="21">
        <f>IFERROR(Z285/Z446, "NA")</f>
      </c>
      <c r="AB285" s="8"/>
      <c r="AC285" s="20">
        <f>IFERROR(-(Q285-Z285), "NA")</f>
      </c>
      <c r="AD285" s="21">
        <f>IFERROR(AC285/AC446, "NA")</f>
      </c>
    </row>
    <row r="286" ht="16.5" customHeight="1">
      <c t="s" r="A286" s="11">
        <v>260</v>
      </c>
      <c r="B286" s="8"/>
      <c r="C286" s="9"/>
      <c r="D286" s="10"/>
      <c r="E286" s="8"/>
      <c r="F286" s="9"/>
      <c r="G286" s="10"/>
      <c r="H286" s="8"/>
      <c r="I286" s="9"/>
      <c r="J286" s="10"/>
      <c r="K286" s="8"/>
      <c r="L286" s="9"/>
      <c r="M286" s="10"/>
      <c r="N286" s="8"/>
      <c r="O286" s="9"/>
      <c r="P286" s="10"/>
      <c r="Q286" s="8"/>
      <c r="R286" s="9"/>
      <c r="S286" s="10"/>
      <c r="T286" s="8"/>
      <c r="U286" s="9"/>
      <c r="V286" s="10"/>
      <c r="W286" s="8"/>
      <c r="X286" s="9"/>
      <c r="Y286" s="10"/>
      <c r="Z286" s="8"/>
      <c r="AA286" s="9"/>
      <c r="AB286" s="10"/>
      <c r="AC286" s="8"/>
      <c r="AD286" s="9"/>
    </row>
    <row r="287" hidden="1" ht="16.5" customHeight="1">
      <c t="s" r="A287" s="12">
        <v>260</v>
      </c>
      <c r="B287" s="13">
        <v>0</v>
      </c>
      <c r="C287" s="14">
        <f>IFERROR(B287/B446, "NA")</f>
      </c>
      <c r="D287" s="15"/>
      <c r="E287" s="13">
        <v>0</v>
      </c>
      <c r="F287" s="14">
        <f>IFERROR(E287/E446, "NA")</f>
      </c>
      <c r="G287" s="15"/>
      <c r="H287" s="16">
        <f>IFERROR(-(B287-E287), "NA")</f>
      </c>
      <c r="I287" s="14">
        <f>IFERROR(H287/H446, "NA")</f>
      </c>
      <c r="J287" s="15"/>
      <c r="K287" s="13">
        <v>0</v>
      </c>
      <c r="L287" s="14">
        <f>IFERROR(K287/K446, "NA")</f>
      </c>
      <c r="M287" s="15"/>
      <c r="N287" s="16">
        <f>IFERROR(-(B287-K287), "NA")</f>
      </c>
      <c r="O287" s="14">
        <f>IFERROR(N287/N446, "NA")</f>
      </c>
      <c r="P287" s="15"/>
      <c r="Q287" s="13">
        <v>0</v>
      </c>
      <c r="R287" s="14">
        <f>IFERROR(Q287/Q446, "NA")</f>
      </c>
      <c r="S287" s="15"/>
      <c r="T287" s="13">
        <v>0</v>
      </c>
      <c r="U287" s="14">
        <f>IFERROR(T287/T446, "NA")</f>
      </c>
      <c r="V287" s="15"/>
      <c r="W287" s="16">
        <f>IFERROR(-(Q287-T287), "NA")</f>
      </c>
      <c r="X287" s="14">
        <f>IFERROR(W287/W446, "NA")</f>
      </c>
      <c r="Y287" s="15"/>
      <c r="Z287" s="13">
        <v>0</v>
      </c>
      <c r="AA287" s="14">
        <f>IFERROR(Z287/Z446, "NA")</f>
      </c>
      <c r="AB287" s="15"/>
      <c r="AC287" s="16">
        <f>IFERROR(-(Q287-Z287), "NA")</f>
      </c>
      <c r="AD287" s="14">
        <f>IFERROR(AC287/AC446, "NA")</f>
      </c>
    </row>
    <row r="288" hidden="1" ht="16.5" customHeight="1">
      <c t="s" r="A288" s="12">
        <v>261</v>
      </c>
      <c r="B288" s="13">
        <v>0</v>
      </c>
      <c r="C288" s="14">
        <f>IFERROR(B288/B446, "NA")</f>
      </c>
      <c r="D288" s="15"/>
      <c r="E288" s="13">
        <v>0</v>
      </c>
      <c r="F288" s="14">
        <f>IFERROR(E288/E446, "NA")</f>
      </c>
      <c r="G288" s="15"/>
      <c r="H288" s="16">
        <f>IFERROR(-(B288-E288), "NA")</f>
      </c>
      <c r="I288" s="14">
        <f>IFERROR(H288/H446, "NA")</f>
      </c>
      <c r="J288" s="15"/>
      <c r="K288" s="13">
        <v>0</v>
      </c>
      <c r="L288" s="14">
        <f>IFERROR(K288/K446, "NA")</f>
      </c>
      <c r="M288" s="15"/>
      <c r="N288" s="16">
        <f>IFERROR(-(B288-K288), "NA")</f>
      </c>
      <c r="O288" s="14">
        <f>IFERROR(N288/N446, "NA")</f>
      </c>
      <c r="P288" s="15"/>
      <c r="Q288" s="13">
        <v>0</v>
      </c>
      <c r="R288" s="14">
        <f>IFERROR(Q288/Q446, "NA")</f>
      </c>
      <c r="S288" s="15"/>
      <c r="T288" s="13">
        <v>0</v>
      </c>
      <c r="U288" s="14">
        <f>IFERROR(T288/T446, "NA")</f>
      </c>
      <c r="V288" s="15"/>
      <c r="W288" s="16">
        <f>IFERROR(-(Q288-T288), "NA")</f>
      </c>
      <c r="X288" s="14">
        <f>IFERROR(W288/W446, "NA")</f>
      </c>
      <c r="Y288" s="15"/>
      <c r="Z288" s="13">
        <v>0</v>
      </c>
      <c r="AA288" s="14">
        <f>IFERROR(Z288/Z446, "NA")</f>
      </c>
      <c r="AB288" s="15"/>
      <c r="AC288" s="16">
        <f>IFERROR(-(Q288-Z288), "NA")</f>
      </c>
      <c r="AD288" s="14">
        <f>IFERROR(AC288/AC446, "NA")</f>
      </c>
    </row>
    <row r="289" ht="16.5" customHeight="1">
      <c t="s" r="A289" s="12">
        <v>262</v>
      </c>
      <c r="B289" s="13">
        <v>158.34999999999999</v>
      </c>
      <c r="C289" s="14">
        <f>IFERROR(B289/B446, "NA")</f>
      </c>
      <c r="D289" s="15"/>
      <c r="E289" s="13">
        <v>158</v>
      </c>
      <c r="F289" s="14">
        <f>IFERROR(E289/E446, "NA")</f>
      </c>
      <c r="G289" s="15"/>
      <c r="H289" s="16">
        <f>IFERROR(-(B289-E289), "NA")</f>
      </c>
      <c r="I289" s="14">
        <f>IFERROR(H289/H446, "NA")</f>
      </c>
      <c r="J289" s="15"/>
      <c r="K289" s="13">
        <v>158.33000000000001</v>
      </c>
      <c r="L289" s="14">
        <f>IFERROR(K289/K446, "NA")</f>
      </c>
      <c r="M289" s="15"/>
      <c r="N289" s="16">
        <f>IFERROR(-(B289-K289), "NA")</f>
      </c>
      <c r="O289" s="14">
        <f>IFERROR(N289/N446, "NA")</f>
      </c>
      <c r="P289" s="15"/>
      <c r="Q289" s="13">
        <v>158.34999999999999</v>
      </c>
      <c r="R289" s="14">
        <f>IFERROR(Q289/Q446, "NA")</f>
      </c>
      <c r="S289" s="15"/>
      <c r="T289" s="13">
        <v>158</v>
      </c>
      <c r="U289" s="14">
        <f>IFERROR(T289/T446, "NA")</f>
      </c>
      <c r="V289" s="15"/>
      <c r="W289" s="16">
        <f>IFERROR(-(Q289-T289), "NA")</f>
      </c>
      <c r="X289" s="14">
        <f>IFERROR(W289/W446, "NA")</f>
      </c>
      <c r="Y289" s="15"/>
      <c r="Z289" s="13">
        <v>158.33000000000001</v>
      </c>
      <c r="AA289" s="14">
        <f>IFERROR(Z289/Z446, "NA")</f>
      </c>
      <c r="AB289" s="15"/>
      <c r="AC289" s="16">
        <f>IFERROR(-(Q289-Z289), "NA")</f>
      </c>
      <c r="AD289" s="14">
        <f>IFERROR(AC289/AC446, "NA")</f>
      </c>
    </row>
    <row r="290" ht="16.5" customHeight="1">
      <c t="s" r="A290" s="12">
        <v>263</v>
      </c>
      <c r="B290" s="13">
        <v>247.30000000000001</v>
      </c>
      <c r="C290" s="14">
        <f>IFERROR(B290/B446, "NA")</f>
      </c>
      <c r="D290" s="15"/>
      <c r="E290" s="13">
        <v>233</v>
      </c>
      <c r="F290" s="14">
        <f>IFERROR(E290/E446, "NA")</f>
      </c>
      <c r="G290" s="15"/>
      <c r="H290" s="16">
        <f>IFERROR(-(B290-E290), "NA")</f>
      </c>
      <c r="I290" s="14">
        <f>IFERROR(H290/H446, "NA")</f>
      </c>
      <c r="J290" s="15"/>
      <c r="K290" s="13">
        <v>205.72999999999999</v>
      </c>
      <c r="L290" s="14">
        <f>IFERROR(K290/K446, "NA")</f>
      </c>
      <c r="M290" s="15"/>
      <c r="N290" s="16">
        <f>IFERROR(-(B290-K290), "NA")</f>
      </c>
      <c r="O290" s="14">
        <f>IFERROR(N290/N446, "NA")</f>
      </c>
      <c r="P290" s="15"/>
      <c r="Q290" s="13">
        <v>247.30000000000001</v>
      </c>
      <c r="R290" s="14">
        <f>IFERROR(Q290/Q446, "NA")</f>
      </c>
      <c r="S290" s="15"/>
      <c r="T290" s="13">
        <v>233</v>
      </c>
      <c r="U290" s="14">
        <f>IFERROR(T290/T446, "NA")</f>
      </c>
      <c r="V290" s="15"/>
      <c r="W290" s="16">
        <f>IFERROR(-(Q290-T290), "NA")</f>
      </c>
      <c r="X290" s="14">
        <f>IFERROR(W290/W446, "NA")</f>
      </c>
      <c r="Y290" s="15"/>
      <c r="Z290" s="13">
        <v>205.72999999999999</v>
      </c>
      <c r="AA290" s="14">
        <f>IFERROR(Z290/Z446, "NA")</f>
      </c>
      <c r="AB290" s="15"/>
      <c r="AC290" s="16">
        <f>IFERROR(-(Q290-Z290), "NA")</f>
      </c>
      <c r="AD290" s="14">
        <f>IFERROR(AC290/AC446, "NA")</f>
      </c>
    </row>
    <row r="291" ht="16.5" customHeight="1">
      <c t="s" r="A291" s="12">
        <v>264</v>
      </c>
      <c r="B291" s="13">
        <v>746.95000000000005</v>
      </c>
      <c r="C291" s="14">
        <f>IFERROR(B291/B446, "NA")</f>
      </c>
      <c r="D291" s="15"/>
      <c r="E291" s="13">
        <v>291.33999999999997</v>
      </c>
      <c r="F291" s="14">
        <f>IFERROR(E291/E446, "NA")</f>
      </c>
      <c r="G291" s="15"/>
      <c r="H291" s="16">
        <f>IFERROR(-(B291-E291), "NA")</f>
      </c>
      <c r="I291" s="14">
        <f>IFERROR(H291/H446, "NA")</f>
      </c>
      <c r="J291" s="15"/>
      <c r="K291" s="13">
        <v>0</v>
      </c>
      <c r="L291" s="14">
        <f>IFERROR(K291/K446, "NA")</f>
      </c>
      <c r="M291" s="15"/>
      <c r="N291" s="16">
        <f>IFERROR(-(B291-K291), "NA")</f>
      </c>
      <c r="O291" s="14">
        <f>IFERROR(N291/N446, "NA")</f>
      </c>
      <c r="P291" s="15"/>
      <c r="Q291" s="13">
        <v>746.95000000000005</v>
      </c>
      <c r="R291" s="14">
        <f>IFERROR(Q291/Q446, "NA")</f>
      </c>
      <c r="S291" s="15"/>
      <c r="T291" s="13">
        <v>291.33999999999997</v>
      </c>
      <c r="U291" s="14">
        <f>IFERROR(T291/T446, "NA")</f>
      </c>
      <c r="V291" s="15"/>
      <c r="W291" s="16">
        <f>IFERROR(-(Q291-T291), "NA")</f>
      </c>
      <c r="X291" s="14">
        <f>IFERROR(W291/W446, "NA")</f>
      </c>
      <c r="Y291" s="15"/>
      <c r="Z291" s="13">
        <v>0</v>
      </c>
      <c r="AA291" s="14">
        <f>IFERROR(Z291/Z446, "NA")</f>
      </c>
      <c r="AB291" s="15"/>
      <c r="AC291" s="16">
        <f>IFERROR(-(Q291-Z291), "NA")</f>
      </c>
      <c r="AD291" s="14">
        <f>IFERROR(AC291/AC446, "NA")</f>
      </c>
    </row>
    <row r="292" ht="16.5" customHeight="1">
      <c t="s" r="A292" s="12">
        <v>265</v>
      </c>
      <c r="B292" s="13">
        <v>1271.3299999999999</v>
      </c>
      <c r="C292" s="14">
        <f>IFERROR(B292/B446, "NA")</f>
      </c>
      <c r="D292" s="15"/>
      <c r="E292" s="13">
        <v>388.45999999999998</v>
      </c>
      <c r="F292" s="14">
        <f>IFERROR(E292/E446, "NA")</f>
      </c>
      <c r="G292" s="15"/>
      <c r="H292" s="16">
        <f>IFERROR(-(B292-E292), "NA")</f>
      </c>
      <c r="I292" s="14">
        <f>IFERROR(H292/H446, "NA")</f>
      </c>
      <c r="J292" s="15"/>
      <c r="K292" s="13">
        <v>0</v>
      </c>
      <c r="L292" s="14">
        <f>IFERROR(K292/K446, "NA")</f>
      </c>
      <c r="M292" s="15"/>
      <c r="N292" s="16">
        <f>IFERROR(-(B292-K292), "NA")</f>
      </c>
      <c r="O292" s="14">
        <f>IFERROR(N292/N446, "NA")</f>
      </c>
      <c r="P292" s="15"/>
      <c r="Q292" s="13">
        <v>1271.3299999999999</v>
      </c>
      <c r="R292" s="14">
        <f>IFERROR(Q292/Q446, "NA")</f>
      </c>
      <c r="S292" s="15"/>
      <c r="T292" s="13">
        <v>388.45999999999998</v>
      </c>
      <c r="U292" s="14">
        <f>IFERROR(T292/T446, "NA")</f>
      </c>
      <c r="V292" s="15"/>
      <c r="W292" s="16">
        <f>IFERROR(-(Q292-T292), "NA")</f>
      </c>
      <c r="X292" s="14">
        <f>IFERROR(W292/W446, "NA")</f>
      </c>
      <c r="Y292" s="15"/>
      <c r="Z292" s="13">
        <v>0</v>
      </c>
      <c r="AA292" s="14">
        <f>IFERROR(Z292/Z446, "NA")</f>
      </c>
      <c r="AB292" s="15"/>
      <c r="AC292" s="16">
        <f>IFERROR(-(Q292-Z292), "NA")</f>
      </c>
      <c r="AD292" s="14">
        <f>IFERROR(AC292/AC446, "NA")</f>
      </c>
    </row>
    <row r="293" ht="16.5" customHeight="1">
      <c t="s" r="A293" s="12">
        <v>266</v>
      </c>
      <c r="B293" s="13">
        <v>0</v>
      </c>
      <c r="C293" s="14">
        <f>IFERROR(B293/B446, "NA")</f>
      </c>
      <c r="D293" s="15"/>
      <c r="E293" s="13">
        <v>97.109999999999999</v>
      </c>
      <c r="F293" s="14">
        <f>IFERROR(E293/E446, "NA")</f>
      </c>
      <c r="G293" s="15"/>
      <c r="H293" s="16">
        <f>IFERROR(-(B293-E293), "NA")</f>
      </c>
      <c r="I293" s="14">
        <f>IFERROR(H293/H446, "NA")</f>
      </c>
      <c r="J293" s="15"/>
      <c r="K293" s="13">
        <v>0</v>
      </c>
      <c r="L293" s="14">
        <f>IFERROR(K293/K446, "NA")</f>
      </c>
      <c r="M293" s="15"/>
      <c r="N293" s="16">
        <f>IFERROR(-(B293-K293), "NA")</f>
      </c>
      <c r="O293" s="14">
        <f>IFERROR(N293/N446, "NA")</f>
      </c>
      <c r="P293" s="15"/>
      <c r="Q293" s="13">
        <v>0</v>
      </c>
      <c r="R293" s="14">
        <f>IFERROR(Q293/Q446, "NA")</f>
      </c>
      <c r="S293" s="15"/>
      <c r="T293" s="13">
        <v>97.109999999999999</v>
      </c>
      <c r="U293" s="14">
        <f>IFERROR(T293/T446, "NA")</f>
      </c>
      <c r="V293" s="15"/>
      <c r="W293" s="16">
        <f>IFERROR(-(Q293-T293), "NA")</f>
      </c>
      <c r="X293" s="14">
        <f>IFERROR(W293/W446, "NA")</f>
      </c>
      <c r="Y293" s="15"/>
      <c r="Z293" s="13">
        <v>0</v>
      </c>
      <c r="AA293" s="14">
        <f>IFERROR(Z293/Z446, "NA")</f>
      </c>
      <c r="AB293" s="15"/>
      <c r="AC293" s="16">
        <f>IFERROR(-(Q293-Z293), "NA")</f>
      </c>
      <c r="AD293" s="14">
        <f>IFERROR(AC293/AC446, "NA")</f>
      </c>
    </row>
    <row r="294" ht="16.5" customHeight="1">
      <c t="s" r="A294" s="12">
        <v>267</v>
      </c>
      <c r="B294" s="13">
        <v>0</v>
      </c>
      <c r="C294" s="14">
        <f>IFERROR(B294/B446, "NA")</f>
      </c>
      <c r="D294" s="15"/>
      <c r="E294" s="13">
        <v>97.109999999999999</v>
      </c>
      <c r="F294" s="14">
        <f>IFERROR(E294/E446, "NA")</f>
      </c>
      <c r="G294" s="15"/>
      <c r="H294" s="16">
        <f>IFERROR(-(B294-E294), "NA")</f>
      </c>
      <c r="I294" s="14">
        <f>IFERROR(H294/H446, "NA")</f>
      </c>
      <c r="J294" s="15"/>
      <c r="K294" s="13">
        <v>0</v>
      </c>
      <c r="L294" s="14">
        <f>IFERROR(K294/K446, "NA")</f>
      </c>
      <c r="M294" s="15"/>
      <c r="N294" s="16">
        <f>IFERROR(-(B294-K294), "NA")</f>
      </c>
      <c r="O294" s="14">
        <f>IFERROR(N294/N446, "NA")</f>
      </c>
      <c r="P294" s="15"/>
      <c r="Q294" s="13">
        <v>0</v>
      </c>
      <c r="R294" s="14">
        <f>IFERROR(Q294/Q446, "NA")</f>
      </c>
      <c r="S294" s="15"/>
      <c r="T294" s="13">
        <v>97.109999999999999</v>
      </c>
      <c r="U294" s="14">
        <f>IFERROR(T294/T446, "NA")</f>
      </c>
      <c r="V294" s="15"/>
      <c r="W294" s="16">
        <f>IFERROR(-(Q294-T294), "NA")</f>
      </c>
      <c r="X294" s="14">
        <f>IFERROR(W294/W446, "NA")</f>
      </c>
      <c r="Y294" s="15"/>
      <c r="Z294" s="13">
        <v>0</v>
      </c>
      <c r="AA294" s="14">
        <f>IFERROR(Z294/Z446, "NA")</f>
      </c>
      <c r="AB294" s="15"/>
      <c r="AC294" s="16">
        <f>IFERROR(-(Q294-Z294), "NA")</f>
      </c>
      <c r="AD294" s="14">
        <f>IFERROR(AC294/AC446, "NA")</f>
      </c>
    </row>
    <row r="295" ht="16.5" customHeight="1">
      <c t="s" r="A295" s="12">
        <v>268</v>
      </c>
      <c r="B295" s="13">
        <v>299.99000000000001</v>
      </c>
      <c r="C295" s="14">
        <f>IFERROR(B295/B446, "NA")</f>
      </c>
      <c r="D295" s="15"/>
      <c r="E295" s="13">
        <v>412</v>
      </c>
      <c r="F295" s="14">
        <f>IFERROR(E295/E446, "NA")</f>
      </c>
      <c r="G295" s="15"/>
      <c r="H295" s="16">
        <f>IFERROR(-(B295-E295), "NA")</f>
      </c>
      <c r="I295" s="14">
        <f>IFERROR(H295/H446, "NA")</f>
      </c>
      <c r="J295" s="15"/>
      <c r="K295" s="13">
        <v>324.99000000000001</v>
      </c>
      <c r="L295" s="14">
        <f>IFERROR(K295/K446, "NA")</f>
      </c>
      <c r="M295" s="15"/>
      <c r="N295" s="16">
        <f>IFERROR(-(B295-K295), "NA")</f>
      </c>
      <c r="O295" s="14">
        <f>IFERROR(N295/N446, "NA")</f>
      </c>
      <c r="P295" s="15"/>
      <c r="Q295" s="13">
        <v>299.99000000000001</v>
      </c>
      <c r="R295" s="14">
        <f>IFERROR(Q295/Q446, "NA")</f>
      </c>
      <c r="S295" s="15"/>
      <c r="T295" s="13">
        <v>412</v>
      </c>
      <c r="U295" s="14">
        <f>IFERROR(T295/T446, "NA")</f>
      </c>
      <c r="V295" s="15"/>
      <c r="W295" s="16">
        <f>IFERROR(-(Q295-T295), "NA")</f>
      </c>
      <c r="X295" s="14">
        <f>IFERROR(W295/W446, "NA")</f>
      </c>
      <c r="Y295" s="15"/>
      <c r="Z295" s="13">
        <v>324.99000000000001</v>
      </c>
      <c r="AA295" s="14">
        <f>IFERROR(Z295/Z446, "NA")</f>
      </c>
      <c r="AB295" s="15"/>
      <c r="AC295" s="16">
        <f>IFERROR(-(Q295-Z295), "NA")</f>
      </c>
      <c r="AD295" s="14">
        <f>IFERROR(AC295/AC446, "NA")</f>
      </c>
    </row>
    <row r="296" ht="16.5" customHeight="1">
      <c t="s" r="A296" s="25">
        <v>269</v>
      </c>
      <c r="B296" s="20">
        <f>IFERROR(B287+B288+B289+B290+B291+B292+B293+B294+B295, "NA")</f>
      </c>
      <c r="C296" s="21">
        <f>IFERROR(B296/B446, "NA")</f>
      </c>
      <c r="D296" s="8"/>
      <c r="E296" s="20">
        <f>IFERROR(E287+E288+E289+E290+E291+E292+E293+E294+E295, "NA")</f>
      </c>
      <c r="F296" s="21">
        <f>IFERROR(E296/E446, "NA")</f>
      </c>
      <c r="G296" s="8"/>
      <c r="H296" s="20">
        <f>IFERROR(-(B296-E296), "NA")</f>
      </c>
      <c r="I296" s="21">
        <f>IFERROR(H296/H446, "NA")</f>
      </c>
      <c r="J296" s="8"/>
      <c r="K296" s="20">
        <f>IFERROR(K287+K288+K289+K290+K291+K292+K293+K294+K295, "NA")</f>
      </c>
      <c r="L296" s="21">
        <f>IFERROR(K296/K446, "NA")</f>
      </c>
      <c r="M296" s="8"/>
      <c r="N296" s="20">
        <f>IFERROR(-(B296-K296), "NA")</f>
      </c>
      <c r="O296" s="21">
        <f>IFERROR(N296/N446, "NA")</f>
      </c>
      <c r="P296" s="8"/>
      <c r="Q296" s="20">
        <f>IFERROR(Q287+Q288+Q289+Q290+Q291+Q292+Q293+Q294+Q295, "NA")</f>
      </c>
      <c r="R296" s="21">
        <f>IFERROR(Q296/Q446, "NA")</f>
      </c>
      <c r="S296" s="8"/>
      <c r="T296" s="20">
        <f>IFERROR(T287+T288+T289+T290+T291+T292+T293+T294+T295, "NA")</f>
      </c>
      <c r="U296" s="21">
        <f>IFERROR(T296/T446, "NA")</f>
      </c>
      <c r="V296" s="8"/>
      <c r="W296" s="20">
        <f>IFERROR(-(Q296-T296), "NA")</f>
      </c>
      <c r="X296" s="21">
        <f>IFERROR(W296/W446, "NA")</f>
      </c>
      <c r="Y296" s="8"/>
      <c r="Z296" s="20">
        <f>IFERROR(Z287+Z288+Z289+Z290+Z291+Z292+Z293+Z294+Z295, "NA")</f>
      </c>
      <c r="AA296" s="21">
        <f>IFERROR(Z296/Z446, "NA")</f>
      </c>
      <c r="AB296" s="8"/>
      <c r="AC296" s="20">
        <f>IFERROR(-(Q296-Z296), "NA")</f>
      </c>
      <c r="AD296" s="21">
        <f>IFERROR(AC296/AC446, "NA")</f>
      </c>
    </row>
    <row r="297" ht="16.5" customHeight="1">
      <c t="s" r="A297" s="11">
        <v>270</v>
      </c>
      <c r="B297" s="8"/>
      <c r="C297" s="9"/>
      <c r="D297" s="10"/>
      <c r="E297" s="8"/>
      <c r="F297" s="9"/>
      <c r="G297" s="10"/>
      <c r="H297" s="8"/>
      <c r="I297" s="9"/>
      <c r="J297" s="10"/>
      <c r="K297" s="8"/>
      <c r="L297" s="9"/>
      <c r="M297" s="10"/>
      <c r="N297" s="8"/>
      <c r="O297" s="9"/>
      <c r="P297" s="10"/>
      <c r="Q297" s="8"/>
      <c r="R297" s="9"/>
      <c r="S297" s="10"/>
      <c r="T297" s="8"/>
      <c r="U297" s="9"/>
      <c r="V297" s="10"/>
      <c r="W297" s="8"/>
      <c r="X297" s="9"/>
      <c r="Y297" s="10"/>
      <c r="Z297" s="8"/>
      <c r="AA297" s="9"/>
      <c r="AB297" s="10"/>
      <c r="AC297" s="8"/>
      <c r="AD297" s="9"/>
    </row>
    <row r="298" hidden="1" ht="16.5" customHeight="1">
      <c t="s" r="A298" s="12">
        <v>270</v>
      </c>
      <c r="B298" s="13">
        <v>0</v>
      </c>
      <c r="C298" s="14">
        <f>IFERROR(B298/B446, "NA")</f>
      </c>
      <c r="D298" s="15"/>
      <c r="E298" s="13">
        <v>0</v>
      </c>
      <c r="F298" s="14">
        <f>IFERROR(E298/E446, "NA")</f>
      </c>
      <c r="G298" s="15"/>
      <c r="H298" s="16">
        <f>IFERROR(-(B298-E298), "NA")</f>
      </c>
      <c r="I298" s="14">
        <f>IFERROR(H298/H446, "NA")</f>
      </c>
      <c r="J298" s="15"/>
      <c r="K298" s="13">
        <v>0</v>
      </c>
      <c r="L298" s="14">
        <f>IFERROR(K298/K446, "NA")</f>
      </c>
      <c r="M298" s="15"/>
      <c r="N298" s="16">
        <f>IFERROR(-(B298-K298), "NA")</f>
      </c>
      <c r="O298" s="14">
        <f>IFERROR(N298/N446, "NA")</f>
      </c>
      <c r="P298" s="15"/>
      <c r="Q298" s="13">
        <v>0</v>
      </c>
      <c r="R298" s="14">
        <f>IFERROR(Q298/Q446, "NA")</f>
      </c>
      <c r="S298" s="15"/>
      <c r="T298" s="13">
        <v>0</v>
      </c>
      <c r="U298" s="14">
        <f>IFERROR(T298/T446, "NA")</f>
      </c>
      <c r="V298" s="15"/>
      <c r="W298" s="16">
        <f>IFERROR(-(Q298-T298), "NA")</f>
      </c>
      <c r="X298" s="14">
        <f>IFERROR(W298/W446, "NA")</f>
      </c>
      <c r="Y298" s="15"/>
      <c r="Z298" s="13">
        <v>0</v>
      </c>
      <c r="AA298" s="14">
        <f>IFERROR(Z298/Z446, "NA")</f>
      </c>
      <c r="AB298" s="15"/>
      <c r="AC298" s="16">
        <f>IFERROR(-(Q298-Z298), "NA")</f>
      </c>
      <c r="AD298" s="14">
        <f>IFERROR(AC298/AC446, "NA")</f>
      </c>
    </row>
    <row r="299" hidden="1" ht="16.5" customHeight="1">
      <c t="s" r="A299" s="12">
        <v>271</v>
      </c>
      <c r="B299" s="13">
        <v>0</v>
      </c>
      <c r="C299" s="14">
        <f>IFERROR(B299/B446, "NA")</f>
      </c>
      <c r="D299" s="15"/>
      <c r="E299" s="13">
        <v>0</v>
      </c>
      <c r="F299" s="14">
        <f>IFERROR(E299/E446, "NA")</f>
      </c>
      <c r="G299" s="15"/>
      <c r="H299" s="16">
        <f>IFERROR(-(B299-E299), "NA")</f>
      </c>
      <c r="I299" s="14">
        <f>IFERROR(H299/H446, "NA")</f>
      </c>
      <c r="J299" s="15"/>
      <c r="K299" s="13">
        <v>0</v>
      </c>
      <c r="L299" s="14">
        <f>IFERROR(K299/K446, "NA")</f>
      </c>
      <c r="M299" s="15"/>
      <c r="N299" s="16">
        <f>IFERROR(-(B299-K299), "NA")</f>
      </c>
      <c r="O299" s="14">
        <f>IFERROR(N299/N446, "NA")</f>
      </c>
      <c r="P299" s="15"/>
      <c r="Q299" s="13">
        <v>0</v>
      </c>
      <c r="R299" s="14">
        <f>IFERROR(Q299/Q446, "NA")</f>
      </c>
      <c r="S299" s="15"/>
      <c r="T299" s="13">
        <v>0</v>
      </c>
      <c r="U299" s="14">
        <f>IFERROR(T299/T446, "NA")</f>
      </c>
      <c r="V299" s="15"/>
      <c r="W299" s="16">
        <f>IFERROR(-(Q299-T299), "NA")</f>
      </c>
      <c r="X299" s="14">
        <f>IFERROR(W299/W446, "NA")</f>
      </c>
      <c r="Y299" s="15"/>
      <c r="Z299" s="13">
        <v>0</v>
      </c>
      <c r="AA299" s="14">
        <f>IFERROR(Z299/Z446, "NA")</f>
      </c>
      <c r="AB299" s="15"/>
      <c r="AC299" s="16">
        <f>IFERROR(-(Q299-Z299), "NA")</f>
      </c>
      <c r="AD299" s="14">
        <f>IFERROR(AC299/AC446, "NA")</f>
      </c>
    </row>
    <row r="300" ht="16.5" customHeight="1">
      <c t="s" r="A300" s="12">
        <v>272</v>
      </c>
      <c r="B300" s="13">
        <v>476.52999999999997</v>
      </c>
      <c r="C300" s="14">
        <f>IFERROR(B300/B446, "NA")</f>
      </c>
      <c r="D300" s="15"/>
      <c r="E300" s="13">
        <v>469</v>
      </c>
      <c r="F300" s="14">
        <f>IFERROR(E300/E446, "NA")</f>
      </c>
      <c r="G300" s="15"/>
      <c r="H300" s="16">
        <f>IFERROR(-(B300-E300), "NA")</f>
      </c>
      <c r="I300" s="14">
        <f>IFERROR(H300/H446, "NA")</f>
      </c>
      <c r="J300" s="15"/>
      <c r="K300" s="13">
        <v>469.19999999999999</v>
      </c>
      <c r="L300" s="14">
        <f>IFERROR(K300/K446, "NA")</f>
      </c>
      <c r="M300" s="15"/>
      <c r="N300" s="16">
        <f>IFERROR(-(B300-K300), "NA")</f>
      </c>
      <c r="O300" s="14">
        <f>IFERROR(N300/N446, "NA")</f>
      </c>
      <c r="P300" s="15"/>
      <c r="Q300" s="13">
        <v>476.52999999999997</v>
      </c>
      <c r="R300" s="14">
        <f>IFERROR(Q300/Q446, "NA")</f>
      </c>
      <c r="S300" s="15"/>
      <c r="T300" s="13">
        <v>469</v>
      </c>
      <c r="U300" s="14">
        <f>IFERROR(T300/T446, "NA")</f>
      </c>
      <c r="V300" s="15"/>
      <c r="W300" s="16">
        <f>IFERROR(-(Q300-T300), "NA")</f>
      </c>
      <c r="X300" s="14">
        <f>IFERROR(W300/W446, "NA")</f>
      </c>
      <c r="Y300" s="15"/>
      <c r="Z300" s="13">
        <v>469.19999999999999</v>
      </c>
      <c r="AA300" s="14">
        <f>IFERROR(Z300/Z446, "NA")</f>
      </c>
      <c r="AB300" s="15"/>
      <c r="AC300" s="16">
        <f>IFERROR(-(Q300-Z300), "NA")</f>
      </c>
      <c r="AD300" s="14">
        <f>IFERROR(AC300/AC446, "NA")</f>
      </c>
    </row>
    <row r="301" hidden="1" ht="16.5" customHeight="1">
      <c t="s" r="A301" s="12">
        <v>273</v>
      </c>
      <c r="B301" s="13">
        <v>0</v>
      </c>
      <c r="C301" s="14">
        <f>IFERROR(B301/B446, "NA")</f>
      </c>
      <c r="D301" s="15"/>
      <c r="E301" s="13">
        <v>0</v>
      </c>
      <c r="F301" s="14">
        <f>IFERROR(E301/E446, "NA")</f>
      </c>
      <c r="G301" s="15"/>
      <c r="H301" s="16">
        <f>IFERROR(-(B301-E301), "NA")</f>
      </c>
      <c r="I301" s="14">
        <f>IFERROR(H301/H446, "NA")</f>
      </c>
      <c r="J301" s="15"/>
      <c r="K301" s="13">
        <v>0</v>
      </c>
      <c r="L301" s="14">
        <f>IFERROR(K301/K446, "NA")</f>
      </c>
      <c r="M301" s="15"/>
      <c r="N301" s="16">
        <f>IFERROR(-(B301-K301), "NA")</f>
      </c>
      <c r="O301" s="14">
        <f>IFERROR(N301/N446, "NA")</f>
      </c>
      <c r="P301" s="15"/>
      <c r="Q301" s="13">
        <v>0</v>
      </c>
      <c r="R301" s="14">
        <f>IFERROR(Q301/Q446, "NA")</f>
      </c>
      <c r="S301" s="15"/>
      <c r="T301" s="13">
        <v>0</v>
      </c>
      <c r="U301" s="14">
        <f>IFERROR(T301/T446, "NA")</f>
      </c>
      <c r="V301" s="15"/>
      <c r="W301" s="16">
        <f>IFERROR(-(Q301-T301), "NA")</f>
      </c>
      <c r="X301" s="14">
        <f>IFERROR(W301/W446, "NA")</f>
      </c>
      <c r="Y301" s="15"/>
      <c r="Z301" s="13">
        <v>0</v>
      </c>
      <c r="AA301" s="14">
        <f>IFERROR(Z301/Z446, "NA")</f>
      </c>
      <c r="AB301" s="15"/>
      <c r="AC301" s="16">
        <f>IFERROR(-(Q301-Z301), "NA")</f>
      </c>
      <c r="AD301" s="14">
        <f>IFERROR(AC301/AC446, "NA")</f>
      </c>
    </row>
    <row r="302" hidden="1" ht="16.5" customHeight="1">
      <c t="s" r="A302" s="12">
        <v>274</v>
      </c>
      <c r="B302" s="13">
        <v>0</v>
      </c>
      <c r="C302" s="14">
        <f>IFERROR(B302/B446, "NA")</f>
      </c>
      <c r="D302" s="15"/>
      <c r="E302" s="13">
        <v>0</v>
      </c>
      <c r="F302" s="14">
        <f>IFERROR(E302/E446, "NA")</f>
      </c>
      <c r="G302" s="15"/>
      <c r="H302" s="16">
        <f>IFERROR(-(B302-E302), "NA")</f>
      </c>
      <c r="I302" s="14">
        <f>IFERROR(H302/H446, "NA")</f>
      </c>
      <c r="J302" s="15"/>
      <c r="K302" s="13">
        <v>0</v>
      </c>
      <c r="L302" s="14">
        <f>IFERROR(K302/K446, "NA")</f>
      </c>
      <c r="M302" s="15"/>
      <c r="N302" s="16">
        <f>IFERROR(-(B302-K302), "NA")</f>
      </c>
      <c r="O302" s="14">
        <f>IFERROR(N302/N446, "NA")</f>
      </c>
      <c r="P302" s="15"/>
      <c r="Q302" s="13">
        <v>0</v>
      </c>
      <c r="R302" s="14">
        <f>IFERROR(Q302/Q446, "NA")</f>
      </c>
      <c r="S302" s="15"/>
      <c r="T302" s="13">
        <v>0</v>
      </c>
      <c r="U302" s="14">
        <f>IFERROR(T302/T446, "NA")</f>
      </c>
      <c r="V302" s="15"/>
      <c r="W302" s="16">
        <f>IFERROR(-(Q302-T302), "NA")</f>
      </c>
      <c r="X302" s="14">
        <f>IFERROR(W302/W446, "NA")</f>
      </c>
      <c r="Y302" s="15"/>
      <c r="Z302" s="13">
        <v>0</v>
      </c>
      <c r="AA302" s="14">
        <f>IFERROR(Z302/Z446, "NA")</f>
      </c>
      <c r="AB302" s="15"/>
      <c r="AC302" s="16">
        <f>IFERROR(-(Q302-Z302), "NA")</f>
      </c>
      <c r="AD302" s="14">
        <f>IFERROR(AC302/AC446, "NA")</f>
      </c>
    </row>
    <row r="303" hidden="1" ht="16.5" customHeight="1">
      <c t="s" r="A303" s="12">
        <v>275</v>
      </c>
      <c r="B303" s="13">
        <v>0</v>
      </c>
      <c r="C303" s="14">
        <f>IFERROR(B303/B446, "NA")</f>
      </c>
      <c r="D303" s="15"/>
      <c r="E303" s="13">
        <v>0</v>
      </c>
      <c r="F303" s="14">
        <f>IFERROR(E303/E446, "NA")</f>
      </c>
      <c r="G303" s="15"/>
      <c r="H303" s="16">
        <f>IFERROR(-(B303-E303), "NA")</f>
      </c>
      <c r="I303" s="14">
        <f>IFERROR(H303/H446, "NA")</f>
      </c>
      <c r="J303" s="15"/>
      <c r="K303" s="13">
        <v>0</v>
      </c>
      <c r="L303" s="14">
        <f>IFERROR(K303/K446, "NA")</f>
      </c>
      <c r="M303" s="15"/>
      <c r="N303" s="16">
        <f>IFERROR(-(B303-K303), "NA")</f>
      </c>
      <c r="O303" s="14">
        <f>IFERROR(N303/N446, "NA")</f>
      </c>
      <c r="P303" s="15"/>
      <c r="Q303" s="13">
        <v>0</v>
      </c>
      <c r="R303" s="14">
        <f>IFERROR(Q303/Q446, "NA")</f>
      </c>
      <c r="S303" s="15"/>
      <c r="T303" s="13">
        <v>0</v>
      </c>
      <c r="U303" s="14">
        <f>IFERROR(T303/T446, "NA")</f>
      </c>
      <c r="V303" s="15"/>
      <c r="W303" s="16">
        <f>IFERROR(-(Q303-T303), "NA")</f>
      </c>
      <c r="X303" s="14">
        <f>IFERROR(W303/W446, "NA")</f>
      </c>
      <c r="Y303" s="15"/>
      <c r="Z303" s="13">
        <v>0</v>
      </c>
      <c r="AA303" s="14">
        <f>IFERROR(Z303/Z446, "NA")</f>
      </c>
      <c r="AB303" s="15"/>
      <c r="AC303" s="16">
        <f>IFERROR(-(Q303-Z303), "NA")</f>
      </c>
      <c r="AD303" s="14">
        <f>IFERROR(AC303/AC446, "NA")</f>
      </c>
    </row>
    <row r="304" hidden="1" ht="16.5" customHeight="1">
      <c t="s" r="A304" s="12">
        <v>276</v>
      </c>
      <c r="B304" s="13">
        <v>0</v>
      </c>
      <c r="C304" s="14">
        <f>IFERROR(B304/B446, "NA")</f>
      </c>
      <c r="D304" s="15"/>
      <c r="E304" s="13">
        <v>0</v>
      </c>
      <c r="F304" s="14">
        <f>IFERROR(E304/E446, "NA")</f>
      </c>
      <c r="G304" s="15"/>
      <c r="H304" s="16">
        <f>IFERROR(-(B304-E304), "NA")</f>
      </c>
      <c r="I304" s="14">
        <f>IFERROR(H304/H446, "NA")</f>
      </c>
      <c r="J304" s="15"/>
      <c r="K304" s="13">
        <v>0</v>
      </c>
      <c r="L304" s="14">
        <f>IFERROR(K304/K446, "NA")</f>
      </c>
      <c r="M304" s="15"/>
      <c r="N304" s="16">
        <f>IFERROR(-(B304-K304), "NA")</f>
      </c>
      <c r="O304" s="14">
        <f>IFERROR(N304/N446, "NA")</f>
      </c>
      <c r="P304" s="15"/>
      <c r="Q304" s="13">
        <v>0</v>
      </c>
      <c r="R304" s="14">
        <f>IFERROR(Q304/Q446, "NA")</f>
      </c>
      <c r="S304" s="15"/>
      <c r="T304" s="13">
        <v>0</v>
      </c>
      <c r="U304" s="14">
        <f>IFERROR(T304/T446, "NA")</f>
      </c>
      <c r="V304" s="15"/>
      <c r="W304" s="16">
        <f>IFERROR(-(Q304-T304), "NA")</f>
      </c>
      <c r="X304" s="14">
        <f>IFERROR(W304/W446, "NA")</f>
      </c>
      <c r="Y304" s="15"/>
      <c r="Z304" s="13">
        <v>0</v>
      </c>
      <c r="AA304" s="14">
        <f>IFERROR(Z304/Z446, "NA")</f>
      </c>
      <c r="AB304" s="15"/>
      <c r="AC304" s="16">
        <f>IFERROR(-(Q304-Z304), "NA")</f>
      </c>
      <c r="AD304" s="14">
        <f>IFERROR(AC304/AC446, "NA")</f>
      </c>
    </row>
    <row r="305" hidden="1" ht="16.5" customHeight="1">
      <c t="s" r="A305" s="12">
        <v>277</v>
      </c>
      <c r="B305" s="13">
        <v>0</v>
      </c>
      <c r="C305" s="14">
        <f>IFERROR(B305/B446, "NA")</f>
      </c>
      <c r="D305" s="15"/>
      <c r="E305" s="13">
        <v>0</v>
      </c>
      <c r="F305" s="14">
        <f>IFERROR(E305/E446, "NA")</f>
      </c>
      <c r="G305" s="15"/>
      <c r="H305" s="16">
        <f>IFERROR(-(B305-E305), "NA")</f>
      </c>
      <c r="I305" s="14">
        <f>IFERROR(H305/H446, "NA")</f>
      </c>
      <c r="J305" s="15"/>
      <c r="K305" s="13">
        <v>0</v>
      </c>
      <c r="L305" s="14">
        <f>IFERROR(K305/K446, "NA")</f>
      </c>
      <c r="M305" s="15"/>
      <c r="N305" s="16">
        <f>IFERROR(-(B305-K305), "NA")</f>
      </c>
      <c r="O305" s="14">
        <f>IFERROR(N305/N446, "NA")</f>
      </c>
      <c r="P305" s="15"/>
      <c r="Q305" s="13">
        <v>0</v>
      </c>
      <c r="R305" s="14">
        <f>IFERROR(Q305/Q446, "NA")</f>
      </c>
      <c r="S305" s="15"/>
      <c r="T305" s="13">
        <v>0</v>
      </c>
      <c r="U305" s="14">
        <f>IFERROR(T305/T446, "NA")</f>
      </c>
      <c r="V305" s="15"/>
      <c r="W305" s="16">
        <f>IFERROR(-(Q305-T305), "NA")</f>
      </c>
      <c r="X305" s="14">
        <f>IFERROR(W305/W446, "NA")</f>
      </c>
      <c r="Y305" s="15"/>
      <c r="Z305" s="13">
        <v>0</v>
      </c>
      <c r="AA305" s="14">
        <f>IFERROR(Z305/Z446, "NA")</f>
      </c>
      <c r="AB305" s="15"/>
      <c r="AC305" s="16">
        <f>IFERROR(-(Q305-Z305), "NA")</f>
      </c>
      <c r="AD305" s="14">
        <f>IFERROR(AC305/AC446, "NA")</f>
      </c>
    </row>
    <row r="306" ht="16.5" customHeight="1">
      <c t="s" r="A306" s="12">
        <v>278</v>
      </c>
      <c r="B306" s="13">
        <v>24.07</v>
      </c>
      <c r="C306" s="14">
        <f>IFERROR(B306/B446, "NA")</f>
      </c>
      <c r="D306" s="15"/>
      <c r="E306" s="13">
        <v>0</v>
      </c>
      <c r="F306" s="14">
        <f>IFERROR(E306/E446, "NA")</f>
      </c>
      <c r="G306" s="15"/>
      <c r="H306" s="16">
        <f>IFERROR(-(B306-E306), "NA")</f>
      </c>
      <c r="I306" s="14">
        <f>IFERROR(H306/H446, "NA")</f>
      </c>
      <c r="J306" s="15"/>
      <c r="K306" s="13">
        <v>0</v>
      </c>
      <c r="L306" s="14">
        <f>IFERROR(K306/K446, "NA")</f>
      </c>
      <c r="M306" s="15"/>
      <c r="N306" s="16">
        <f>IFERROR(-(B306-K306), "NA")</f>
      </c>
      <c r="O306" s="14">
        <f>IFERROR(N306/N446, "NA")</f>
      </c>
      <c r="P306" s="15"/>
      <c r="Q306" s="13">
        <v>24.07</v>
      </c>
      <c r="R306" s="14">
        <f>IFERROR(Q306/Q446, "NA")</f>
      </c>
      <c r="S306" s="15"/>
      <c r="T306" s="13">
        <v>0</v>
      </c>
      <c r="U306" s="14">
        <f>IFERROR(T306/T446, "NA")</f>
      </c>
      <c r="V306" s="15"/>
      <c r="W306" s="16">
        <f>IFERROR(-(Q306-T306), "NA")</f>
      </c>
      <c r="X306" s="14">
        <f>IFERROR(W306/W446, "NA")</f>
      </c>
      <c r="Y306" s="15"/>
      <c r="Z306" s="13">
        <v>0</v>
      </c>
      <c r="AA306" s="14">
        <f>IFERROR(Z306/Z446, "NA")</f>
      </c>
      <c r="AB306" s="15"/>
      <c r="AC306" s="16">
        <f>IFERROR(-(Q306-Z306), "NA")</f>
      </c>
      <c r="AD306" s="14">
        <f>IFERROR(AC306/AC446, "NA")</f>
      </c>
    </row>
    <row r="307" hidden="1" ht="16.5" customHeight="1">
      <c t="s" r="A307" s="12">
        <v>279</v>
      </c>
      <c r="B307" s="13">
        <v>0</v>
      </c>
      <c r="C307" s="14">
        <f>IFERROR(B307/B446, "NA")</f>
      </c>
      <c r="D307" s="15"/>
      <c r="E307" s="13">
        <v>0</v>
      </c>
      <c r="F307" s="14">
        <f>IFERROR(E307/E446, "NA")</f>
      </c>
      <c r="G307" s="15"/>
      <c r="H307" s="16">
        <f>IFERROR(-(B307-E307), "NA")</f>
      </c>
      <c r="I307" s="14">
        <f>IFERROR(H307/H446, "NA")</f>
      </c>
      <c r="J307" s="15"/>
      <c r="K307" s="13">
        <v>0</v>
      </c>
      <c r="L307" s="14">
        <f>IFERROR(K307/K446, "NA")</f>
      </c>
      <c r="M307" s="15"/>
      <c r="N307" s="16">
        <f>IFERROR(-(B307-K307), "NA")</f>
      </c>
      <c r="O307" s="14">
        <f>IFERROR(N307/N446, "NA")</f>
      </c>
      <c r="P307" s="15"/>
      <c r="Q307" s="13">
        <v>0</v>
      </c>
      <c r="R307" s="14">
        <f>IFERROR(Q307/Q446, "NA")</f>
      </c>
      <c r="S307" s="15"/>
      <c r="T307" s="13">
        <v>0</v>
      </c>
      <c r="U307" s="14">
        <f>IFERROR(T307/T446, "NA")</f>
      </c>
      <c r="V307" s="15"/>
      <c r="W307" s="16">
        <f>IFERROR(-(Q307-T307), "NA")</f>
      </c>
      <c r="X307" s="14">
        <f>IFERROR(W307/W446, "NA")</f>
      </c>
      <c r="Y307" s="15"/>
      <c r="Z307" s="13">
        <v>0</v>
      </c>
      <c r="AA307" s="14">
        <f>IFERROR(Z307/Z446, "NA")</f>
      </c>
      <c r="AB307" s="15"/>
      <c r="AC307" s="16">
        <f>IFERROR(-(Q307-Z307), "NA")</f>
      </c>
      <c r="AD307" s="14">
        <f>IFERROR(AC307/AC446, "NA")</f>
      </c>
    </row>
    <row r="308" hidden="1" ht="16.5" customHeight="1">
      <c t="s" r="A308" s="12">
        <v>280</v>
      </c>
      <c r="B308" s="13">
        <v>0</v>
      </c>
      <c r="C308" s="14">
        <f>IFERROR(B308/B446, "NA")</f>
      </c>
      <c r="D308" s="15"/>
      <c r="E308" s="13">
        <v>0</v>
      </c>
      <c r="F308" s="14">
        <f>IFERROR(E308/E446, "NA")</f>
      </c>
      <c r="G308" s="15"/>
      <c r="H308" s="16">
        <f>IFERROR(-(B308-E308), "NA")</f>
      </c>
      <c r="I308" s="14">
        <f>IFERROR(H308/H446, "NA")</f>
      </c>
      <c r="J308" s="15"/>
      <c r="K308" s="13">
        <v>0</v>
      </c>
      <c r="L308" s="14">
        <f>IFERROR(K308/K446, "NA")</f>
      </c>
      <c r="M308" s="15"/>
      <c r="N308" s="16">
        <f>IFERROR(-(B308-K308), "NA")</f>
      </c>
      <c r="O308" s="14">
        <f>IFERROR(N308/N446, "NA")</f>
      </c>
      <c r="P308" s="15"/>
      <c r="Q308" s="13">
        <v>0</v>
      </c>
      <c r="R308" s="14">
        <f>IFERROR(Q308/Q446, "NA")</f>
      </c>
      <c r="S308" s="15"/>
      <c r="T308" s="13">
        <v>0</v>
      </c>
      <c r="U308" s="14">
        <f>IFERROR(T308/T446, "NA")</f>
      </c>
      <c r="V308" s="15"/>
      <c r="W308" s="16">
        <f>IFERROR(-(Q308-T308), "NA")</f>
      </c>
      <c r="X308" s="14">
        <f>IFERROR(W308/W446, "NA")</f>
      </c>
      <c r="Y308" s="15"/>
      <c r="Z308" s="13">
        <v>0</v>
      </c>
      <c r="AA308" s="14">
        <f>IFERROR(Z308/Z446, "NA")</f>
      </c>
      <c r="AB308" s="15"/>
      <c r="AC308" s="16">
        <f>IFERROR(-(Q308-Z308), "NA")</f>
      </c>
      <c r="AD308" s="14">
        <f>IFERROR(AC308/AC446, "NA")</f>
      </c>
    </row>
    <row r="309" hidden="1" ht="16.5" customHeight="1">
      <c t="s" r="A309" s="12">
        <v>281</v>
      </c>
      <c r="B309" s="13">
        <v>0</v>
      </c>
      <c r="C309" s="14">
        <f>IFERROR(B309/B446, "NA")</f>
      </c>
      <c r="D309" s="15"/>
      <c r="E309" s="13">
        <v>0</v>
      </c>
      <c r="F309" s="14">
        <f>IFERROR(E309/E446, "NA")</f>
      </c>
      <c r="G309" s="15"/>
      <c r="H309" s="16">
        <f>IFERROR(-(B309-E309), "NA")</f>
      </c>
      <c r="I309" s="14">
        <f>IFERROR(H309/H446, "NA")</f>
      </c>
      <c r="J309" s="15"/>
      <c r="K309" s="13">
        <v>0</v>
      </c>
      <c r="L309" s="14">
        <f>IFERROR(K309/K446, "NA")</f>
      </c>
      <c r="M309" s="15"/>
      <c r="N309" s="16">
        <f>IFERROR(-(B309-K309), "NA")</f>
      </c>
      <c r="O309" s="14">
        <f>IFERROR(N309/N446, "NA")</f>
      </c>
      <c r="P309" s="15"/>
      <c r="Q309" s="13">
        <v>0</v>
      </c>
      <c r="R309" s="14">
        <f>IFERROR(Q309/Q446, "NA")</f>
      </c>
      <c r="S309" s="15"/>
      <c r="T309" s="13">
        <v>0</v>
      </c>
      <c r="U309" s="14">
        <f>IFERROR(T309/T446, "NA")</f>
      </c>
      <c r="V309" s="15"/>
      <c r="W309" s="16">
        <f>IFERROR(-(Q309-T309), "NA")</f>
      </c>
      <c r="X309" s="14">
        <f>IFERROR(W309/W446, "NA")</f>
      </c>
      <c r="Y309" s="15"/>
      <c r="Z309" s="13">
        <v>0</v>
      </c>
      <c r="AA309" s="14">
        <f>IFERROR(Z309/Z446, "NA")</f>
      </c>
      <c r="AB309" s="15"/>
      <c r="AC309" s="16">
        <f>IFERROR(-(Q309-Z309), "NA")</f>
      </c>
      <c r="AD309" s="14">
        <f>IFERROR(AC309/AC446, "NA")</f>
      </c>
    </row>
    <row r="310" hidden="1" ht="16.5" customHeight="1">
      <c t="s" r="A310" s="12">
        <v>282</v>
      </c>
      <c r="B310" s="13">
        <v>0</v>
      </c>
      <c r="C310" s="14">
        <f>IFERROR(B310/B446, "NA")</f>
      </c>
      <c r="D310" s="15"/>
      <c r="E310" s="13">
        <v>0</v>
      </c>
      <c r="F310" s="14">
        <f>IFERROR(E310/E446, "NA")</f>
      </c>
      <c r="G310" s="15"/>
      <c r="H310" s="16">
        <f>IFERROR(-(B310-E310), "NA")</f>
      </c>
      <c r="I310" s="14">
        <f>IFERROR(H310/H446, "NA")</f>
      </c>
      <c r="J310" s="15"/>
      <c r="K310" s="13">
        <v>0</v>
      </c>
      <c r="L310" s="14">
        <f>IFERROR(K310/K446, "NA")</f>
      </c>
      <c r="M310" s="15"/>
      <c r="N310" s="16">
        <f>IFERROR(-(B310-K310), "NA")</f>
      </c>
      <c r="O310" s="14">
        <f>IFERROR(N310/N446, "NA")</f>
      </c>
      <c r="P310" s="15"/>
      <c r="Q310" s="13">
        <v>0</v>
      </c>
      <c r="R310" s="14">
        <f>IFERROR(Q310/Q446, "NA")</f>
      </c>
      <c r="S310" s="15"/>
      <c r="T310" s="13">
        <v>0</v>
      </c>
      <c r="U310" s="14">
        <f>IFERROR(T310/T446, "NA")</f>
      </c>
      <c r="V310" s="15"/>
      <c r="W310" s="16">
        <f>IFERROR(-(Q310-T310), "NA")</f>
      </c>
      <c r="X310" s="14">
        <f>IFERROR(W310/W446, "NA")</f>
      </c>
      <c r="Y310" s="15"/>
      <c r="Z310" s="13">
        <v>0</v>
      </c>
      <c r="AA310" s="14">
        <f>IFERROR(Z310/Z446, "NA")</f>
      </c>
      <c r="AB310" s="15"/>
      <c r="AC310" s="16">
        <f>IFERROR(-(Q310-Z310), "NA")</f>
      </c>
      <c r="AD310" s="14">
        <f>IFERROR(AC310/AC446, "NA")</f>
      </c>
    </row>
    <row r="311" ht="16.5" customHeight="1">
      <c t="s" r="A311" s="12">
        <v>283</v>
      </c>
      <c r="B311" s="13">
        <v>100</v>
      </c>
      <c r="C311" s="14">
        <f>IFERROR(B311/B446, "NA")</f>
      </c>
      <c r="D311" s="15"/>
      <c r="E311" s="13">
        <v>55</v>
      </c>
      <c r="F311" s="14">
        <f>IFERROR(E311/E446, "NA")</f>
      </c>
      <c r="G311" s="15"/>
      <c r="H311" s="16">
        <f>IFERROR(-(B311-E311), "NA")</f>
      </c>
      <c r="I311" s="14">
        <f>IFERROR(H311/H446, "NA")</f>
      </c>
      <c r="J311" s="15"/>
      <c r="K311" s="13">
        <v>0</v>
      </c>
      <c r="L311" s="14">
        <f>IFERROR(K311/K446, "NA")</f>
      </c>
      <c r="M311" s="15"/>
      <c r="N311" s="16">
        <f>IFERROR(-(B311-K311), "NA")</f>
      </c>
      <c r="O311" s="14">
        <f>IFERROR(N311/N446, "NA")</f>
      </c>
      <c r="P311" s="15"/>
      <c r="Q311" s="13">
        <v>100</v>
      </c>
      <c r="R311" s="14">
        <f>IFERROR(Q311/Q446, "NA")</f>
      </c>
      <c r="S311" s="15"/>
      <c r="T311" s="13">
        <v>55</v>
      </c>
      <c r="U311" s="14">
        <f>IFERROR(T311/T446, "NA")</f>
      </c>
      <c r="V311" s="15"/>
      <c r="W311" s="16">
        <f>IFERROR(-(Q311-T311), "NA")</f>
      </c>
      <c r="X311" s="14">
        <f>IFERROR(W311/W446, "NA")</f>
      </c>
      <c r="Y311" s="15"/>
      <c r="Z311" s="13">
        <v>0</v>
      </c>
      <c r="AA311" s="14">
        <f>IFERROR(Z311/Z446, "NA")</f>
      </c>
      <c r="AB311" s="15"/>
      <c r="AC311" s="16">
        <f>IFERROR(-(Q311-Z311), "NA")</f>
      </c>
      <c r="AD311" s="14">
        <f>IFERROR(AC311/AC446, "NA")</f>
      </c>
    </row>
    <row r="312" hidden="1" ht="16.5" customHeight="1">
      <c t="s" r="A312" s="12">
        <v>284</v>
      </c>
      <c r="B312" s="13">
        <v>0</v>
      </c>
      <c r="C312" s="14">
        <f>IFERROR(B312/B446, "NA")</f>
      </c>
      <c r="D312" s="15"/>
      <c r="E312" s="13">
        <v>0</v>
      </c>
      <c r="F312" s="14">
        <f>IFERROR(E312/E446, "NA")</f>
      </c>
      <c r="G312" s="15"/>
      <c r="H312" s="16">
        <f>IFERROR(-(B312-E312), "NA")</f>
      </c>
      <c r="I312" s="14">
        <f>IFERROR(H312/H446, "NA")</f>
      </c>
      <c r="J312" s="15"/>
      <c r="K312" s="13">
        <v>0</v>
      </c>
      <c r="L312" s="14">
        <f>IFERROR(K312/K446, "NA")</f>
      </c>
      <c r="M312" s="15"/>
      <c r="N312" s="16">
        <f>IFERROR(-(B312-K312), "NA")</f>
      </c>
      <c r="O312" s="14">
        <f>IFERROR(N312/N446, "NA")</f>
      </c>
      <c r="P312" s="15"/>
      <c r="Q312" s="13">
        <v>0</v>
      </c>
      <c r="R312" s="14">
        <f>IFERROR(Q312/Q446, "NA")</f>
      </c>
      <c r="S312" s="15"/>
      <c r="T312" s="13">
        <v>0</v>
      </c>
      <c r="U312" s="14">
        <f>IFERROR(T312/T446, "NA")</f>
      </c>
      <c r="V312" s="15"/>
      <c r="W312" s="16">
        <f>IFERROR(-(Q312-T312), "NA")</f>
      </c>
      <c r="X312" s="14">
        <f>IFERROR(W312/W446, "NA")</f>
      </c>
      <c r="Y312" s="15"/>
      <c r="Z312" s="13">
        <v>0</v>
      </c>
      <c r="AA312" s="14">
        <f>IFERROR(Z312/Z446, "NA")</f>
      </c>
      <c r="AB312" s="15"/>
      <c r="AC312" s="16">
        <f>IFERROR(-(Q312-Z312), "NA")</f>
      </c>
      <c r="AD312" s="14">
        <f>IFERROR(AC312/AC446, "NA")</f>
      </c>
    </row>
    <row r="313" ht="16.5" customHeight="1">
      <c t="s" r="A313" s="12">
        <v>285</v>
      </c>
      <c r="B313" s="13">
        <v>192.88999999999999</v>
      </c>
      <c r="C313" s="14">
        <f>IFERROR(B313/B446, "NA")</f>
      </c>
      <c r="D313" s="15"/>
      <c r="E313" s="13">
        <v>35</v>
      </c>
      <c r="F313" s="14">
        <f>IFERROR(E313/E446, "NA")</f>
      </c>
      <c r="G313" s="15"/>
      <c r="H313" s="16">
        <f>IFERROR(-(B313-E313), "NA")</f>
      </c>
      <c r="I313" s="14">
        <f>IFERROR(H313/H446, "NA")</f>
      </c>
      <c r="J313" s="15"/>
      <c r="K313" s="13">
        <v>176.65000000000001</v>
      </c>
      <c r="L313" s="14">
        <f>IFERROR(K313/K446, "NA")</f>
      </c>
      <c r="M313" s="15"/>
      <c r="N313" s="16">
        <f>IFERROR(-(B313-K313), "NA")</f>
      </c>
      <c r="O313" s="14">
        <f>IFERROR(N313/N446, "NA")</f>
      </c>
      <c r="P313" s="15"/>
      <c r="Q313" s="13">
        <v>192.88999999999999</v>
      </c>
      <c r="R313" s="14">
        <f>IFERROR(Q313/Q446, "NA")</f>
      </c>
      <c r="S313" s="15"/>
      <c r="T313" s="13">
        <v>35</v>
      </c>
      <c r="U313" s="14">
        <f>IFERROR(T313/T446, "NA")</f>
      </c>
      <c r="V313" s="15"/>
      <c r="W313" s="16">
        <f>IFERROR(-(Q313-T313), "NA")</f>
      </c>
      <c r="X313" s="14">
        <f>IFERROR(W313/W446, "NA")</f>
      </c>
      <c r="Y313" s="15"/>
      <c r="Z313" s="13">
        <v>176.65000000000001</v>
      </c>
      <c r="AA313" s="14">
        <f>IFERROR(Z313/Z446, "NA")</f>
      </c>
      <c r="AB313" s="15"/>
      <c r="AC313" s="16">
        <f>IFERROR(-(Q313-Z313), "NA")</f>
      </c>
      <c r="AD313" s="14">
        <f>IFERROR(AC313/AC446, "NA")</f>
      </c>
    </row>
    <row r="314" ht="16.5" customHeight="1">
      <c t="s" r="A314" s="12">
        <v>286</v>
      </c>
      <c r="B314" s="13">
        <v>10</v>
      </c>
      <c r="C314" s="14">
        <f>IFERROR(B314/B446, "NA")</f>
      </c>
      <c r="D314" s="15"/>
      <c r="E314" s="13">
        <v>10</v>
      </c>
      <c r="F314" s="14">
        <f>IFERROR(E314/E446, "NA")</f>
      </c>
      <c r="G314" s="15"/>
      <c r="H314" s="16">
        <f>IFERROR(-(B314-E314), "NA")</f>
      </c>
      <c r="I314" s="14">
        <f>IFERROR(H314/H446, "NA")</f>
      </c>
      <c r="J314" s="15"/>
      <c r="K314" s="13">
        <v>14</v>
      </c>
      <c r="L314" s="14">
        <f>IFERROR(K314/K446, "NA")</f>
      </c>
      <c r="M314" s="15"/>
      <c r="N314" s="16">
        <f>IFERROR(-(B314-K314), "NA")</f>
      </c>
      <c r="O314" s="14">
        <f>IFERROR(N314/N446, "NA")</f>
      </c>
      <c r="P314" s="15"/>
      <c r="Q314" s="13">
        <v>10</v>
      </c>
      <c r="R314" s="14">
        <f>IFERROR(Q314/Q446, "NA")</f>
      </c>
      <c r="S314" s="15"/>
      <c r="T314" s="13">
        <v>10</v>
      </c>
      <c r="U314" s="14">
        <f>IFERROR(T314/T446, "NA")</f>
      </c>
      <c r="V314" s="15"/>
      <c r="W314" s="16">
        <f>IFERROR(-(Q314-T314), "NA")</f>
      </c>
      <c r="X314" s="14">
        <f>IFERROR(W314/W446, "NA")</f>
      </c>
      <c r="Y314" s="15"/>
      <c r="Z314" s="13">
        <v>14</v>
      </c>
      <c r="AA314" s="14">
        <f>IFERROR(Z314/Z446, "NA")</f>
      </c>
      <c r="AB314" s="15"/>
      <c r="AC314" s="16">
        <f>IFERROR(-(Q314-Z314), "NA")</f>
      </c>
      <c r="AD314" s="14">
        <f>IFERROR(AC314/AC446, "NA")</f>
      </c>
    </row>
    <row r="315" hidden="1" ht="16.5" customHeight="1">
      <c t="s" r="A315" s="12">
        <v>287</v>
      </c>
      <c r="B315" s="13">
        <v>0</v>
      </c>
      <c r="C315" s="14">
        <f>IFERROR(B315/B446, "NA")</f>
      </c>
      <c r="D315" s="15"/>
      <c r="E315" s="13">
        <v>0</v>
      </c>
      <c r="F315" s="14">
        <f>IFERROR(E315/E446, "NA")</f>
      </c>
      <c r="G315" s="15"/>
      <c r="H315" s="16">
        <f>IFERROR(-(B315-E315), "NA")</f>
      </c>
      <c r="I315" s="14">
        <f>IFERROR(H315/H446, "NA")</f>
      </c>
      <c r="J315" s="15"/>
      <c r="K315" s="13">
        <v>0</v>
      </c>
      <c r="L315" s="14">
        <f>IFERROR(K315/K446, "NA")</f>
      </c>
      <c r="M315" s="15"/>
      <c r="N315" s="16">
        <f>IFERROR(-(B315-K315), "NA")</f>
      </c>
      <c r="O315" s="14">
        <f>IFERROR(N315/N446, "NA")</f>
      </c>
      <c r="P315" s="15"/>
      <c r="Q315" s="13">
        <v>0</v>
      </c>
      <c r="R315" s="14">
        <f>IFERROR(Q315/Q446, "NA")</f>
      </c>
      <c r="S315" s="15"/>
      <c r="T315" s="13">
        <v>0</v>
      </c>
      <c r="U315" s="14">
        <f>IFERROR(T315/T446, "NA")</f>
      </c>
      <c r="V315" s="15"/>
      <c r="W315" s="16">
        <f>IFERROR(-(Q315-T315), "NA")</f>
      </c>
      <c r="X315" s="14">
        <f>IFERROR(W315/W446, "NA")</f>
      </c>
      <c r="Y315" s="15"/>
      <c r="Z315" s="13">
        <v>0</v>
      </c>
      <c r="AA315" s="14">
        <f>IFERROR(Z315/Z446, "NA")</f>
      </c>
      <c r="AB315" s="15"/>
      <c r="AC315" s="16">
        <f>IFERROR(-(Q315-Z315), "NA")</f>
      </c>
      <c r="AD315" s="14">
        <f>IFERROR(AC315/AC446, "NA")</f>
      </c>
    </row>
    <row r="316" ht="16.5" customHeight="1">
      <c t="s" r="A316" s="12">
        <v>288</v>
      </c>
      <c r="B316" s="13">
        <v>533.33000000000004</v>
      </c>
      <c r="C316" s="14">
        <f>IFERROR(B316/B446, "NA")</f>
      </c>
      <c r="D316" s="15"/>
      <c r="E316" s="13">
        <v>388.45999999999998</v>
      </c>
      <c r="F316" s="14">
        <f>IFERROR(E316/E446, "NA")</f>
      </c>
      <c r="G316" s="15"/>
      <c r="H316" s="16">
        <f>IFERROR(-(B316-E316), "NA")</f>
      </c>
      <c r="I316" s="14">
        <f>IFERROR(H316/H446, "NA")</f>
      </c>
      <c r="J316" s="15"/>
      <c r="K316" s="13">
        <v>0</v>
      </c>
      <c r="L316" s="14">
        <f>IFERROR(K316/K446, "NA")</f>
      </c>
      <c r="M316" s="15"/>
      <c r="N316" s="16">
        <f>IFERROR(-(B316-K316), "NA")</f>
      </c>
      <c r="O316" s="14">
        <f>IFERROR(N316/N446, "NA")</f>
      </c>
      <c r="P316" s="15"/>
      <c r="Q316" s="13">
        <v>533.33000000000004</v>
      </c>
      <c r="R316" s="14">
        <f>IFERROR(Q316/Q446, "NA")</f>
      </c>
      <c r="S316" s="15"/>
      <c r="T316" s="13">
        <v>388.45999999999998</v>
      </c>
      <c r="U316" s="14">
        <f>IFERROR(T316/T446, "NA")</f>
      </c>
      <c r="V316" s="15"/>
      <c r="W316" s="16">
        <f>IFERROR(-(Q316-T316), "NA")</f>
      </c>
      <c r="X316" s="14">
        <f>IFERROR(W316/W446, "NA")</f>
      </c>
      <c r="Y316" s="15"/>
      <c r="Z316" s="13">
        <v>0</v>
      </c>
      <c r="AA316" s="14">
        <f>IFERROR(Z316/Z446, "NA")</f>
      </c>
      <c r="AB316" s="15"/>
      <c r="AC316" s="16">
        <f>IFERROR(-(Q316-Z316), "NA")</f>
      </c>
      <c r="AD316" s="14">
        <f>IFERROR(AC316/AC446, "NA")</f>
      </c>
    </row>
    <row r="317" hidden="1" ht="16.5" customHeight="1">
      <c t="s" r="A317" s="12">
        <v>289</v>
      </c>
      <c r="B317" s="13">
        <v>0</v>
      </c>
      <c r="C317" s="14">
        <f>IFERROR(B317/B446, "NA")</f>
      </c>
      <c r="D317" s="15"/>
      <c r="E317" s="13">
        <v>0</v>
      </c>
      <c r="F317" s="14">
        <f>IFERROR(E317/E446, "NA")</f>
      </c>
      <c r="G317" s="15"/>
      <c r="H317" s="16">
        <f>IFERROR(-(B317-E317), "NA")</f>
      </c>
      <c r="I317" s="14">
        <f>IFERROR(H317/H446, "NA")</f>
      </c>
      <c r="J317" s="15"/>
      <c r="K317" s="13">
        <v>0</v>
      </c>
      <c r="L317" s="14">
        <f>IFERROR(K317/K446, "NA")</f>
      </c>
      <c r="M317" s="15"/>
      <c r="N317" s="16">
        <f>IFERROR(-(B317-K317), "NA")</f>
      </c>
      <c r="O317" s="14">
        <f>IFERROR(N317/N446, "NA")</f>
      </c>
      <c r="P317" s="15"/>
      <c r="Q317" s="13">
        <v>0</v>
      </c>
      <c r="R317" s="14">
        <f>IFERROR(Q317/Q446, "NA")</f>
      </c>
      <c r="S317" s="15"/>
      <c r="T317" s="13">
        <v>0</v>
      </c>
      <c r="U317" s="14">
        <f>IFERROR(T317/T446, "NA")</f>
      </c>
      <c r="V317" s="15"/>
      <c r="W317" s="16">
        <f>IFERROR(-(Q317-T317), "NA")</f>
      </c>
      <c r="X317" s="14">
        <f>IFERROR(W317/W446, "NA")</f>
      </c>
      <c r="Y317" s="15"/>
      <c r="Z317" s="13">
        <v>0</v>
      </c>
      <c r="AA317" s="14">
        <f>IFERROR(Z317/Z446, "NA")</f>
      </c>
      <c r="AB317" s="15"/>
      <c r="AC317" s="16">
        <f>IFERROR(-(Q317-Z317), "NA")</f>
      </c>
      <c r="AD317" s="14">
        <f>IFERROR(AC317/AC446, "NA")</f>
      </c>
    </row>
    <row r="318" hidden="1" ht="16.5" customHeight="1">
      <c t="s" r="A318" s="12">
        <v>290</v>
      </c>
      <c r="B318" s="13">
        <v>0</v>
      </c>
      <c r="C318" s="14">
        <f>IFERROR(B318/B446, "NA")</f>
      </c>
      <c r="D318" s="15"/>
      <c r="E318" s="13">
        <v>0</v>
      </c>
      <c r="F318" s="14">
        <f>IFERROR(E318/E446, "NA")</f>
      </c>
      <c r="G318" s="15"/>
      <c r="H318" s="16">
        <f>IFERROR(-(B318-E318), "NA")</f>
      </c>
      <c r="I318" s="14">
        <f>IFERROR(H318/H446, "NA")</f>
      </c>
      <c r="J318" s="15"/>
      <c r="K318" s="13">
        <v>0</v>
      </c>
      <c r="L318" s="14">
        <f>IFERROR(K318/K446, "NA")</f>
      </c>
      <c r="M318" s="15"/>
      <c r="N318" s="16">
        <f>IFERROR(-(B318-K318), "NA")</f>
      </c>
      <c r="O318" s="14">
        <f>IFERROR(N318/N446, "NA")</f>
      </c>
      <c r="P318" s="15"/>
      <c r="Q318" s="13">
        <v>0</v>
      </c>
      <c r="R318" s="14">
        <f>IFERROR(Q318/Q446, "NA")</f>
      </c>
      <c r="S318" s="15"/>
      <c r="T318" s="13">
        <v>0</v>
      </c>
      <c r="U318" s="14">
        <f>IFERROR(T318/T446, "NA")</f>
      </c>
      <c r="V318" s="15"/>
      <c r="W318" s="16">
        <f>IFERROR(-(Q318-T318), "NA")</f>
      </c>
      <c r="X318" s="14">
        <f>IFERROR(W318/W446, "NA")</f>
      </c>
      <c r="Y318" s="15"/>
      <c r="Z318" s="13">
        <v>0</v>
      </c>
      <c r="AA318" s="14">
        <f>IFERROR(Z318/Z446, "NA")</f>
      </c>
      <c r="AB318" s="15"/>
      <c r="AC318" s="16">
        <f>IFERROR(-(Q318-Z318), "NA")</f>
      </c>
      <c r="AD318" s="14">
        <f>IFERROR(AC318/AC446, "NA")</f>
      </c>
    </row>
    <row r="319" hidden="1" ht="16.5" customHeight="1">
      <c t="s" r="A319" s="12">
        <v>291</v>
      </c>
      <c r="B319" s="13">
        <v>0</v>
      </c>
      <c r="C319" s="14">
        <f>IFERROR(B319/B446, "NA")</f>
      </c>
      <c r="D319" s="15"/>
      <c r="E319" s="13">
        <v>0</v>
      </c>
      <c r="F319" s="14">
        <f>IFERROR(E319/E446, "NA")</f>
      </c>
      <c r="G319" s="15"/>
      <c r="H319" s="16">
        <f>IFERROR(-(B319-E319), "NA")</f>
      </c>
      <c r="I319" s="14">
        <f>IFERROR(H319/H446, "NA")</f>
      </c>
      <c r="J319" s="15"/>
      <c r="K319" s="13">
        <v>0</v>
      </c>
      <c r="L319" s="14">
        <f>IFERROR(K319/K446, "NA")</f>
      </c>
      <c r="M319" s="15"/>
      <c r="N319" s="16">
        <f>IFERROR(-(B319-K319), "NA")</f>
      </c>
      <c r="O319" s="14">
        <f>IFERROR(N319/N446, "NA")</f>
      </c>
      <c r="P319" s="15"/>
      <c r="Q319" s="13">
        <v>0</v>
      </c>
      <c r="R319" s="14">
        <f>IFERROR(Q319/Q446, "NA")</f>
      </c>
      <c r="S319" s="15"/>
      <c r="T319" s="13">
        <v>0</v>
      </c>
      <c r="U319" s="14">
        <f>IFERROR(T319/T446, "NA")</f>
      </c>
      <c r="V319" s="15"/>
      <c r="W319" s="16">
        <f>IFERROR(-(Q319-T319), "NA")</f>
      </c>
      <c r="X319" s="14">
        <f>IFERROR(W319/W446, "NA")</f>
      </c>
      <c r="Y319" s="15"/>
      <c r="Z319" s="13">
        <v>0</v>
      </c>
      <c r="AA319" s="14">
        <f>IFERROR(Z319/Z446, "NA")</f>
      </c>
      <c r="AB319" s="15"/>
      <c r="AC319" s="16">
        <f>IFERROR(-(Q319-Z319), "NA")</f>
      </c>
      <c r="AD319" s="14">
        <f>IFERROR(AC319/AC446, "NA")</f>
      </c>
    </row>
    <row r="320" ht="16.5" customHeight="1">
      <c t="s" r="A320" s="12">
        <v>292</v>
      </c>
      <c r="B320" s="13">
        <v>317.32999999999998</v>
      </c>
      <c r="C320" s="14">
        <f>IFERROR(B320/B446, "NA")</f>
      </c>
      <c r="D320" s="15"/>
      <c r="E320" s="13">
        <v>308</v>
      </c>
      <c r="F320" s="14">
        <f>IFERROR(E320/E446, "NA")</f>
      </c>
      <c r="G320" s="15"/>
      <c r="H320" s="16">
        <f>IFERROR(-(B320-E320), "NA")</f>
      </c>
      <c r="I320" s="14">
        <f>IFERROR(H320/H446, "NA")</f>
      </c>
      <c r="J320" s="15"/>
      <c r="K320" s="13">
        <v>245.81999999999999</v>
      </c>
      <c r="L320" s="14">
        <f>IFERROR(K320/K446, "NA")</f>
      </c>
      <c r="M320" s="15"/>
      <c r="N320" s="16">
        <f>IFERROR(-(B320-K320), "NA")</f>
      </c>
      <c r="O320" s="14">
        <f>IFERROR(N320/N446, "NA")</f>
      </c>
      <c r="P320" s="15"/>
      <c r="Q320" s="13">
        <v>317.32999999999998</v>
      </c>
      <c r="R320" s="14">
        <f>IFERROR(Q320/Q446, "NA")</f>
      </c>
      <c r="S320" s="15"/>
      <c r="T320" s="13">
        <v>308</v>
      </c>
      <c r="U320" s="14">
        <f>IFERROR(T320/T446, "NA")</f>
      </c>
      <c r="V320" s="15"/>
      <c r="W320" s="16">
        <f>IFERROR(-(Q320-T320), "NA")</f>
      </c>
      <c r="X320" s="14">
        <f>IFERROR(W320/W446, "NA")</f>
      </c>
      <c r="Y320" s="15"/>
      <c r="Z320" s="13">
        <v>245.81999999999999</v>
      </c>
      <c r="AA320" s="14">
        <f>IFERROR(Z320/Z446, "NA")</f>
      </c>
      <c r="AB320" s="15"/>
      <c r="AC320" s="16">
        <f>IFERROR(-(Q320-Z320), "NA")</f>
      </c>
      <c r="AD320" s="14">
        <f>IFERROR(AC320/AC446, "NA")</f>
      </c>
    </row>
    <row r="321" ht="16.5" customHeight="1">
      <c t="s" r="A321" s="12">
        <v>293</v>
      </c>
      <c r="B321" s="13">
        <v>1185.6400000000001</v>
      </c>
      <c r="C321" s="14">
        <f>IFERROR(B321/B446, "NA")</f>
      </c>
      <c r="D321" s="15"/>
      <c r="E321" s="13">
        <v>1186</v>
      </c>
      <c r="F321" s="14">
        <f>IFERROR(E321/E446, "NA")</f>
      </c>
      <c r="G321" s="15"/>
      <c r="H321" s="16">
        <f>IFERROR(-(B321-E321), "NA")</f>
      </c>
      <c r="I321" s="14">
        <f>IFERROR(H321/H446, "NA")</f>
      </c>
      <c r="J321" s="15"/>
      <c r="K321" s="13">
        <v>1081.0699999999999</v>
      </c>
      <c r="L321" s="14">
        <f>IFERROR(K321/K446, "NA")</f>
      </c>
      <c r="M321" s="15"/>
      <c r="N321" s="16">
        <f>IFERROR(-(B321-K321), "NA")</f>
      </c>
      <c r="O321" s="14">
        <f>IFERROR(N321/N446, "NA")</f>
      </c>
      <c r="P321" s="15"/>
      <c r="Q321" s="13">
        <v>1185.6400000000001</v>
      </c>
      <c r="R321" s="14">
        <f>IFERROR(Q321/Q446, "NA")</f>
      </c>
      <c r="S321" s="15"/>
      <c r="T321" s="13">
        <v>1186</v>
      </c>
      <c r="U321" s="14">
        <f>IFERROR(T321/T446, "NA")</f>
      </c>
      <c r="V321" s="15"/>
      <c r="W321" s="16">
        <f>IFERROR(-(Q321-T321), "NA")</f>
      </c>
      <c r="X321" s="14">
        <f>IFERROR(W321/W446, "NA")</f>
      </c>
      <c r="Y321" s="15"/>
      <c r="Z321" s="13">
        <v>1081.0699999999999</v>
      </c>
      <c r="AA321" s="14">
        <f>IFERROR(Z321/Z446, "NA")</f>
      </c>
      <c r="AB321" s="15"/>
      <c r="AC321" s="16">
        <f>IFERROR(-(Q321-Z321), "NA")</f>
      </c>
      <c r="AD321" s="14">
        <f>IFERROR(AC321/AC446, "NA")</f>
      </c>
    </row>
    <row r="322" ht="16.5" customHeight="1">
      <c t="s" r="A322" s="12">
        <v>294</v>
      </c>
      <c r="B322" s="13">
        <v>1219.98</v>
      </c>
      <c r="C322" s="14">
        <f>IFERROR(B322/B446, "NA")</f>
      </c>
      <c r="D322" s="15"/>
      <c r="E322" s="13">
        <v>1359.5999999999999</v>
      </c>
      <c r="F322" s="14">
        <f>IFERROR(E322/E446, "NA")</f>
      </c>
      <c r="G322" s="15"/>
      <c r="H322" s="16">
        <f>IFERROR(-(B322-E322), "NA")</f>
      </c>
      <c r="I322" s="14">
        <f>IFERROR(H322/H446, "NA")</f>
      </c>
      <c r="J322" s="15"/>
      <c r="K322" s="13">
        <v>3914.4200000000001</v>
      </c>
      <c r="L322" s="14">
        <f>IFERROR(K322/K446, "NA")</f>
      </c>
      <c r="M322" s="15"/>
      <c r="N322" s="16">
        <f>IFERROR(-(B322-K322), "NA")</f>
      </c>
      <c r="O322" s="14">
        <f>IFERROR(N322/N446, "NA")</f>
      </c>
      <c r="P322" s="15"/>
      <c r="Q322" s="13">
        <v>1219.98</v>
      </c>
      <c r="R322" s="14">
        <f>IFERROR(Q322/Q446, "NA")</f>
      </c>
      <c r="S322" s="15"/>
      <c r="T322" s="13">
        <v>1359.5999999999999</v>
      </c>
      <c r="U322" s="14">
        <f>IFERROR(T322/T446, "NA")</f>
      </c>
      <c r="V322" s="15"/>
      <c r="W322" s="16">
        <f>IFERROR(-(Q322-T322), "NA")</f>
      </c>
      <c r="X322" s="14">
        <f>IFERROR(W322/W446, "NA")</f>
      </c>
      <c r="Y322" s="15"/>
      <c r="Z322" s="13">
        <v>3914.4200000000001</v>
      </c>
      <c r="AA322" s="14">
        <f>IFERROR(Z322/Z446, "NA")</f>
      </c>
      <c r="AB322" s="15"/>
      <c r="AC322" s="16">
        <f>IFERROR(-(Q322-Z322), "NA")</f>
      </c>
      <c r="AD322" s="14">
        <f>IFERROR(AC322/AC446, "NA")</f>
      </c>
    </row>
    <row r="323" ht="16.5" customHeight="1">
      <c t="s" r="A323" s="12">
        <v>295</v>
      </c>
      <c r="B323" s="13">
        <v>368.00999999999999</v>
      </c>
      <c r="C323" s="14">
        <f>IFERROR(B323/B446, "NA")</f>
      </c>
      <c r="D323" s="15"/>
      <c r="E323" s="13">
        <v>252</v>
      </c>
      <c r="F323" s="14">
        <f>IFERROR(E323/E446, "NA")</f>
      </c>
      <c r="G323" s="15"/>
      <c r="H323" s="16">
        <f>IFERROR(-(B323-E323), "NA")</f>
      </c>
      <c r="I323" s="14">
        <f>IFERROR(H323/H446, "NA")</f>
      </c>
      <c r="J323" s="15"/>
      <c r="K323" s="13">
        <v>269.19999999999999</v>
      </c>
      <c r="L323" s="14">
        <f>IFERROR(K323/K446, "NA")</f>
      </c>
      <c r="M323" s="15"/>
      <c r="N323" s="16">
        <f>IFERROR(-(B323-K323), "NA")</f>
      </c>
      <c r="O323" s="14">
        <f>IFERROR(N323/N446, "NA")</f>
      </c>
      <c r="P323" s="15"/>
      <c r="Q323" s="13">
        <v>368.00999999999999</v>
      </c>
      <c r="R323" s="14">
        <f>IFERROR(Q323/Q446, "NA")</f>
      </c>
      <c r="S323" s="15"/>
      <c r="T323" s="13">
        <v>252</v>
      </c>
      <c r="U323" s="14">
        <f>IFERROR(T323/T446, "NA")</f>
      </c>
      <c r="V323" s="15"/>
      <c r="W323" s="16">
        <f>IFERROR(-(Q323-T323), "NA")</f>
      </c>
      <c r="X323" s="14">
        <f>IFERROR(W323/W446, "NA")</f>
      </c>
      <c r="Y323" s="15"/>
      <c r="Z323" s="13">
        <v>269.19999999999999</v>
      </c>
      <c r="AA323" s="14">
        <f>IFERROR(Z323/Z446, "NA")</f>
      </c>
      <c r="AB323" s="15"/>
      <c r="AC323" s="16">
        <f>IFERROR(-(Q323-Z323), "NA")</f>
      </c>
      <c r="AD323" s="14">
        <f>IFERROR(AC323/AC446, "NA")</f>
      </c>
    </row>
    <row r="324" hidden="1" ht="16.5" customHeight="1">
      <c t="s" r="A324" s="12">
        <v>296</v>
      </c>
      <c r="B324" s="13">
        <v>0</v>
      </c>
      <c r="C324" s="14">
        <f>IFERROR(B324/B446, "NA")</f>
      </c>
      <c r="D324" s="15"/>
      <c r="E324" s="13">
        <v>0</v>
      </c>
      <c r="F324" s="14">
        <f>IFERROR(E324/E446, "NA")</f>
      </c>
      <c r="G324" s="15"/>
      <c r="H324" s="16">
        <f>IFERROR(-(B324-E324), "NA")</f>
      </c>
      <c r="I324" s="14">
        <f>IFERROR(H324/H446, "NA")</f>
      </c>
      <c r="J324" s="15"/>
      <c r="K324" s="13">
        <v>0</v>
      </c>
      <c r="L324" s="14">
        <f>IFERROR(K324/K446, "NA")</f>
      </c>
      <c r="M324" s="15"/>
      <c r="N324" s="16">
        <f>IFERROR(-(B324-K324), "NA")</f>
      </c>
      <c r="O324" s="14">
        <f>IFERROR(N324/N446, "NA")</f>
      </c>
      <c r="P324" s="15"/>
      <c r="Q324" s="13">
        <v>0</v>
      </c>
      <c r="R324" s="14">
        <f>IFERROR(Q324/Q446, "NA")</f>
      </c>
      <c r="S324" s="15"/>
      <c r="T324" s="13">
        <v>0</v>
      </c>
      <c r="U324" s="14">
        <f>IFERROR(T324/T446, "NA")</f>
      </c>
      <c r="V324" s="15"/>
      <c r="W324" s="16">
        <f>IFERROR(-(Q324-T324), "NA")</f>
      </c>
      <c r="X324" s="14">
        <f>IFERROR(W324/W446, "NA")</f>
      </c>
      <c r="Y324" s="15"/>
      <c r="Z324" s="13">
        <v>0</v>
      </c>
      <c r="AA324" s="14">
        <f>IFERROR(Z324/Z446, "NA")</f>
      </c>
      <c r="AB324" s="15"/>
      <c r="AC324" s="16">
        <f>IFERROR(-(Q324-Z324), "NA")</f>
      </c>
      <c r="AD324" s="14">
        <f>IFERROR(AC324/AC446, "NA")</f>
      </c>
    </row>
    <row r="325" ht="16.5" customHeight="1">
      <c t="s" r="A325" s="25">
        <v>297</v>
      </c>
      <c r="B325" s="20">
        <f>IFERROR(B298+B299+B300+B301+B302+B303+B304+B305+B306+B307+B308+B309+B310+B311+B312+B313+B314+B315+B316+B317+B318+B319+B320+B321+B322+B323+B324, "NA")</f>
      </c>
      <c r="C325" s="21">
        <f>IFERROR(B325/B446, "NA")</f>
      </c>
      <c r="D325" s="8"/>
      <c r="E325" s="20">
        <f>IFERROR(E298+E299+E300+E301+E302+E303+E304+E305+E306+E307+E308+E309+E310+E311+E312+E313+E314+E315+E316+E317+E318+E319+E320+E321+E322+E323+E324, "NA")</f>
      </c>
      <c r="F325" s="21">
        <f>IFERROR(E325/E446, "NA")</f>
      </c>
      <c r="G325" s="8"/>
      <c r="H325" s="20">
        <f>IFERROR(-(B325-E325), "NA")</f>
      </c>
      <c r="I325" s="21">
        <f>IFERROR(H325/H446, "NA")</f>
      </c>
      <c r="J325" s="8"/>
      <c r="K325" s="20">
        <f>IFERROR(K298+K299+K300+K301+K302+K303+K304+K305+K306+K307+K308+K309+K310+K311+K312+K313+K314+K315+K316+K317+K318+K319+K320+K321+K322+K323+K324, "NA")</f>
      </c>
      <c r="L325" s="21">
        <f>IFERROR(K325/K446, "NA")</f>
      </c>
      <c r="M325" s="8"/>
      <c r="N325" s="20">
        <f>IFERROR(-(B325-K325), "NA")</f>
      </c>
      <c r="O325" s="21">
        <f>IFERROR(N325/N446, "NA")</f>
      </c>
      <c r="P325" s="8"/>
      <c r="Q325" s="20">
        <f>IFERROR(Q298+Q299+Q300+Q301+Q302+Q303+Q304+Q305+Q306+Q307+Q308+Q309+Q310+Q311+Q312+Q313+Q314+Q315+Q316+Q317+Q318+Q319+Q320+Q321+Q322+Q323+Q324, "NA")</f>
      </c>
      <c r="R325" s="21">
        <f>IFERROR(Q325/Q446, "NA")</f>
      </c>
      <c r="S325" s="8"/>
      <c r="T325" s="20">
        <f>IFERROR(T298+T299+T300+T301+T302+T303+T304+T305+T306+T307+T308+T309+T310+T311+T312+T313+T314+T315+T316+T317+T318+T319+T320+T321+T322+T323+T324, "NA")</f>
      </c>
      <c r="U325" s="21">
        <f>IFERROR(T325/T446, "NA")</f>
      </c>
      <c r="V325" s="8"/>
      <c r="W325" s="20">
        <f>IFERROR(-(Q325-T325), "NA")</f>
      </c>
      <c r="X325" s="21">
        <f>IFERROR(W325/W446, "NA")</f>
      </c>
      <c r="Y325" s="8"/>
      <c r="Z325" s="20">
        <f>IFERROR(Z298+Z299+Z300+Z301+Z302+Z303+Z304+Z305+Z306+Z307+Z308+Z309+Z310+Z311+Z312+Z313+Z314+Z315+Z316+Z317+Z318+Z319+Z320+Z321+Z322+Z323+Z324, "NA")</f>
      </c>
      <c r="AA325" s="21">
        <f>IFERROR(Z325/Z446, "NA")</f>
      </c>
      <c r="AB325" s="8"/>
      <c r="AC325" s="20">
        <f>IFERROR(-(Q325-Z325), "NA")</f>
      </c>
      <c r="AD325" s="21">
        <f>IFERROR(AC325/AC446, "NA")</f>
      </c>
    </row>
    <row r="326" ht="16.5" customHeight="1">
      <c t="s" r="A326" s="27">
        <v>298</v>
      </c>
      <c r="B326" s="20">
        <f>IFERROR(B201+B202+B203+B204+B205+B206+B207+B208+B211+B213+B214+B215+B216+B217+B219+B220+B221+B222+B223+B224+B225+B226+B229+B230+B231+B232+B233+B234+B235+B238+B240+B241+B242+B243+B244+B245+B246+B247+B248+B249+B250+B251+B252+B253+B254+B255+B256+B257+B258+B259+B260+B261+B262+B266+B267+B270+B271+B272+B273+B276+B277+B278+B279+B280+B281+B282+B283+B284+B287+B288+B289+B290+B291+B292+B293+B294+B295+B298+B299+B300+B301+B302+B303+B304+B305+B306+B307+B308+B309+B310+B311+B312+B313+B314+B315+B316+B317+B318+B319+B320+B321+B322+B323+B324, "NA")</f>
      </c>
      <c r="C326" s="21">
        <f>IFERROR(B326/B446, "NA")</f>
      </c>
      <c r="D326" s="8"/>
      <c r="E326" s="20">
        <f>IFERROR(E201+E202+E203+E204+E205+E206+E207+E208+E211+E213+E214+E215+E216+E217+E219+E220+E221+E222+E223+E224+E225+E226+E229+E230+E231+E232+E233+E234+E235+E238+E240+E241+E242+E243+E244+E245+E246+E247+E248+E249+E250+E251+E252+E253+E254+E255+E256+E257+E258+E259+E260+E261+E262+E266+E267+E270+E271+E272+E273+E276+E277+E278+E279+E280+E281+E282+E283+E284+E287+E288+E289+E290+E291+E292+E293+E294+E295+E298+E299+E300+E301+E302+E303+E304+E305+E306+E307+E308+E309+E310+E311+E312+E313+E314+E315+E316+E317+E318+E319+E320+E321+E322+E323+E324, "NA")</f>
      </c>
      <c r="F326" s="21">
        <f>IFERROR(E326/E446, "NA")</f>
      </c>
      <c r="G326" s="8"/>
      <c r="H326" s="20">
        <f>IFERROR(-(B326-E326), "NA")</f>
      </c>
      <c r="I326" s="21">
        <f>IFERROR(H326/H446, "NA")</f>
      </c>
      <c r="J326" s="8"/>
      <c r="K326" s="20">
        <f>IFERROR(K201+K202+K203+K204+K205+K206+K207+K208+K211+K213+K214+K215+K216+K217+K219+K220+K221+K222+K223+K224+K225+K226+K229+K230+K231+K232+K233+K234+K235+K238+K240+K241+K242+K243+K244+K245+K246+K247+K248+K249+K250+K251+K252+K253+K254+K255+K256+K257+K258+K259+K260+K261+K262+K266+K267+K270+K271+K272+K273+K276+K277+K278+K279+K280+K281+K282+K283+K284+K287+K288+K289+K290+K291+K292+K293+K294+K295+K298+K299+K300+K301+K302+K303+K304+K305+K306+K307+K308+K309+K310+K311+K312+K313+K314+K315+K316+K317+K318+K319+K320+K321+K322+K323+K324, "NA")</f>
      </c>
      <c r="L326" s="21">
        <f>IFERROR(K326/K446, "NA")</f>
      </c>
      <c r="M326" s="8"/>
      <c r="N326" s="20">
        <f>IFERROR(-(B326-K326), "NA")</f>
      </c>
      <c r="O326" s="21">
        <f>IFERROR(N326/N446, "NA")</f>
      </c>
      <c r="P326" s="8"/>
      <c r="Q326" s="20">
        <f>IFERROR(Q201+Q202+Q203+Q204+Q205+Q206+Q207+Q208+Q211+Q213+Q214+Q215+Q216+Q217+Q219+Q220+Q221+Q222+Q223+Q224+Q225+Q226+Q229+Q230+Q231+Q232+Q233+Q234+Q235+Q238+Q240+Q241+Q242+Q243+Q244+Q245+Q246+Q247+Q248+Q249+Q250+Q251+Q252+Q253+Q254+Q255+Q256+Q257+Q258+Q259+Q260+Q261+Q262+Q266+Q267+Q270+Q271+Q272+Q273+Q276+Q277+Q278+Q279+Q280+Q281+Q282+Q283+Q284+Q287+Q288+Q289+Q290+Q291+Q292+Q293+Q294+Q295+Q298+Q299+Q300+Q301+Q302+Q303+Q304+Q305+Q306+Q307+Q308+Q309+Q310+Q311+Q312+Q313+Q314+Q315+Q316+Q317+Q318+Q319+Q320+Q321+Q322+Q323+Q324, "NA")</f>
      </c>
      <c r="R326" s="21">
        <f>IFERROR(Q326/Q446, "NA")</f>
      </c>
      <c r="S326" s="8"/>
      <c r="T326" s="20">
        <f>IFERROR(T201+T202+T203+T204+T205+T206+T207+T208+T211+T213+T214+T215+T216+T217+T219+T220+T221+T222+T223+T224+T225+T226+T229+T230+T231+T232+T233+T234+T235+T238+T240+T241+T242+T243+T244+T245+T246+T247+T248+T249+T250+T251+T252+T253+T254+T255+T256+T257+T258+T259+T260+T261+T262+T266+T267+T270+T271+T272+T273+T276+T277+T278+T279+T280+T281+T282+T283+T284+T287+T288+T289+T290+T291+T292+T293+T294+T295+T298+T299+T300+T301+T302+T303+T304+T305+T306+T307+T308+T309+T310+T311+T312+T313+T314+T315+T316+T317+T318+T319+T320+T321+T322+T323+T324, "NA")</f>
      </c>
      <c r="U326" s="21">
        <f>IFERROR(T326/T446, "NA")</f>
      </c>
      <c r="V326" s="8"/>
      <c r="W326" s="20">
        <f>IFERROR(-(Q326-T326), "NA")</f>
      </c>
      <c r="X326" s="21">
        <f>IFERROR(W326/W446, "NA")</f>
      </c>
      <c r="Y326" s="8"/>
      <c r="Z326" s="20">
        <f>IFERROR(Z201+Z202+Z203+Z204+Z205+Z206+Z207+Z208+Z211+Z213+Z214+Z215+Z216+Z217+Z219+Z220+Z221+Z222+Z223+Z224+Z225+Z226+Z229+Z230+Z231+Z232+Z233+Z234+Z235+Z238+Z240+Z241+Z242+Z243+Z244+Z245+Z246+Z247+Z248+Z249+Z250+Z251+Z252+Z253+Z254+Z255+Z256+Z257+Z258+Z259+Z260+Z261+Z262+Z266+Z267+Z270+Z271+Z272+Z273+Z276+Z277+Z278+Z279+Z280+Z281+Z282+Z283+Z284+Z287+Z288+Z289+Z290+Z291+Z292+Z293+Z294+Z295+Z298+Z299+Z300+Z301+Z302+Z303+Z304+Z305+Z306+Z307+Z308+Z309+Z310+Z311+Z312+Z313+Z314+Z315+Z316+Z317+Z318+Z319+Z320+Z321+Z322+Z323+Z324, "NA")</f>
      </c>
      <c r="AA326" s="21">
        <f>IFERROR(Z326/Z446, "NA")</f>
      </c>
      <c r="AB326" s="8"/>
      <c r="AC326" s="20">
        <f>IFERROR(-(Q326-Z326), "NA")</f>
      </c>
      <c r="AD326" s="21">
        <f>IFERROR(AC326/AC446, "NA")</f>
      </c>
    </row>
    <row r="327" ht="16.5" customHeight="1">
      <c t="s" r="A327" s="7">
        <v>299</v>
      </c>
      <c r="B327" s="8"/>
      <c r="C327" s="9"/>
      <c r="D327" s="10"/>
      <c r="E327" s="8"/>
      <c r="F327" s="9"/>
      <c r="G327" s="10"/>
      <c r="H327" s="8"/>
      <c r="I327" s="9"/>
      <c r="J327" s="10"/>
      <c r="K327" s="8"/>
      <c r="L327" s="9"/>
      <c r="M327" s="10"/>
      <c r="N327" s="8"/>
      <c r="O327" s="9"/>
      <c r="P327" s="10"/>
      <c r="Q327" s="8"/>
      <c r="R327" s="9"/>
      <c r="S327" s="10"/>
      <c r="T327" s="8"/>
      <c r="U327" s="9"/>
      <c r="V327" s="10"/>
      <c r="W327" s="8"/>
      <c r="X327" s="9"/>
      <c r="Y327" s="10"/>
      <c r="Z327" s="8"/>
      <c r="AA327" s="9"/>
      <c r="AB327" s="10"/>
      <c r="AC327" s="8"/>
      <c r="AD327" s="9"/>
    </row>
    <row r="328" ht="16.5" customHeight="1">
      <c t="s" r="A328" s="11">
        <v>300</v>
      </c>
      <c r="B328" s="8"/>
      <c r="C328" s="9"/>
      <c r="D328" s="10"/>
      <c r="E328" s="8"/>
      <c r="F328" s="9"/>
      <c r="G328" s="10"/>
      <c r="H328" s="8"/>
      <c r="I328" s="9"/>
      <c r="J328" s="10"/>
      <c r="K328" s="8"/>
      <c r="L328" s="9"/>
      <c r="M328" s="10"/>
      <c r="N328" s="8"/>
      <c r="O328" s="9"/>
      <c r="P328" s="10"/>
      <c r="Q328" s="8"/>
      <c r="R328" s="9"/>
      <c r="S328" s="10"/>
      <c r="T328" s="8"/>
      <c r="U328" s="9"/>
      <c r="V328" s="10"/>
      <c r="W328" s="8"/>
      <c r="X328" s="9"/>
      <c r="Y328" s="10"/>
      <c r="Z328" s="8"/>
      <c r="AA328" s="9"/>
      <c r="AB328" s="10"/>
      <c r="AC328" s="8"/>
      <c r="AD328" s="9"/>
    </row>
    <row r="329" hidden="1" ht="16.5" customHeight="1">
      <c t="s" r="A329" s="12">
        <v>300</v>
      </c>
      <c r="B329" s="13">
        <v>0</v>
      </c>
      <c r="C329" s="14">
        <f>IFERROR(B329/B446, "NA")</f>
      </c>
      <c r="D329" s="15"/>
      <c r="E329" s="13">
        <v>0</v>
      </c>
      <c r="F329" s="14">
        <f>IFERROR(E329/E446, "NA")</f>
      </c>
      <c r="G329" s="15"/>
      <c r="H329" s="16">
        <f>IFERROR(-(B329-E329), "NA")</f>
      </c>
      <c r="I329" s="14">
        <f>IFERROR(H329/H446, "NA")</f>
      </c>
      <c r="J329" s="15"/>
      <c r="K329" s="13">
        <v>0</v>
      </c>
      <c r="L329" s="14">
        <f>IFERROR(K329/K446, "NA")</f>
      </c>
      <c r="M329" s="15"/>
      <c r="N329" s="16">
        <f>IFERROR(-(B329-K329), "NA")</f>
      </c>
      <c r="O329" s="14">
        <f>IFERROR(N329/N446, "NA")</f>
      </c>
      <c r="P329" s="15"/>
      <c r="Q329" s="13">
        <v>0</v>
      </c>
      <c r="R329" s="14">
        <f>IFERROR(Q329/Q446, "NA")</f>
      </c>
      <c r="S329" s="15"/>
      <c r="T329" s="13">
        <v>0</v>
      </c>
      <c r="U329" s="14">
        <f>IFERROR(T329/T446, "NA")</f>
      </c>
      <c r="V329" s="15"/>
      <c r="W329" s="16">
        <f>IFERROR(-(Q329-T329), "NA")</f>
      </c>
      <c r="X329" s="14">
        <f>IFERROR(W329/W446, "NA")</f>
      </c>
      <c r="Y329" s="15"/>
      <c r="Z329" s="13">
        <v>0</v>
      </c>
      <c r="AA329" s="14">
        <f>IFERROR(Z329/Z446, "NA")</f>
      </c>
      <c r="AB329" s="15"/>
      <c r="AC329" s="16">
        <f>IFERROR(-(Q329-Z329), "NA")</f>
      </c>
      <c r="AD329" s="14">
        <f>IFERROR(AC329/AC446, "NA")</f>
      </c>
    </row>
    <row r="330" ht="16.5" customHeight="1">
      <c t="s" r="A330" s="12">
        <v>301</v>
      </c>
      <c r="B330" s="13">
        <v>20059.040000000001</v>
      </c>
      <c r="C330" s="14">
        <f>IFERROR(B330/B446, "NA")</f>
      </c>
      <c r="D330" s="15"/>
      <c r="E330" s="13">
        <v>20059.040000000001</v>
      </c>
      <c r="F330" s="14">
        <f>IFERROR(E330/E446, "NA")</f>
      </c>
      <c r="G330" s="15"/>
      <c r="H330" s="16">
        <f>IFERROR(-(B330-E330), "NA")</f>
      </c>
      <c r="I330" s="14">
        <f>IFERROR(H330/H446, "NA")</f>
      </c>
      <c r="J330" s="15"/>
      <c r="K330" s="13">
        <v>19569.790000000001</v>
      </c>
      <c r="L330" s="14">
        <f>IFERROR(K330/K446, "NA")</f>
      </c>
      <c r="M330" s="15"/>
      <c r="N330" s="16">
        <f>IFERROR(-(B330-K330), "NA")</f>
      </c>
      <c r="O330" s="14">
        <f>IFERROR(N330/N446, "NA")</f>
      </c>
      <c r="P330" s="15"/>
      <c r="Q330" s="13">
        <v>20059.040000000001</v>
      </c>
      <c r="R330" s="14">
        <f>IFERROR(Q330/Q446, "NA")</f>
      </c>
      <c r="S330" s="15"/>
      <c r="T330" s="13">
        <v>20059.040000000001</v>
      </c>
      <c r="U330" s="14">
        <f>IFERROR(T330/T446, "NA")</f>
      </c>
      <c r="V330" s="15"/>
      <c r="W330" s="16">
        <f>IFERROR(-(Q330-T330), "NA")</f>
      </c>
      <c r="X330" s="14">
        <f>IFERROR(W330/W446, "NA")</f>
      </c>
      <c r="Y330" s="15"/>
      <c r="Z330" s="13">
        <v>19569.790000000001</v>
      </c>
      <c r="AA330" s="14">
        <f>IFERROR(Z330/Z446, "NA")</f>
      </c>
      <c r="AB330" s="15"/>
      <c r="AC330" s="16">
        <f>IFERROR(-(Q330-Z330), "NA")</f>
      </c>
      <c r="AD330" s="14">
        <f>IFERROR(AC330/AC446, "NA")</f>
      </c>
    </row>
    <row r="331" ht="16.5" customHeight="1">
      <c t="s" r="A331" s="12">
        <v>302</v>
      </c>
      <c r="B331" s="13">
        <v>658.50999999999999</v>
      </c>
      <c r="C331" s="14">
        <f>IFERROR(B331/B446, "NA")</f>
      </c>
      <c r="D331" s="15"/>
      <c r="E331" s="13">
        <v>658.50999999999999</v>
      </c>
      <c r="F331" s="14">
        <f>IFERROR(E331/E446, "NA")</f>
      </c>
      <c r="G331" s="15"/>
      <c r="H331" s="16">
        <f>IFERROR(-(B331-E331), "NA")</f>
      </c>
      <c r="I331" s="14">
        <f>IFERROR(H331/H446, "NA")</f>
      </c>
      <c r="J331" s="15"/>
      <c r="K331" s="13">
        <v>658.50999999999999</v>
      </c>
      <c r="L331" s="14">
        <f>IFERROR(K331/K446, "NA")</f>
      </c>
      <c r="M331" s="15"/>
      <c r="N331" s="16">
        <f>IFERROR(-(B331-K331), "NA")</f>
      </c>
      <c r="O331" s="14">
        <f>IFERROR(N331/N446, "NA")</f>
      </c>
      <c r="P331" s="15"/>
      <c r="Q331" s="13">
        <v>658.50999999999999</v>
      </c>
      <c r="R331" s="14">
        <f>IFERROR(Q331/Q446, "NA")</f>
      </c>
      <c r="S331" s="15"/>
      <c r="T331" s="13">
        <v>658.50999999999999</v>
      </c>
      <c r="U331" s="14">
        <f>IFERROR(T331/T446, "NA")</f>
      </c>
      <c r="V331" s="15"/>
      <c r="W331" s="16">
        <f>IFERROR(-(Q331-T331), "NA")</f>
      </c>
      <c r="X331" s="14">
        <f>IFERROR(W331/W446, "NA")</f>
      </c>
      <c r="Y331" s="15"/>
      <c r="Z331" s="13">
        <v>658.50999999999999</v>
      </c>
      <c r="AA331" s="14">
        <f>IFERROR(Z331/Z446, "NA")</f>
      </c>
      <c r="AB331" s="15"/>
      <c r="AC331" s="16">
        <f>IFERROR(-(Q331-Z331), "NA")</f>
      </c>
      <c r="AD331" s="14">
        <f>IFERROR(AC331/AC446, "NA")</f>
      </c>
    </row>
    <row r="332" hidden="1" ht="16.5" customHeight="1">
      <c t="s" r="A332" s="12">
        <v>303</v>
      </c>
      <c r="B332" s="13">
        <v>0</v>
      </c>
      <c r="C332" s="14">
        <f>IFERROR(B332/B446, "NA")</f>
      </c>
      <c r="D332" s="15"/>
      <c r="E332" s="13">
        <v>0</v>
      </c>
      <c r="F332" s="14">
        <f>IFERROR(E332/E446, "NA")</f>
      </c>
      <c r="G332" s="15"/>
      <c r="H332" s="16">
        <f>IFERROR(-(B332-E332), "NA")</f>
      </c>
      <c r="I332" s="14">
        <f>IFERROR(H332/H446, "NA")</f>
      </c>
      <c r="J332" s="15"/>
      <c r="K332" s="13">
        <v>0</v>
      </c>
      <c r="L332" s="14">
        <f>IFERROR(K332/K446, "NA")</f>
      </c>
      <c r="M332" s="15"/>
      <c r="N332" s="16">
        <f>IFERROR(-(B332-K332), "NA")</f>
      </c>
      <c r="O332" s="14">
        <f>IFERROR(N332/N446, "NA")</f>
      </c>
      <c r="P332" s="15"/>
      <c r="Q332" s="13">
        <v>0</v>
      </c>
      <c r="R332" s="14">
        <f>IFERROR(Q332/Q446, "NA")</f>
      </c>
      <c r="S332" s="15"/>
      <c r="T332" s="13">
        <v>0</v>
      </c>
      <c r="U332" s="14">
        <f>IFERROR(T332/T446, "NA")</f>
      </c>
      <c r="V332" s="15"/>
      <c r="W332" s="16">
        <f>IFERROR(-(Q332-T332), "NA")</f>
      </c>
      <c r="X332" s="14">
        <f>IFERROR(W332/W446, "NA")</f>
      </c>
      <c r="Y332" s="15"/>
      <c r="Z332" s="13">
        <v>0</v>
      </c>
      <c r="AA332" s="14">
        <f>IFERROR(Z332/Z446, "NA")</f>
      </c>
      <c r="AB332" s="15"/>
      <c r="AC332" s="16">
        <f>IFERROR(-(Q332-Z332), "NA")</f>
      </c>
      <c r="AD332" s="14">
        <f>IFERROR(AC332/AC446, "NA")</f>
      </c>
    </row>
    <row r="333" hidden="1" ht="16.5" customHeight="1">
      <c t="s" r="A333" s="12">
        <v>304</v>
      </c>
      <c r="B333" s="13">
        <v>0</v>
      </c>
      <c r="C333" s="14">
        <f>IFERROR(B333/B446, "NA")</f>
      </c>
      <c r="D333" s="15"/>
      <c r="E333" s="13">
        <v>0</v>
      </c>
      <c r="F333" s="14">
        <f>IFERROR(E333/E446, "NA")</f>
      </c>
      <c r="G333" s="15"/>
      <c r="H333" s="16">
        <f>IFERROR(-(B333-E333), "NA")</f>
      </c>
      <c r="I333" s="14">
        <f>IFERROR(H333/H446, "NA")</f>
      </c>
      <c r="J333" s="15"/>
      <c r="K333" s="13">
        <v>0</v>
      </c>
      <c r="L333" s="14">
        <f>IFERROR(K333/K446, "NA")</f>
      </c>
      <c r="M333" s="15"/>
      <c r="N333" s="16">
        <f>IFERROR(-(B333-K333), "NA")</f>
      </c>
      <c r="O333" s="14">
        <f>IFERROR(N333/N446, "NA")</f>
      </c>
      <c r="P333" s="15"/>
      <c r="Q333" s="13">
        <v>0</v>
      </c>
      <c r="R333" s="14">
        <f>IFERROR(Q333/Q446, "NA")</f>
      </c>
      <c r="S333" s="15"/>
      <c r="T333" s="13">
        <v>0</v>
      </c>
      <c r="U333" s="14">
        <f>IFERROR(T333/T446, "NA")</f>
      </c>
      <c r="V333" s="15"/>
      <c r="W333" s="16">
        <f>IFERROR(-(Q333-T333), "NA")</f>
      </c>
      <c r="X333" s="14">
        <f>IFERROR(W333/W446, "NA")</f>
      </c>
      <c r="Y333" s="15"/>
      <c r="Z333" s="13">
        <v>0</v>
      </c>
      <c r="AA333" s="14">
        <f>IFERROR(Z333/Z446, "NA")</f>
      </c>
      <c r="AB333" s="15"/>
      <c r="AC333" s="16">
        <f>IFERROR(-(Q333-Z333), "NA")</f>
      </c>
      <c r="AD333" s="14">
        <f>IFERROR(AC333/AC446, "NA")</f>
      </c>
    </row>
    <row r="334" ht="16.5" customHeight="1">
      <c t="s" r="A334" s="12">
        <v>305</v>
      </c>
      <c r="B334" s="13">
        <v>855.92999999999995</v>
      </c>
      <c r="C334" s="14">
        <f>IFERROR(B334/B446, "NA")</f>
      </c>
      <c r="D334" s="15"/>
      <c r="E334" s="13">
        <v>856</v>
      </c>
      <c r="F334" s="14">
        <f>IFERROR(E334/E446, "NA")</f>
      </c>
      <c r="G334" s="15"/>
      <c r="H334" s="16">
        <f>IFERROR(-(B334-E334), "NA")</f>
      </c>
      <c r="I334" s="14">
        <f>IFERROR(H334/H446, "NA")</f>
      </c>
      <c r="J334" s="15"/>
      <c r="K334" s="13">
        <v>760.63999999999999</v>
      </c>
      <c r="L334" s="14">
        <f>IFERROR(K334/K446, "NA")</f>
      </c>
      <c r="M334" s="15"/>
      <c r="N334" s="16">
        <f>IFERROR(-(B334-K334), "NA")</f>
      </c>
      <c r="O334" s="14">
        <f>IFERROR(N334/N446, "NA")</f>
      </c>
      <c r="P334" s="15"/>
      <c r="Q334" s="13">
        <v>855.92999999999995</v>
      </c>
      <c r="R334" s="14">
        <f>IFERROR(Q334/Q446, "NA")</f>
      </c>
      <c r="S334" s="15"/>
      <c r="T334" s="13">
        <v>856</v>
      </c>
      <c r="U334" s="14">
        <f>IFERROR(T334/T446, "NA")</f>
      </c>
      <c r="V334" s="15"/>
      <c r="W334" s="16">
        <f>IFERROR(-(Q334-T334), "NA")</f>
      </c>
      <c r="X334" s="14">
        <f>IFERROR(W334/W446, "NA")</f>
      </c>
      <c r="Y334" s="15"/>
      <c r="Z334" s="13">
        <v>760.63999999999999</v>
      </c>
      <c r="AA334" s="14">
        <f>IFERROR(Z334/Z446, "NA")</f>
      </c>
      <c r="AB334" s="15"/>
      <c r="AC334" s="16">
        <f>IFERROR(-(Q334-Z334), "NA")</f>
      </c>
      <c r="AD334" s="14">
        <f>IFERROR(AC334/AC446, "NA")</f>
      </c>
    </row>
    <row r="335" ht="16.5" customHeight="1">
      <c t="s" r="A335" s="12">
        <v>306</v>
      </c>
      <c r="B335" s="13">
        <v>-1544.55</v>
      </c>
      <c r="C335" s="14">
        <f>IFERROR(B335/B446, "NA")</f>
      </c>
      <c r="D335" s="15"/>
      <c r="E335" s="13">
        <v>-1544.55</v>
      </c>
      <c r="F335" s="14">
        <f>IFERROR(E335/E446, "NA")</f>
      </c>
      <c r="G335" s="15"/>
      <c r="H335" s="16">
        <f>IFERROR(-(B335-E335), "NA")</f>
      </c>
      <c r="I335" s="14">
        <f>IFERROR(H335/H446, "NA")</f>
      </c>
      <c r="J335" s="15"/>
      <c r="K335" s="13">
        <v>-1506.8699999999999</v>
      </c>
      <c r="L335" s="14">
        <f>IFERROR(K335/K446, "NA")</f>
      </c>
      <c r="M335" s="15"/>
      <c r="N335" s="16">
        <f>IFERROR(-(B335-K335), "NA")</f>
      </c>
      <c r="O335" s="14">
        <f>IFERROR(N335/N446, "NA")</f>
      </c>
      <c r="P335" s="15"/>
      <c r="Q335" s="13">
        <v>-1544.55</v>
      </c>
      <c r="R335" s="14">
        <f>IFERROR(Q335/Q446, "NA")</f>
      </c>
      <c r="S335" s="15"/>
      <c r="T335" s="13">
        <v>-1544.55</v>
      </c>
      <c r="U335" s="14">
        <f>IFERROR(T335/T446, "NA")</f>
      </c>
      <c r="V335" s="15"/>
      <c r="W335" s="16">
        <f>IFERROR(-(Q335-T335), "NA")</f>
      </c>
      <c r="X335" s="14">
        <f>IFERROR(W335/W446, "NA")</f>
      </c>
      <c r="Y335" s="15"/>
      <c r="Z335" s="13">
        <v>-1506.8699999999999</v>
      </c>
      <c r="AA335" s="14">
        <f>IFERROR(Z335/Z446, "NA")</f>
      </c>
      <c r="AB335" s="15"/>
      <c r="AC335" s="16">
        <f>IFERROR(-(Q335-Z335), "NA")</f>
      </c>
      <c r="AD335" s="14">
        <f>IFERROR(AC335/AC446, "NA")</f>
      </c>
    </row>
    <row r="336" hidden="1" ht="16.5" customHeight="1">
      <c t="s" r="A336" s="12">
        <v>307</v>
      </c>
      <c r="B336" s="13">
        <v>0</v>
      </c>
      <c r="C336" s="14">
        <f>IFERROR(B336/B446, "NA")</f>
      </c>
      <c r="D336" s="15"/>
      <c r="E336" s="13">
        <v>0</v>
      </c>
      <c r="F336" s="14">
        <f>IFERROR(E336/E446, "NA")</f>
      </c>
      <c r="G336" s="15"/>
      <c r="H336" s="16">
        <f>IFERROR(-(B336-E336), "NA")</f>
      </c>
      <c r="I336" s="14">
        <f>IFERROR(H336/H446, "NA")</f>
      </c>
      <c r="J336" s="15"/>
      <c r="K336" s="13">
        <v>0</v>
      </c>
      <c r="L336" s="14">
        <f>IFERROR(K336/K446, "NA")</f>
      </c>
      <c r="M336" s="15"/>
      <c r="N336" s="16">
        <f>IFERROR(-(B336-K336), "NA")</f>
      </c>
      <c r="O336" s="14">
        <f>IFERROR(N336/N446, "NA")</f>
      </c>
      <c r="P336" s="15"/>
      <c r="Q336" s="13">
        <v>0</v>
      </c>
      <c r="R336" s="14">
        <f>IFERROR(Q336/Q446, "NA")</f>
      </c>
      <c r="S336" s="15"/>
      <c r="T336" s="13">
        <v>0</v>
      </c>
      <c r="U336" s="14">
        <f>IFERROR(T336/T446, "NA")</f>
      </c>
      <c r="V336" s="15"/>
      <c r="W336" s="16">
        <f>IFERROR(-(Q336-T336), "NA")</f>
      </c>
      <c r="X336" s="14">
        <f>IFERROR(W336/W446, "NA")</f>
      </c>
      <c r="Y336" s="15"/>
      <c r="Z336" s="13">
        <v>0</v>
      </c>
      <c r="AA336" s="14">
        <f>IFERROR(Z336/Z446, "NA")</f>
      </c>
      <c r="AB336" s="15"/>
      <c r="AC336" s="16">
        <f>IFERROR(-(Q336-Z336), "NA")</f>
      </c>
      <c r="AD336" s="14">
        <f>IFERROR(AC336/AC446, "NA")</f>
      </c>
    </row>
    <row r="337" ht="16.5" customHeight="1">
      <c t="s" r="A337" s="17">
        <v>308</v>
      </c>
      <c r="B337" s="8"/>
      <c r="C337" s="9"/>
      <c r="D337" s="10"/>
      <c r="E337" s="8"/>
      <c r="F337" s="9"/>
      <c r="G337" s="10"/>
      <c r="H337" s="8"/>
      <c r="I337" s="9"/>
      <c r="J337" s="10"/>
      <c r="K337" s="8"/>
      <c r="L337" s="9"/>
      <c r="M337" s="10"/>
      <c r="N337" s="8"/>
      <c r="O337" s="9"/>
      <c r="P337" s="10"/>
      <c r="Q337" s="8"/>
      <c r="R337" s="9"/>
      <c r="S337" s="10"/>
      <c r="T337" s="8"/>
      <c r="U337" s="9"/>
      <c r="V337" s="10"/>
      <c r="W337" s="8"/>
      <c r="X337" s="9"/>
      <c r="Y337" s="10"/>
      <c r="Z337" s="8"/>
      <c r="AA337" s="9"/>
      <c r="AB337" s="10"/>
      <c r="AC337" s="8"/>
      <c r="AD337" s="9"/>
    </row>
    <row r="338" hidden="1" ht="16.5" customHeight="1">
      <c t="s" r="A338" s="18">
        <v>308</v>
      </c>
      <c r="B338" s="13">
        <v>0</v>
      </c>
      <c r="C338" s="14">
        <f>IFERROR(B338/B446, "NA")</f>
      </c>
      <c r="D338" s="15"/>
      <c r="E338" s="13">
        <v>0</v>
      </c>
      <c r="F338" s="14">
        <f>IFERROR(E338/E446, "NA")</f>
      </c>
      <c r="G338" s="15"/>
      <c r="H338" s="16">
        <f>IFERROR(-(B338-E338), "NA")</f>
      </c>
      <c r="I338" s="14">
        <f>IFERROR(H338/H446, "NA")</f>
      </c>
      <c r="J338" s="15"/>
      <c r="K338" s="13">
        <v>0</v>
      </c>
      <c r="L338" s="14">
        <f>IFERROR(K338/K446, "NA")</f>
      </c>
      <c r="M338" s="15"/>
      <c r="N338" s="16">
        <f>IFERROR(-(B338-K338), "NA")</f>
      </c>
      <c r="O338" s="14">
        <f>IFERROR(N338/N446, "NA")</f>
      </c>
      <c r="P338" s="15"/>
      <c r="Q338" s="13">
        <v>0</v>
      </c>
      <c r="R338" s="14">
        <f>IFERROR(Q338/Q446, "NA")</f>
      </c>
      <c r="S338" s="15"/>
      <c r="T338" s="13">
        <v>0</v>
      </c>
      <c r="U338" s="14">
        <f>IFERROR(T338/T446, "NA")</f>
      </c>
      <c r="V338" s="15"/>
      <c r="W338" s="16">
        <f>IFERROR(-(Q338-T338), "NA")</f>
      </c>
      <c r="X338" s="14">
        <f>IFERROR(W338/W446, "NA")</f>
      </c>
      <c r="Y338" s="15"/>
      <c r="Z338" s="13">
        <v>0</v>
      </c>
      <c r="AA338" s="14">
        <f>IFERROR(Z338/Z446, "NA")</f>
      </c>
      <c r="AB338" s="15"/>
      <c r="AC338" s="16">
        <f>IFERROR(-(Q338-Z338), "NA")</f>
      </c>
      <c r="AD338" s="14">
        <f>IFERROR(AC338/AC446, "NA")</f>
      </c>
    </row>
    <row r="339" ht="16.5" customHeight="1">
      <c t="s" r="A339" s="18">
        <v>309</v>
      </c>
      <c r="B339" s="13">
        <v>1933.1099999999999</v>
      </c>
      <c r="C339" s="14">
        <f>IFERROR(B339/B446, "NA")</f>
      </c>
      <c r="D339" s="15"/>
      <c r="E339" s="13">
        <v>2039.3900000000001</v>
      </c>
      <c r="F339" s="14">
        <f>IFERROR(E339/E446, "NA")</f>
      </c>
      <c r="G339" s="15"/>
      <c r="H339" s="16">
        <f>IFERROR(-(B339-E339), "NA")</f>
      </c>
      <c r="I339" s="14">
        <f>IFERROR(H339/H446, "NA")</f>
      </c>
      <c r="J339" s="15"/>
      <c r="K339" s="13">
        <v>1801.3699999999999</v>
      </c>
      <c r="L339" s="14">
        <f>IFERROR(K339/K446, "NA")</f>
      </c>
      <c r="M339" s="15"/>
      <c r="N339" s="16">
        <f>IFERROR(-(B339-K339), "NA")</f>
      </c>
      <c r="O339" s="14">
        <f>IFERROR(N339/N446, "NA")</f>
      </c>
      <c r="P339" s="15"/>
      <c r="Q339" s="13">
        <v>1933.1099999999999</v>
      </c>
      <c r="R339" s="14">
        <f>IFERROR(Q339/Q446, "NA")</f>
      </c>
      <c r="S339" s="15"/>
      <c r="T339" s="13">
        <v>2039.3900000000001</v>
      </c>
      <c r="U339" s="14">
        <f>IFERROR(T339/T446, "NA")</f>
      </c>
      <c r="V339" s="15"/>
      <c r="W339" s="16">
        <f>IFERROR(-(Q339-T339), "NA")</f>
      </c>
      <c r="X339" s="14">
        <f>IFERROR(W339/W446, "NA")</f>
      </c>
      <c r="Y339" s="15"/>
      <c r="Z339" s="13">
        <v>1801.3699999999999</v>
      </c>
      <c r="AA339" s="14">
        <f>IFERROR(Z339/Z446, "NA")</f>
      </c>
      <c r="AB339" s="15"/>
      <c r="AC339" s="16">
        <f>IFERROR(-(Q339-Z339), "NA")</f>
      </c>
      <c r="AD339" s="14">
        <f>IFERROR(AC339/AC446, "NA")</f>
      </c>
    </row>
    <row r="340" ht="16.5" customHeight="1">
      <c t="s" r="A340" s="18">
        <v>310</v>
      </c>
      <c r="B340" s="13">
        <v>1064.3299999999999</v>
      </c>
      <c r="C340" s="14">
        <f>IFERROR(B340/B446, "NA")</f>
      </c>
      <c r="D340" s="15"/>
      <c r="E340" s="13">
        <v>679.79999999999995</v>
      </c>
      <c r="F340" s="14">
        <f>IFERROR(E340/E446, "NA")</f>
      </c>
      <c r="G340" s="15"/>
      <c r="H340" s="16">
        <f>IFERROR(-(B340-E340), "NA")</f>
      </c>
      <c r="I340" s="14">
        <f>IFERROR(H340/H446, "NA")</f>
      </c>
      <c r="J340" s="15"/>
      <c r="K340" s="13">
        <v>1067.49</v>
      </c>
      <c r="L340" s="14">
        <f>IFERROR(K340/K446, "NA")</f>
      </c>
      <c r="M340" s="15"/>
      <c r="N340" s="16">
        <f>IFERROR(-(B340-K340), "NA")</f>
      </c>
      <c r="O340" s="14">
        <f>IFERROR(N340/N446, "NA")</f>
      </c>
      <c r="P340" s="15"/>
      <c r="Q340" s="13">
        <v>1064.3299999999999</v>
      </c>
      <c r="R340" s="14">
        <f>IFERROR(Q340/Q446, "NA")</f>
      </c>
      <c r="S340" s="15"/>
      <c r="T340" s="13">
        <v>679.79999999999995</v>
      </c>
      <c r="U340" s="14">
        <f>IFERROR(T340/T446, "NA")</f>
      </c>
      <c r="V340" s="15"/>
      <c r="W340" s="16">
        <f>IFERROR(-(Q340-T340), "NA")</f>
      </c>
      <c r="X340" s="14">
        <f>IFERROR(W340/W446, "NA")</f>
      </c>
      <c r="Y340" s="15"/>
      <c r="Z340" s="13">
        <v>1067.49</v>
      </c>
      <c r="AA340" s="14">
        <f>IFERROR(Z340/Z446, "NA")</f>
      </c>
      <c r="AB340" s="15"/>
      <c r="AC340" s="16">
        <f>IFERROR(-(Q340-Z340), "NA")</f>
      </c>
      <c r="AD340" s="14">
        <f>IFERROR(AC340/AC446, "NA")</f>
      </c>
    </row>
    <row r="341" ht="16.5" customHeight="1">
      <c t="s" r="A341" s="18">
        <v>311</v>
      </c>
      <c r="B341" s="13">
        <v>819.94000000000005</v>
      </c>
      <c r="C341" s="14">
        <f>IFERROR(B341/B446, "NA")</f>
      </c>
      <c r="D341" s="15"/>
      <c r="E341" s="13">
        <v>679.79999999999995</v>
      </c>
      <c r="F341" s="14">
        <f>IFERROR(E341/E446, "NA")</f>
      </c>
      <c r="G341" s="15"/>
      <c r="H341" s="16">
        <f>IFERROR(-(B341-E341), "NA")</f>
      </c>
      <c r="I341" s="14">
        <f>IFERROR(H341/H446, "NA")</f>
      </c>
      <c r="J341" s="15"/>
      <c r="K341" s="13">
        <v>980.57000000000005</v>
      </c>
      <c r="L341" s="14">
        <f>IFERROR(K341/K446, "NA")</f>
      </c>
      <c r="M341" s="15"/>
      <c r="N341" s="16">
        <f>IFERROR(-(B341-K341), "NA")</f>
      </c>
      <c r="O341" s="14">
        <f>IFERROR(N341/N446, "NA")</f>
      </c>
      <c r="P341" s="15"/>
      <c r="Q341" s="13">
        <v>819.94000000000005</v>
      </c>
      <c r="R341" s="14">
        <f>IFERROR(Q341/Q446, "NA")</f>
      </c>
      <c r="S341" s="15"/>
      <c r="T341" s="13">
        <v>679.79999999999995</v>
      </c>
      <c r="U341" s="14">
        <f>IFERROR(T341/T446, "NA")</f>
      </c>
      <c r="V341" s="15"/>
      <c r="W341" s="16">
        <f>IFERROR(-(Q341-T341), "NA")</f>
      </c>
      <c r="X341" s="14">
        <f>IFERROR(W341/W446, "NA")</f>
      </c>
      <c r="Y341" s="15"/>
      <c r="Z341" s="13">
        <v>980.57000000000005</v>
      </c>
      <c r="AA341" s="14">
        <f>IFERROR(Z341/Z446, "NA")</f>
      </c>
      <c r="AB341" s="15"/>
      <c r="AC341" s="16">
        <f>IFERROR(-(Q341-Z341), "NA")</f>
      </c>
      <c r="AD341" s="14">
        <f>IFERROR(AC341/AC446, "NA")</f>
      </c>
    </row>
    <row r="342" ht="16.5" customHeight="1">
      <c t="s" r="A342" s="18">
        <v>312</v>
      </c>
      <c r="B342" s="13">
        <v>1031.99</v>
      </c>
      <c r="C342" s="14">
        <f>IFERROR(B342/B446, "NA")</f>
      </c>
      <c r="D342" s="15"/>
      <c r="E342" s="13">
        <v>874.02999999999997</v>
      </c>
      <c r="F342" s="14">
        <f>IFERROR(E342/E446, "NA")</f>
      </c>
      <c r="G342" s="15"/>
      <c r="H342" s="16">
        <f>IFERROR(-(B342-E342), "NA")</f>
      </c>
      <c r="I342" s="14">
        <f>IFERROR(H342/H446, "NA")</f>
      </c>
      <c r="J342" s="15"/>
      <c r="K342" s="13">
        <v>1051.7</v>
      </c>
      <c r="L342" s="14">
        <f>IFERROR(K342/K446, "NA")</f>
      </c>
      <c r="M342" s="15"/>
      <c r="N342" s="16">
        <f>IFERROR(-(B342-K342), "NA")</f>
      </c>
      <c r="O342" s="14">
        <f>IFERROR(N342/N446, "NA")</f>
      </c>
      <c r="P342" s="15"/>
      <c r="Q342" s="13">
        <v>1031.99</v>
      </c>
      <c r="R342" s="14">
        <f>IFERROR(Q342/Q446, "NA")</f>
      </c>
      <c r="S342" s="15"/>
      <c r="T342" s="13">
        <v>874.02999999999997</v>
      </c>
      <c r="U342" s="14">
        <f>IFERROR(T342/T446, "NA")</f>
      </c>
      <c r="V342" s="15"/>
      <c r="W342" s="16">
        <f>IFERROR(-(Q342-T342), "NA")</f>
      </c>
      <c r="X342" s="14">
        <f>IFERROR(W342/W446, "NA")</f>
      </c>
      <c r="Y342" s="15"/>
      <c r="Z342" s="13">
        <v>1051.7</v>
      </c>
      <c r="AA342" s="14">
        <f>IFERROR(Z342/Z446, "NA")</f>
      </c>
      <c r="AB342" s="15"/>
      <c r="AC342" s="16">
        <f>IFERROR(-(Q342-Z342), "NA")</f>
      </c>
      <c r="AD342" s="14">
        <f>IFERROR(AC342/AC446, "NA")</f>
      </c>
    </row>
    <row r="343" ht="16.5" customHeight="1">
      <c t="s" r="A343" s="19">
        <v>313</v>
      </c>
      <c r="B343" s="20">
        <f>IFERROR(B338+B339+B340+B341+B342, "NA")</f>
      </c>
      <c r="C343" s="21">
        <f>IFERROR(B343/B446, "NA")</f>
      </c>
      <c r="D343" s="8"/>
      <c r="E343" s="20">
        <f>IFERROR(E338+E339+E340+E341+E342, "NA")</f>
      </c>
      <c r="F343" s="21">
        <f>IFERROR(E343/E446, "NA")</f>
      </c>
      <c r="G343" s="8"/>
      <c r="H343" s="20">
        <f>IFERROR(-(B343-E343), "NA")</f>
      </c>
      <c r="I343" s="21">
        <f>IFERROR(H343/H446, "NA")</f>
      </c>
      <c r="J343" s="8"/>
      <c r="K343" s="20">
        <f>IFERROR(K338+K339+K340+K341+K342, "NA")</f>
      </c>
      <c r="L343" s="21">
        <f>IFERROR(K343/K446, "NA")</f>
      </c>
      <c r="M343" s="8"/>
      <c r="N343" s="20">
        <f>IFERROR(-(B343-K343), "NA")</f>
      </c>
      <c r="O343" s="21">
        <f>IFERROR(N343/N446, "NA")</f>
      </c>
      <c r="P343" s="8"/>
      <c r="Q343" s="20">
        <f>IFERROR(Q338+Q339+Q340+Q341+Q342, "NA")</f>
      </c>
      <c r="R343" s="21">
        <f>IFERROR(Q343/Q446, "NA")</f>
      </c>
      <c r="S343" s="8"/>
      <c r="T343" s="20">
        <f>IFERROR(T338+T339+T340+T341+T342, "NA")</f>
      </c>
      <c r="U343" s="21">
        <f>IFERROR(T343/T446, "NA")</f>
      </c>
      <c r="V343" s="8"/>
      <c r="W343" s="20">
        <f>IFERROR(-(Q343-T343), "NA")</f>
      </c>
      <c r="X343" s="21">
        <f>IFERROR(W343/W446, "NA")</f>
      </c>
      <c r="Y343" s="8"/>
      <c r="Z343" s="20">
        <f>IFERROR(Z338+Z339+Z340+Z341+Z342, "NA")</f>
      </c>
      <c r="AA343" s="21">
        <f>IFERROR(Z343/Z446, "NA")</f>
      </c>
      <c r="AB343" s="8"/>
      <c r="AC343" s="20">
        <f>IFERROR(-(Q343-Z343), "NA")</f>
      </c>
      <c r="AD343" s="21">
        <f>IFERROR(AC343/AC446, "NA")</f>
      </c>
    </row>
    <row r="344" ht="16.5" customHeight="1">
      <c t="s" r="A344" s="25">
        <v>314</v>
      </c>
      <c r="B344" s="20">
        <f>IFERROR(B329+B330+B331+B332+B333+B334+B335+B336+B338+B339+B340+B341+B342, "NA")</f>
      </c>
      <c r="C344" s="21">
        <f>IFERROR(B344/B446, "NA")</f>
      </c>
      <c r="D344" s="8"/>
      <c r="E344" s="20">
        <f>IFERROR(E329+E330+E331+E332+E333+E334+E335+E336+E338+E339+E340+E341+E342, "NA")</f>
      </c>
      <c r="F344" s="21">
        <f>IFERROR(E344/E446, "NA")</f>
      </c>
      <c r="G344" s="8"/>
      <c r="H344" s="20">
        <f>IFERROR(-(B344-E344), "NA")</f>
      </c>
      <c r="I344" s="21">
        <f>IFERROR(H344/H446, "NA")</f>
      </c>
      <c r="J344" s="8"/>
      <c r="K344" s="20">
        <f>IFERROR(K329+K330+K331+K332+K333+K334+K335+K336+K338+K339+K340+K341+K342, "NA")</f>
      </c>
      <c r="L344" s="21">
        <f>IFERROR(K344/K446, "NA")</f>
      </c>
      <c r="M344" s="8"/>
      <c r="N344" s="20">
        <f>IFERROR(-(B344-K344), "NA")</f>
      </c>
      <c r="O344" s="21">
        <f>IFERROR(N344/N446, "NA")</f>
      </c>
      <c r="P344" s="8"/>
      <c r="Q344" s="20">
        <f>IFERROR(Q329+Q330+Q331+Q332+Q333+Q334+Q335+Q336+Q338+Q339+Q340+Q341+Q342, "NA")</f>
      </c>
      <c r="R344" s="21">
        <f>IFERROR(Q344/Q446, "NA")</f>
      </c>
      <c r="S344" s="8"/>
      <c r="T344" s="20">
        <f>IFERROR(T329+T330+T331+T332+T333+T334+T335+T336+T338+T339+T340+T341+T342, "NA")</f>
      </c>
      <c r="U344" s="21">
        <f>IFERROR(T344/T446, "NA")</f>
      </c>
      <c r="V344" s="8"/>
      <c r="W344" s="20">
        <f>IFERROR(-(Q344-T344), "NA")</f>
      </c>
      <c r="X344" s="21">
        <f>IFERROR(W344/W446, "NA")</f>
      </c>
      <c r="Y344" s="8"/>
      <c r="Z344" s="20">
        <f>IFERROR(Z329+Z330+Z331+Z332+Z333+Z334+Z335+Z336+Z338+Z339+Z340+Z341+Z342, "NA")</f>
      </c>
      <c r="AA344" s="21">
        <f>IFERROR(Z344/Z446, "NA")</f>
      </c>
      <c r="AB344" s="8"/>
      <c r="AC344" s="20">
        <f>IFERROR(-(Q344-Z344), "NA")</f>
      </c>
      <c r="AD344" s="21">
        <f>IFERROR(AC344/AC446, "NA")</f>
      </c>
    </row>
    <row r="345" ht="16.5" customHeight="1">
      <c t="s" r="A345" s="27">
        <v>315</v>
      </c>
      <c r="B345" s="20">
        <f>IFERROR(B329+B330+B331+B332+B333+B334+B335+B336+B338+B339+B340+B341+B342, "NA")</f>
      </c>
      <c r="C345" s="21">
        <f>IFERROR(B345/B446, "NA")</f>
      </c>
      <c r="D345" s="8"/>
      <c r="E345" s="20">
        <f>IFERROR(E329+E330+E331+E332+E333+E334+E335+E336+E338+E339+E340+E341+E342, "NA")</f>
      </c>
      <c r="F345" s="21">
        <f>IFERROR(E345/E446, "NA")</f>
      </c>
      <c r="G345" s="8"/>
      <c r="H345" s="20">
        <f>IFERROR(-(B345-E345), "NA")</f>
      </c>
      <c r="I345" s="21">
        <f>IFERROR(H345/H446, "NA")</f>
      </c>
      <c r="J345" s="8"/>
      <c r="K345" s="20">
        <f>IFERROR(K329+K330+K331+K332+K333+K334+K335+K336+K338+K339+K340+K341+K342, "NA")</f>
      </c>
      <c r="L345" s="21">
        <f>IFERROR(K345/K446, "NA")</f>
      </c>
      <c r="M345" s="8"/>
      <c r="N345" s="20">
        <f>IFERROR(-(B345-K345), "NA")</f>
      </c>
      <c r="O345" s="21">
        <f>IFERROR(N345/N446, "NA")</f>
      </c>
      <c r="P345" s="8"/>
      <c r="Q345" s="20">
        <f>IFERROR(Q329+Q330+Q331+Q332+Q333+Q334+Q335+Q336+Q338+Q339+Q340+Q341+Q342, "NA")</f>
      </c>
      <c r="R345" s="21">
        <f>IFERROR(Q345/Q446, "NA")</f>
      </c>
      <c r="S345" s="8"/>
      <c r="T345" s="20">
        <f>IFERROR(T329+T330+T331+T332+T333+T334+T335+T336+T338+T339+T340+T341+T342, "NA")</f>
      </c>
      <c r="U345" s="21">
        <f>IFERROR(T345/T446, "NA")</f>
      </c>
      <c r="V345" s="8"/>
      <c r="W345" s="20">
        <f>IFERROR(-(Q345-T345), "NA")</f>
      </c>
      <c r="X345" s="21">
        <f>IFERROR(W345/W446, "NA")</f>
      </c>
      <c r="Y345" s="8"/>
      <c r="Z345" s="20">
        <f>IFERROR(Z329+Z330+Z331+Z332+Z333+Z334+Z335+Z336+Z338+Z339+Z340+Z341+Z342, "NA")</f>
      </c>
      <c r="AA345" s="21">
        <f>IFERROR(Z345/Z446, "NA")</f>
      </c>
      <c r="AB345" s="8"/>
      <c r="AC345" s="20">
        <f>IFERROR(-(Q345-Z345), "NA")</f>
      </c>
      <c r="AD345" s="21">
        <f>IFERROR(AC345/AC446, "NA")</f>
      </c>
    </row>
    <row r="346" ht="16.5" customHeight="1">
      <c t="s" r="A346" s="28">
        <v>316</v>
      </c>
      <c r="B346" s="29">
        <f>IFERROR(B198-B326-B345, "NA")</f>
      </c>
      <c r="C346" s="30">
        <f>IFERROR(B346/B446, "NA")</f>
      </c>
      <c r="D346" s="31"/>
      <c r="E346" s="29">
        <f>IFERROR(E198-E326-E345, "NA")</f>
      </c>
      <c r="F346" s="30">
        <f>IFERROR(E346/E446, "NA")</f>
      </c>
      <c r="G346" s="31"/>
      <c r="H346" s="29">
        <f>IFERROR(B346-E346, "NA")</f>
      </c>
      <c r="I346" s="30">
        <f>IFERROR(H346/H446, "NA")</f>
      </c>
      <c r="J346" s="31"/>
      <c r="K346" s="29">
        <f>IFERROR(K198-K326-K345, "NA")</f>
      </c>
      <c r="L346" s="30">
        <f>IFERROR(K346/K446, "NA")</f>
      </c>
      <c r="M346" s="31"/>
      <c r="N346" s="29">
        <f>IFERROR(B346-K346, "NA")</f>
      </c>
      <c r="O346" s="30">
        <f>IFERROR(N346/N446, "NA")</f>
      </c>
      <c r="P346" s="31"/>
      <c r="Q346" s="29">
        <f>IFERROR(Q198-Q326-Q345, "NA")</f>
      </c>
      <c r="R346" s="30">
        <f>IFERROR(Q346/Q446, "NA")</f>
      </c>
      <c r="S346" s="31"/>
      <c r="T346" s="29">
        <f>IFERROR(T198-T326-T345, "NA")</f>
      </c>
      <c r="U346" s="30">
        <f>IFERROR(T346/T446, "NA")</f>
      </c>
      <c r="V346" s="31"/>
      <c r="W346" s="29">
        <f>IFERROR(Q346-T346, "NA")</f>
      </c>
      <c r="X346" s="30">
        <f>IFERROR(W346/W446, "NA")</f>
      </c>
      <c r="Y346" s="31"/>
      <c r="Z346" s="29">
        <f>IFERROR(Z198-Z326-Z345, "NA")</f>
      </c>
      <c r="AA346" s="30">
        <f>IFERROR(Z346/Z446, "NA")</f>
      </c>
      <c r="AB346" s="31"/>
      <c r="AC346" s="29">
        <f>IFERROR(Q346-Z346, "NA")</f>
      </c>
      <c r="AD346" s="30">
        <f>IFERROR(AC346/AC446, "NA")</f>
      </c>
    </row>
    <row r="347" ht="16.5" customHeight="1">
      <c t="s" r="A347" s="7">
        <v>317</v>
      </c>
      <c r="B347" s="8"/>
      <c r="C347" s="9"/>
      <c r="D347" s="10"/>
      <c r="E347" s="8"/>
      <c r="F347" s="9"/>
      <c r="G347" s="10"/>
      <c r="H347" s="8"/>
      <c r="I347" s="9"/>
      <c r="J347" s="10"/>
      <c r="K347" s="8"/>
      <c r="L347" s="9"/>
      <c r="M347" s="10"/>
      <c r="N347" s="8"/>
      <c r="O347" s="9"/>
      <c r="P347" s="10"/>
      <c r="Q347" s="8"/>
      <c r="R347" s="9"/>
      <c r="S347" s="10"/>
      <c r="T347" s="8"/>
      <c r="U347" s="9"/>
      <c r="V347" s="10"/>
      <c r="W347" s="8"/>
      <c r="X347" s="9"/>
      <c r="Y347" s="10"/>
      <c r="Z347" s="8"/>
      <c r="AA347" s="9"/>
      <c r="AB347" s="10"/>
      <c r="AC347" s="8"/>
      <c r="AD347" s="9"/>
    </row>
    <row r="348" hidden="1" ht="16.5" customHeight="1">
      <c t="s" r="A348" s="26">
        <v>318</v>
      </c>
      <c r="B348" s="13">
        <v>0</v>
      </c>
      <c r="C348" s="14">
        <f>IFERROR(B348/B446, "NA")</f>
      </c>
      <c r="D348" s="15"/>
      <c r="E348" s="13">
        <v>0</v>
      </c>
      <c r="F348" s="14">
        <f>IFERROR(E348/E446, "NA")</f>
      </c>
      <c r="G348" s="15"/>
      <c r="H348" s="16">
        <f>IFERROR(-(B348-E348), "NA")</f>
      </c>
      <c r="I348" s="14">
        <f>IFERROR(H348/H446, "NA")</f>
      </c>
      <c r="J348" s="15"/>
      <c r="K348" s="13">
        <v>0</v>
      </c>
      <c r="L348" s="14">
        <f>IFERROR(K348/K446, "NA")</f>
      </c>
      <c r="M348" s="15"/>
      <c r="N348" s="16">
        <f>IFERROR(-(B348-K348), "NA")</f>
      </c>
      <c r="O348" s="14">
        <f>IFERROR(N348/N446, "NA")</f>
      </c>
      <c r="P348" s="15"/>
      <c r="Q348" s="13">
        <v>0</v>
      </c>
      <c r="R348" s="14">
        <f>IFERROR(Q348/Q446, "NA")</f>
      </c>
      <c r="S348" s="15"/>
      <c r="T348" s="13">
        <v>0</v>
      </c>
      <c r="U348" s="14">
        <f>IFERROR(T348/T446, "NA")</f>
      </c>
      <c r="V348" s="15"/>
      <c r="W348" s="16">
        <f>IFERROR(-(Q348-T348), "NA")</f>
      </c>
      <c r="X348" s="14">
        <f>IFERROR(W348/W446, "NA")</f>
      </c>
      <c r="Y348" s="15"/>
      <c r="Z348" s="13">
        <v>0</v>
      </c>
      <c r="AA348" s="14">
        <f>IFERROR(Z348/Z446, "NA")</f>
      </c>
      <c r="AB348" s="15"/>
      <c r="AC348" s="16">
        <f>IFERROR(-(Q348-Z348), "NA")</f>
      </c>
      <c r="AD348" s="14">
        <f>IFERROR(AC348/AC446, "NA")</f>
      </c>
    </row>
    <row r="349" ht="16.5" customHeight="1">
      <c t="s" r="A349" s="11">
        <v>319</v>
      </c>
      <c r="B349" s="8"/>
      <c r="C349" s="9"/>
      <c r="D349" s="10"/>
      <c r="E349" s="8"/>
      <c r="F349" s="9"/>
      <c r="G349" s="10"/>
      <c r="H349" s="8"/>
      <c r="I349" s="9"/>
      <c r="J349" s="10"/>
      <c r="K349" s="8"/>
      <c r="L349" s="9"/>
      <c r="M349" s="10"/>
      <c r="N349" s="8"/>
      <c r="O349" s="9"/>
      <c r="P349" s="10"/>
      <c r="Q349" s="8"/>
      <c r="R349" s="9"/>
      <c r="S349" s="10"/>
      <c r="T349" s="8"/>
      <c r="U349" s="9"/>
      <c r="V349" s="10"/>
      <c r="W349" s="8"/>
      <c r="X349" s="9"/>
      <c r="Y349" s="10"/>
      <c r="Z349" s="8"/>
      <c r="AA349" s="9"/>
      <c r="AB349" s="10"/>
      <c r="AC349" s="8"/>
      <c r="AD349" s="9"/>
    </row>
    <row r="350" hidden="1" ht="16.5" customHeight="1">
      <c t="s" r="A350" s="12">
        <v>319</v>
      </c>
      <c r="B350" s="13">
        <v>0</v>
      </c>
      <c r="C350" s="14">
        <f>IFERROR(B350/B446, "NA")</f>
      </c>
      <c r="D350" s="15"/>
      <c r="E350" s="13">
        <v>0</v>
      </c>
      <c r="F350" s="14">
        <f>IFERROR(E350/E446, "NA")</f>
      </c>
      <c r="G350" s="15"/>
      <c r="H350" s="16">
        <f>IFERROR(-(B350-E350), "NA")</f>
      </c>
      <c r="I350" s="14">
        <f>IFERROR(H350/H446, "NA")</f>
      </c>
      <c r="J350" s="15"/>
      <c r="K350" s="13">
        <v>0</v>
      </c>
      <c r="L350" s="14">
        <f>IFERROR(K350/K446, "NA")</f>
      </c>
      <c r="M350" s="15"/>
      <c r="N350" s="16">
        <f>IFERROR(-(B350-K350), "NA")</f>
      </c>
      <c r="O350" s="14">
        <f>IFERROR(N350/N446, "NA")</f>
      </c>
      <c r="P350" s="15"/>
      <c r="Q350" s="13">
        <v>0</v>
      </c>
      <c r="R350" s="14">
        <f>IFERROR(Q350/Q446, "NA")</f>
      </c>
      <c r="S350" s="15"/>
      <c r="T350" s="13">
        <v>0</v>
      </c>
      <c r="U350" s="14">
        <f>IFERROR(T350/T446, "NA")</f>
      </c>
      <c r="V350" s="15"/>
      <c r="W350" s="16">
        <f>IFERROR(-(Q350-T350), "NA")</f>
      </c>
      <c r="X350" s="14">
        <f>IFERROR(W350/W446, "NA")</f>
      </c>
      <c r="Y350" s="15"/>
      <c r="Z350" s="13">
        <v>0</v>
      </c>
      <c r="AA350" s="14">
        <f>IFERROR(Z350/Z446, "NA")</f>
      </c>
      <c r="AB350" s="15"/>
      <c r="AC350" s="16">
        <f>IFERROR(-(Q350-Z350), "NA")</f>
      </c>
      <c r="AD350" s="14">
        <f>IFERROR(AC350/AC446, "NA")</f>
      </c>
    </row>
    <row r="351" hidden="1" ht="16.5" customHeight="1">
      <c t="s" r="A351" s="12">
        <v>320</v>
      </c>
      <c r="B351" s="13">
        <v>0</v>
      </c>
      <c r="C351" s="14">
        <f>IFERROR(B351/B446, "NA")</f>
      </c>
      <c r="D351" s="15"/>
      <c r="E351" s="13">
        <v>0</v>
      </c>
      <c r="F351" s="14">
        <f>IFERROR(E351/E446, "NA")</f>
      </c>
      <c r="G351" s="15"/>
      <c r="H351" s="16">
        <f>IFERROR(-(B351-E351), "NA")</f>
      </c>
      <c r="I351" s="14">
        <f>IFERROR(H351/H446, "NA")</f>
      </c>
      <c r="J351" s="15"/>
      <c r="K351" s="13">
        <v>0</v>
      </c>
      <c r="L351" s="14">
        <f>IFERROR(K351/K446, "NA")</f>
      </c>
      <c r="M351" s="15"/>
      <c r="N351" s="16">
        <f>IFERROR(-(B351-K351), "NA")</f>
      </c>
      <c r="O351" s="14">
        <f>IFERROR(N351/N446, "NA")</f>
      </c>
      <c r="P351" s="15"/>
      <c r="Q351" s="13">
        <v>0</v>
      </c>
      <c r="R351" s="14">
        <f>IFERROR(Q351/Q446, "NA")</f>
      </c>
      <c r="S351" s="15"/>
      <c r="T351" s="13">
        <v>0</v>
      </c>
      <c r="U351" s="14">
        <f>IFERROR(T351/T446, "NA")</f>
      </c>
      <c r="V351" s="15"/>
      <c r="W351" s="16">
        <f>IFERROR(-(Q351-T351), "NA")</f>
      </c>
      <c r="X351" s="14">
        <f>IFERROR(W351/W446, "NA")</f>
      </c>
      <c r="Y351" s="15"/>
      <c r="Z351" s="13">
        <v>0</v>
      </c>
      <c r="AA351" s="14">
        <f>IFERROR(Z351/Z446, "NA")</f>
      </c>
      <c r="AB351" s="15"/>
      <c r="AC351" s="16">
        <f>IFERROR(-(Q351-Z351), "NA")</f>
      </c>
      <c r="AD351" s="14">
        <f>IFERROR(AC351/AC446, "NA")</f>
      </c>
    </row>
    <row r="352" hidden="1" ht="16.5" customHeight="1">
      <c t="s" r="A352" s="12">
        <v>321</v>
      </c>
      <c r="B352" s="13">
        <v>0</v>
      </c>
      <c r="C352" s="14">
        <f>IFERROR(B352/B446, "NA")</f>
      </c>
      <c r="D352" s="15"/>
      <c r="E352" s="13">
        <v>0</v>
      </c>
      <c r="F352" s="14">
        <f>IFERROR(E352/E446, "NA")</f>
      </c>
      <c r="G352" s="15"/>
      <c r="H352" s="16">
        <f>IFERROR(-(B352-E352), "NA")</f>
      </c>
      <c r="I352" s="14">
        <f>IFERROR(H352/H446, "NA")</f>
      </c>
      <c r="J352" s="15"/>
      <c r="K352" s="13">
        <v>0</v>
      </c>
      <c r="L352" s="14">
        <f>IFERROR(K352/K446, "NA")</f>
      </c>
      <c r="M352" s="15"/>
      <c r="N352" s="16">
        <f>IFERROR(-(B352-K352), "NA")</f>
      </c>
      <c r="O352" s="14">
        <f>IFERROR(N352/N446, "NA")</f>
      </c>
      <c r="P352" s="15"/>
      <c r="Q352" s="13">
        <v>0</v>
      </c>
      <c r="R352" s="14">
        <f>IFERROR(Q352/Q446, "NA")</f>
      </c>
      <c r="S352" s="15"/>
      <c r="T352" s="13">
        <v>0</v>
      </c>
      <c r="U352" s="14">
        <f>IFERROR(T352/T446, "NA")</f>
      </c>
      <c r="V352" s="15"/>
      <c r="W352" s="16">
        <f>IFERROR(-(Q352-T352), "NA")</f>
      </c>
      <c r="X352" s="14">
        <f>IFERROR(W352/W446, "NA")</f>
      </c>
      <c r="Y352" s="15"/>
      <c r="Z352" s="13">
        <v>0</v>
      </c>
      <c r="AA352" s="14">
        <f>IFERROR(Z352/Z446, "NA")</f>
      </c>
      <c r="AB352" s="15"/>
      <c r="AC352" s="16">
        <f>IFERROR(-(Q352-Z352), "NA")</f>
      </c>
      <c r="AD352" s="14">
        <f>IFERROR(AC352/AC446, "NA")</f>
      </c>
    </row>
    <row r="353" hidden="1" ht="16.5" customHeight="1">
      <c t="s" r="A353" s="12">
        <v>322</v>
      </c>
      <c r="B353" s="13">
        <v>0</v>
      </c>
      <c r="C353" s="14">
        <f>IFERROR(B353/B446, "NA")</f>
      </c>
      <c r="D353" s="15"/>
      <c r="E353" s="13">
        <v>0</v>
      </c>
      <c r="F353" s="14">
        <f>IFERROR(E353/E446, "NA")</f>
      </c>
      <c r="G353" s="15"/>
      <c r="H353" s="16">
        <f>IFERROR(-(B353-E353), "NA")</f>
      </c>
      <c r="I353" s="14">
        <f>IFERROR(H353/H446, "NA")</f>
      </c>
      <c r="J353" s="15"/>
      <c r="K353" s="13">
        <v>0</v>
      </c>
      <c r="L353" s="14">
        <f>IFERROR(K353/K446, "NA")</f>
      </c>
      <c r="M353" s="15"/>
      <c r="N353" s="16">
        <f>IFERROR(-(B353-K353), "NA")</f>
      </c>
      <c r="O353" s="14">
        <f>IFERROR(N353/N446, "NA")</f>
      </c>
      <c r="P353" s="15"/>
      <c r="Q353" s="13">
        <v>0</v>
      </c>
      <c r="R353" s="14">
        <f>IFERROR(Q353/Q446, "NA")</f>
      </c>
      <c r="S353" s="15"/>
      <c r="T353" s="13">
        <v>0</v>
      </c>
      <c r="U353" s="14">
        <f>IFERROR(T353/T446, "NA")</f>
      </c>
      <c r="V353" s="15"/>
      <c r="W353" s="16">
        <f>IFERROR(-(Q353-T353), "NA")</f>
      </c>
      <c r="X353" s="14">
        <f>IFERROR(W353/W446, "NA")</f>
      </c>
      <c r="Y353" s="15"/>
      <c r="Z353" s="13">
        <v>0</v>
      </c>
      <c r="AA353" s="14">
        <f>IFERROR(Z353/Z446, "NA")</f>
      </c>
      <c r="AB353" s="15"/>
      <c r="AC353" s="16">
        <f>IFERROR(-(Q353-Z353), "NA")</f>
      </c>
      <c r="AD353" s="14">
        <f>IFERROR(AC353/AC446, "NA")</f>
      </c>
    </row>
    <row r="354" hidden="1" ht="16.5" customHeight="1">
      <c t="s" r="A354" s="12">
        <v>323</v>
      </c>
      <c r="B354" s="13">
        <v>0</v>
      </c>
      <c r="C354" s="14">
        <f>IFERROR(B354/B446, "NA")</f>
      </c>
      <c r="D354" s="15"/>
      <c r="E354" s="13">
        <v>0</v>
      </c>
      <c r="F354" s="14">
        <f>IFERROR(E354/E446, "NA")</f>
      </c>
      <c r="G354" s="15"/>
      <c r="H354" s="16">
        <f>IFERROR(-(B354-E354), "NA")</f>
      </c>
      <c r="I354" s="14">
        <f>IFERROR(H354/H446, "NA")</f>
      </c>
      <c r="J354" s="15"/>
      <c r="K354" s="13">
        <v>0</v>
      </c>
      <c r="L354" s="14">
        <f>IFERROR(K354/K446, "NA")</f>
      </c>
      <c r="M354" s="15"/>
      <c r="N354" s="16">
        <f>IFERROR(-(B354-K354), "NA")</f>
      </c>
      <c r="O354" s="14">
        <f>IFERROR(N354/N446, "NA")</f>
      </c>
      <c r="P354" s="15"/>
      <c r="Q354" s="13">
        <v>0</v>
      </c>
      <c r="R354" s="14">
        <f>IFERROR(Q354/Q446, "NA")</f>
      </c>
      <c r="S354" s="15"/>
      <c r="T354" s="13">
        <v>0</v>
      </c>
      <c r="U354" s="14">
        <f>IFERROR(T354/T446, "NA")</f>
      </c>
      <c r="V354" s="15"/>
      <c r="W354" s="16">
        <f>IFERROR(-(Q354-T354), "NA")</f>
      </c>
      <c r="X354" s="14">
        <f>IFERROR(W354/W446, "NA")</f>
      </c>
      <c r="Y354" s="15"/>
      <c r="Z354" s="13">
        <v>0</v>
      </c>
      <c r="AA354" s="14">
        <f>IFERROR(Z354/Z446, "NA")</f>
      </c>
      <c r="AB354" s="15"/>
      <c r="AC354" s="16">
        <f>IFERROR(-(Q354-Z354), "NA")</f>
      </c>
      <c r="AD354" s="14">
        <f>IFERROR(AC354/AC446, "NA")</f>
      </c>
    </row>
    <row r="355" hidden="1" ht="16.5" customHeight="1">
      <c t="s" r="A355" s="12">
        <v>324</v>
      </c>
      <c r="B355" s="13">
        <v>0</v>
      </c>
      <c r="C355" s="14">
        <f>IFERROR(B355/B446, "NA")</f>
      </c>
      <c r="D355" s="15"/>
      <c r="E355" s="13">
        <v>0</v>
      </c>
      <c r="F355" s="14">
        <f>IFERROR(E355/E446, "NA")</f>
      </c>
      <c r="G355" s="15"/>
      <c r="H355" s="16">
        <f>IFERROR(-(B355-E355), "NA")</f>
      </c>
      <c r="I355" s="14">
        <f>IFERROR(H355/H446, "NA")</f>
      </c>
      <c r="J355" s="15"/>
      <c r="K355" s="13">
        <v>0</v>
      </c>
      <c r="L355" s="14">
        <f>IFERROR(K355/K446, "NA")</f>
      </c>
      <c r="M355" s="15"/>
      <c r="N355" s="16">
        <f>IFERROR(-(B355-K355), "NA")</f>
      </c>
      <c r="O355" s="14">
        <f>IFERROR(N355/N446, "NA")</f>
      </c>
      <c r="P355" s="15"/>
      <c r="Q355" s="13">
        <v>0</v>
      </c>
      <c r="R355" s="14">
        <f>IFERROR(Q355/Q446, "NA")</f>
      </c>
      <c r="S355" s="15"/>
      <c r="T355" s="13">
        <v>0</v>
      </c>
      <c r="U355" s="14">
        <f>IFERROR(T355/T446, "NA")</f>
      </c>
      <c r="V355" s="15"/>
      <c r="W355" s="16">
        <f>IFERROR(-(Q355-T355), "NA")</f>
      </c>
      <c r="X355" s="14">
        <f>IFERROR(W355/W446, "NA")</f>
      </c>
      <c r="Y355" s="15"/>
      <c r="Z355" s="13">
        <v>0</v>
      </c>
      <c r="AA355" s="14">
        <f>IFERROR(Z355/Z446, "NA")</f>
      </c>
      <c r="AB355" s="15"/>
      <c r="AC355" s="16">
        <f>IFERROR(-(Q355-Z355), "NA")</f>
      </c>
      <c r="AD355" s="14">
        <f>IFERROR(AC355/AC446, "NA")</f>
      </c>
    </row>
    <row r="356" hidden="1" ht="16.5" customHeight="1">
      <c t="s" r="A356" s="12">
        <v>325</v>
      </c>
      <c r="B356" s="13">
        <v>0</v>
      </c>
      <c r="C356" s="14">
        <f>IFERROR(B356/B446, "NA")</f>
      </c>
      <c r="D356" s="15"/>
      <c r="E356" s="13">
        <v>0</v>
      </c>
      <c r="F356" s="14">
        <f>IFERROR(E356/E446, "NA")</f>
      </c>
      <c r="G356" s="15"/>
      <c r="H356" s="16">
        <f>IFERROR(-(B356-E356), "NA")</f>
      </c>
      <c r="I356" s="14">
        <f>IFERROR(H356/H446, "NA")</f>
      </c>
      <c r="J356" s="15"/>
      <c r="K356" s="13">
        <v>0</v>
      </c>
      <c r="L356" s="14">
        <f>IFERROR(K356/K446, "NA")</f>
      </c>
      <c r="M356" s="15"/>
      <c r="N356" s="16">
        <f>IFERROR(-(B356-K356), "NA")</f>
      </c>
      <c r="O356" s="14">
        <f>IFERROR(N356/N446, "NA")</f>
      </c>
      <c r="P356" s="15"/>
      <c r="Q356" s="13">
        <v>0</v>
      </c>
      <c r="R356" s="14">
        <f>IFERROR(Q356/Q446, "NA")</f>
      </c>
      <c r="S356" s="15"/>
      <c r="T356" s="13">
        <v>0</v>
      </c>
      <c r="U356" s="14">
        <f>IFERROR(T356/T446, "NA")</f>
      </c>
      <c r="V356" s="15"/>
      <c r="W356" s="16">
        <f>IFERROR(-(Q356-T356), "NA")</f>
      </c>
      <c r="X356" s="14">
        <f>IFERROR(W356/W446, "NA")</f>
      </c>
      <c r="Y356" s="15"/>
      <c r="Z356" s="13">
        <v>0</v>
      </c>
      <c r="AA356" s="14">
        <f>IFERROR(Z356/Z446, "NA")</f>
      </c>
      <c r="AB356" s="15"/>
      <c r="AC356" s="16">
        <f>IFERROR(-(Q356-Z356), "NA")</f>
      </c>
      <c r="AD356" s="14">
        <f>IFERROR(AC356/AC446, "NA")</f>
      </c>
    </row>
    <row r="357" hidden="1" ht="16.5" customHeight="1">
      <c t="s" r="A357" s="12">
        <v>326</v>
      </c>
      <c r="B357" s="13">
        <v>0</v>
      </c>
      <c r="C357" s="14">
        <f>IFERROR(B357/B446, "NA")</f>
      </c>
      <c r="D357" s="15"/>
      <c r="E357" s="13">
        <v>0</v>
      </c>
      <c r="F357" s="14">
        <f>IFERROR(E357/E446, "NA")</f>
      </c>
      <c r="G357" s="15"/>
      <c r="H357" s="16">
        <f>IFERROR(-(B357-E357), "NA")</f>
      </c>
      <c r="I357" s="14">
        <f>IFERROR(H357/H446, "NA")</f>
      </c>
      <c r="J357" s="15"/>
      <c r="K357" s="13">
        <v>0</v>
      </c>
      <c r="L357" s="14">
        <f>IFERROR(K357/K446, "NA")</f>
      </c>
      <c r="M357" s="15"/>
      <c r="N357" s="16">
        <f>IFERROR(-(B357-K357), "NA")</f>
      </c>
      <c r="O357" s="14">
        <f>IFERROR(N357/N446, "NA")</f>
      </c>
      <c r="P357" s="15"/>
      <c r="Q357" s="13">
        <v>0</v>
      </c>
      <c r="R357" s="14">
        <f>IFERROR(Q357/Q446, "NA")</f>
      </c>
      <c r="S357" s="15"/>
      <c r="T357" s="13">
        <v>0</v>
      </c>
      <c r="U357" s="14">
        <f>IFERROR(T357/T446, "NA")</f>
      </c>
      <c r="V357" s="15"/>
      <c r="W357" s="16">
        <f>IFERROR(-(Q357-T357), "NA")</f>
      </c>
      <c r="X357" s="14">
        <f>IFERROR(W357/W446, "NA")</f>
      </c>
      <c r="Y357" s="15"/>
      <c r="Z357" s="13">
        <v>0</v>
      </c>
      <c r="AA357" s="14">
        <f>IFERROR(Z357/Z446, "NA")</f>
      </c>
      <c r="AB357" s="15"/>
      <c r="AC357" s="16">
        <f>IFERROR(-(Q357-Z357), "NA")</f>
      </c>
      <c r="AD357" s="14">
        <f>IFERROR(AC357/AC446, "NA")</f>
      </c>
    </row>
    <row r="358" hidden="1" ht="16.5" customHeight="1">
      <c t="s" r="A358" s="12">
        <v>327</v>
      </c>
      <c r="B358" s="13">
        <v>0</v>
      </c>
      <c r="C358" s="14">
        <f>IFERROR(B358/B446, "NA")</f>
      </c>
      <c r="D358" s="15"/>
      <c r="E358" s="13">
        <v>0</v>
      </c>
      <c r="F358" s="14">
        <f>IFERROR(E358/E446, "NA")</f>
      </c>
      <c r="G358" s="15"/>
      <c r="H358" s="16">
        <f>IFERROR(-(B358-E358), "NA")</f>
      </c>
      <c r="I358" s="14">
        <f>IFERROR(H358/H446, "NA")</f>
      </c>
      <c r="J358" s="15"/>
      <c r="K358" s="13">
        <v>0</v>
      </c>
      <c r="L358" s="14">
        <f>IFERROR(K358/K446, "NA")</f>
      </c>
      <c r="M358" s="15"/>
      <c r="N358" s="16">
        <f>IFERROR(-(B358-K358), "NA")</f>
      </c>
      <c r="O358" s="14">
        <f>IFERROR(N358/N446, "NA")</f>
      </c>
      <c r="P358" s="15"/>
      <c r="Q358" s="13">
        <v>0</v>
      </c>
      <c r="R358" s="14">
        <f>IFERROR(Q358/Q446, "NA")</f>
      </c>
      <c r="S358" s="15"/>
      <c r="T358" s="13">
        <v>0</v>
      </c>
      <c r="U358" s="14">
        <f>IFERROR(T358/T446, "NA")</f>
      </c>
      <c r="V358" s="15"/>
      <c r="W358" s="16">
        <f>IFERROR(-(Q358-T358), "NA")</f>
      </c>
      <c r="X358" s="14">
        <f>IFERROR(W358/W446, "NA")</f>
      </c>
      <c r="Y358" s="15"/>
      <c r="Z358" s="13">
        <v>0</v>
      </c>
      <c r="AA358" s="14">
        <f>IFERROR(Z358/Z446, "NA")</f>
      </c>
      <c r="AB358" s="15"/>
      <c r="AC358" s="16">
        <f>IFERROR(-(Q358-Z358), "NA")</f>
      </c>
      <c r="AD358" s="14">
        <f>IFERROR(AC358/AC446, "NA")</f>
      </c>
    </row>
    <row r="359" ht="16.5" customHeight="1">
      <c t="s" r="A359" s="25">
        <v>328</v>
      </c>
      <c r="B359" s="20">
        <f>IFERROR(B350+B351+B352+B353+B354+B355+B356+B357+B358, "NA")</f>
      </c>
      <c r="C359" s="21">
        <f>IFERROR(B359/B446, "NA")</f>
      </c>
      <c r="D359" s="8"/>
      <c r="E359" s="20">
        <f>IFERROR(E350+E351+E352+E353+E354+E355+E356+E357+E358, "NA")</f>
      </c>
      <c r="F359" s="21">
        <f>IFERROR(E359/E446, "NA")</f>
      </c>
      <c r="G359" s="8"/>
      <c r="H359" s="20">
        <f>IFERROR(-(B359-E359), "NA")</f>
      </c>
      <c r="I359" s="21">
        <f>IFERROR(H359/H446, "NA")</f>
      </c>
      <c r="J359" s="8"/>
      <c r="K359" s="20">
        <f>IFERROR(K350+K351+K352+K353+K354+K355+K356+K357+K358, "NA")</f>
      </c>
      <c r="L359" s="21">
        <f>IFERROR(K359/K446, "NA")</f>
      </c>
      <c r="M359" s="8"/>
      <c r="N359" s="20">
        <f>IFERROR(-(B359-K359), "NA")</f>
      </c>
      <c r="O359" s="21">
        <f>IFERROR(N359/N446, "NA")</f>
      </c>
      <c r="P359" s="8"/>
      <c r="Q359" s="20">
        <f>IFERROR(Q350+Q351+Q352+Q353+Q354+Q355+Q356+Q357+Q358, "NA")</f>
      </c>
      <c r="R359" s="21">
        <f>IFERROR(Q359/Q446, "NA")</f>
      </c>
      <c r="S359" s="8"/>
      <c r="T359" s="20">
        <f>IFERROR(T350+T351+T352+T353+T354+T355+T356+T357+T358, "NA")</f>
      </c>
      <c r="U359" s="21">
        <f>IFERROR(T359/T446, "NA")</f>
      </c>
      <c r="V359" s="8"/>
      <c r="W359" s="20">
        <f>IFERROR(-(Q359-T359), "NA")</f>
      </c>
      <c r="X359" s="21">
        <f>IFERROR(W359/W446, "NA")</f>
      </c>
      <c r="Y359" s="8"/>
      <c r="Z359" s="20">
        <f>IFERROR(Z350+Z351+Z352+Z353+Z354+Z355+Z356+Z357+Z358, "NA")</f>
      </c>
      <c r="AA359" s="21">
        <f>IFERROR(Z359/Z446, "NA")</f>
      </c>
      <c r="AB359" s="8"/>
      <c r="AC359" s="20">
        <f>IFERROR(-(Q359-Z359), "NA")</f>
      </c>
      <c r="AD359" s="21">
        <f>IFERROR(AC359/AC446, "NA")</f>
      </c>
    </row>
    <row r="360" ht="16.5" customHeight="1">
      <c t="s" r="A360" s="11">
        <v>329</v>
      </c>
      <c r="B360" s="8"/>
      <c r="C360" s="9"/>
      <c r="D360" s="10"/>
      <c r="E360" s="8"/>
      <c r="F360" s="9"/>
      <c r="G360" s="10"/>
      <c r="H360" s="8"/>
      <c r="I360" s="9"/>
      <c r="J360" s="10"/>
      <c r="K360" s="8"/>
      <c r="L360" s="9"/>
      <c r="M360" s="10"/>
      <c r="N360" s="8"/>
      <c r="O360" s="9"/>
      <c r="P360" s="10"/>
      <c r="Q360" s="8"/>
      <c r="R360" s="9"/>
      <c r="S360" s="10"/>
      <c r="T360" s="8"/>
      <c r="U360" s="9"/>
      <c r="V360" s="10"/>
      <c r="W360" s="8"/>
      <c r="X360" s="9"/>
      <c r="Y360" s="10"/>
      <c r="Z360" s="8"/>
      <c r="AA360" s="9"/>
      <c r="AB360" s="10"/>
      <c r="AC360" s="8"/>
      <c r="AD360" s="9"/>
    </row>
    <row r="361" hidden="1" ht="16.5" customHeight="1">
      <c t="s" r="A361" s="12">
        <v>329</v>
      </c>
      <c r="B361" s="13">
        <v>0</v>
      </c>
      <c r="C361" s="14">
        <f>IFERROR(B361/B446, "NA")</f>
      </c>
      <c r="D361" s="15"/>
      <c r="E361" s="13">
        <v>0</v>
      </c>
      <c r="F361" s="14">
        <f>IFERROR(E361/E446, "NA")</f>
      </c>
      <c r="G361" s="15"/>
      <c r="H361" s="16">
        <f>IFERROR(-(B361-E361), "NA")</f>
      </c>
      <c r="I361" s="14">
        <f>IFERROR(H361/H446, "NA")</f>
      </c>
      <c r="J361" s="15"/>
      <c r="K361" s="13">
        <v>0</v>
      </c>
      <c r="L361" s="14">
        <f>IFERROR(K361/K446, "NA")</f>
      </c>
      <c r="M361" s="15"/>
      <c r="N361" s="16">
        <f>IFERROR(-(B361-K361), "NA")</f>
      </c>
      <c r="O361" s="14">
        <f>IFERROR(N361/N446, "NA")</f>
      </c>
      <c r="P361" s="15"/>
      <c r="Q361" s="13">
        <v>0</v>
      </c>
      <c r="R361" s="14">
        <f>IFERROR(Q361/Q446, "NA")</f>
      </c>
      <c r="S361" s="15"/>
      <c r="T361" s="13">
        <v>0</v>
      </c>
      <c r="U361" s="14">
        <f>IFERROR(T361/T446, "NA")</f>
      </c>
      <c r="V361" s="15"/>
      <c r="W361" s="16">
        <f>IFERROR(-(Q361-T361), "NA")</f>
      </c>
      <c r="X361" s="14">
        <f>IFERROR(W361/W446, "NA")</f>
      </c>
      <c r="Y361" s="15"/>
      <c r="Z361" s="13">
        <v>0</v>
      </c>
      <c r="AA361" s="14">
        <f>IFERROR(Z361/Z446, "NA")</f>
      </c>
      <c r="AB361" s="15"/>
      <c r="AC361" s="16">
        <f>IFERROR(-(Q361-Z361), "NA")</f>
      </c>
      <c r="AD361" s="14">
        <f>IFERROR(AC361/AC446, "NA")</f>
      </c>
    </row>
    <row r="362" hidden="1" ht="16.5" customHeight="1">
      <c t="s" r="A362" s="12">
        <v>330</v>
      </c>
      <c r="B362" s="13">
        <v>0</v>
      </c>
      <c r="C362" s="14">
        <f>IFERROR(B362/B446, "NA")</f>
      </c>
      <c r="D362" s="15"/>
      <c r="E362" s="13">
        <v>0</v>
      </c>
      <c r="F362" s="14">
        <f>IFERROR(E362/E446, "NA")</f>
      </c>
      <c r="G362" s="15"/>
      <c r="H362" s="16">
        <f>IFERROR(-(B362-E362), "NA")</f>
      </c>
      <c r="I362" s="14">
        <f>IFERROR(H362/H446, "NA")</f>
      </c>
      <c r="J362" s="15"/>
      <c r="K362" s="13">
        <v>0</v>
      </c>
      <c r="L362" s="14">
        <f>IFERROR(K362/K446, "NA")</f>
      </c>
      <c r="M362" s="15"/>
      <c r="N362" s="16">
        <f>IFERROR(-(B362-K362), "NA")</f>
      </c>
      <c r="O362" s="14">
        <f>IFERROR(N362/N446, "NA")</f>
      </c>
      <c r="P362" s="15"/>
      <c r="Q362" s="13">
        <v>0</v>
      </c>
      <c r="R362" s="14">
        <f>IFERROR(Q362/Q446, "NA")</f>
      </c>
      <c r="S362" s="15"/>
      <c r="T362" s="13">
        <v>0</v>
      </c>
      <c r="U362" s="14">
        <f>IFERROR(T362/T446, "NA")</f>
      </c>
      <c r="V362" s="15"/>
      <c r="W362" s="16">
        <f>IFERROR(-(Q362-T362), "NA")</f>
      </c>
      <c r="X362" s="14">
        <f>IFERROR(W362/W446, "NA")</f>
      </c>
      <c r="Y362" s="15"/>
      <c r="Z362" s="13">
        <v>0</v>
      </c>
      <c r="AA362" s="14">
        <f>IFERROR(Z362/Z446, "NA")</f>
      </c>
      <c r="AB362" s="15"/>
      <c r="AC362" s="16">
        <f>IFERROR(-(Q362-Z362), "NA")</f>
      </c>
      <c r="AD362" s="14">
        <f>IFERROR(AC362/AC446, "NA")</f>
      </c>
    </row>
    <row r="363" hidden="1" ht="16.5" customHeight="1">
      <c t="s" r="A363" s="12">
        <v>331</v>
      </c>
      <c r="B363" s="13">
        <v>0</v>
      </c>
      <c r="C363" s="14">
        <f>IFERROR(B363/B446, "NA")</f>
      </c>
      <c r="D363" s="15"/>
      <c r="E363" s="13">
        <v>0</v>
      </c>
      <c r="F363" s="14">
        <f>IFERROR(E363/E446, "NA")</f>
      </c>
      <c r="G363" s="15"/>
      <c r="H363" s="16">
        <f>IFERROR(-(B363-E363), "NA")</f>
      </c>
      <c r="I363" s="14">
        <f>IFERROR(H363/H446, "NA")</f>
      </c>
      <c r="J363" s="15"/>
      <c r="K363" s="13">
        <v>0</v>
      </c>
      <c r="L363" s="14">
        <f>IFERROR(K363/K446, "NA")</f>
      </c>
      <c r="M363" s="15"/>
      <c r="N363" s="16">
        <f>IFERROR(-(B363-K363), "NA")</f>
      </c>
      <c r="O363" s="14">
        <f>IFERROR(N363/N446, "NA")</f>
      </c>
      <c r="P363" s="15"/>
      <c r="Q363" s="13">
        <v>0</v>
      </c>
      <c r="R363" s="14">
        <f>IFERROR(Q363/Q446, "NA")</f>
      </c>
      <c r="S363" s="15"/>
      <c r="T363" s="13">
        <v>0</v>
      </c>
      <c r="U363" s="14">
        <f>IFERROR(T363/T446, "NA")</f>
      </c>
      <c r="V363" s="15"/>
      <c r="W363" s="16">
        <f>IFERROR(-(Q363-T363), "NA")</f>
      </c>
      <c r="X363" s="14">
        <f>IFERROR(W363/W446, "NA")</f>
      </c>
      <c r="Y363" s="15"/>
      <c r="Z363" s="13">
        <v>0</v>
      </c>
      <c r="AA363" s="14">
        <f>IFERROR(Z363/Z446, "NA")</f>
      </c>
      <c r="AB363" s="15"/>
      <c r="AC363" s="16">
        <f>IFERROR(-(Q363-Z363), "NA")</f>
      </c>
      <c r="AD363" s="14">
        <f>IFERROR(AC363/AC446, "NA")</f>
      </c>
    </row>
    <row r="364" hidden="1" ht="16.5" customHeight="1">
      <c t="s" r="A364" s="12">
        <v>332</v>
      </c>
      <c r="B364" s="13">
        <v>0</v>
      </c>
      <c r="C364" s="14">
        <f>IFERROR(B364/B446, "NA")</f>
      </c>
      <c r="D364" s="15"/>
      <c r="E364" s="13">
        <v>0</v>
      </c>
      <c r="F364" s="14">
        <f>IFERROR(E364/E446, "NA")</f>
      </c>
      <c r="G364" s="15"/>
      <c r="H364" s="16">
        <f>IFERROR(-(B364-E364), "NA")</f>
      </c>
      <c r="I364" s="14">
        <f>IFERROR(H364/H446, "NA")</f>
      </c>
      <c r="J364" s="15"/>
      <c r="K364" s="13">
        <v>0</v>
      </c>
      <c r="L364" s="14">
        <f>IFERROR(K364/K446, "NA")</f>
      </c>
      <c r="M364" s="15"/>
      <c r="N364" s="16">
        <f>IFERROR(-(B364-K364), "NA")</f>
      </c>
      <c r="O364" s="14">
        <f>IFERROR(N364/N446, "NA")</f>
      </c>
      <c r="P364" s="15"/>
      <c r="Q364" s="13">
        <v>0</v>
      </c>
      <c r="R364" s="14">
        <f>IFERROR(Q364/Q446, "NA")</f>
      </c>
      <c r="S364" s="15"/>
      <c r="T364" s="13">
        <v>0</v>
      </c>
      <c r="U364" s="14">
        <f>IFERROR(T364/T446, "NA")</f>
      </c>
      <c r="V364" s="15"/>
      <c r="W364" s="16">
        <f>IFERROR(-(Q364-T364), "NA")</f>
      </c>
      <c r="X364" s="14">
        <f>IFERROR(W364/W446, "NA")</f>
      </c>
      <c r="Y364" s="15"/>
      <c r="Z364" s="13">
        <v>0</v>
      </c>
      <c r="AA364" s="14">
        <f>IFERROR(Z364/Z446, "NA")</f>
      </c>
      <c r="AB364" s="15"/>
      <c r="AC364" s="16">
        <f>IFERROR(-(Q364-Z364), "NA")</f>
      </c>
      <c r="AD364" s="14">
        <f>IFERROR(AC364/AC446, "NA")</f>
      </c>
    </row>
    <row r="365" hidden="1" ht="16.5" customHeight="1">
      <c t="s" r="A365" s="12">
        <v>333</v>
      </c>
      <c r="B365" s="13">
        <v>0</v>
      </c>
      <c r="C365" s="14">
        <f>IFERROR(B365/B446, "NA")</f>
      </c>
      <c r="D365" s="15"/>
      <c r="E365" s="13">
        <v>0</v>
      </c>
      <c r="F365" s="14">
        <f>IFERROR(E365/E446, "NA")</f>
      </c>
      <c r="G365" s="15"/>
      <c r="H365" s="16">
        <f>IFERROR(-(B365-E365), "NA")</f>
      </c>
      <c r="I365" s="14">
        <f>IFERROR(H365/H446, "NA")</f>
      </c>
      <c r="J365" s="15"/>
      <c r="K365" s="13">
        <v>0</v>
      </c>
      <c r="L365" s="14">
        <f>IFERROR(K365/K446, "NA")</f>
      </c>
      <c r="M365" s="15"/>
      <c r="N365" s="16">
        <f>IFERROR(-(B365-K365), "NA")</f>
      </c>
      <c r="O365" s="14">
        <f>IFERROR(N365/N446, "NA")</f>
      </c>
      <c r="P365" s="15"/>
      <c r="Q365" s="13">
        <v>0</v>
      </c>
      <c r="R365" s="14">
        <f>IFERROR(Q365/Q446, "NA")</f>
      </c>
      <c r="S365" s="15"/>
      <c r="T365" s="13">
        <v>0</v>
      </c>
      <c r="U365" s="14">
        <f>IFERROR(T365/T446, "NA")</f>
      </c>
      <c r="V365" s="15"/>
      <c r="W365" s="16">
        <f>IFERROR(-(Q365-T365), "NA")</f>
      </c>
      <c r="X365" s="14">
        <f>IFERROR(W365/W446, "NA")</f>
      </c>
      <c r="Y365" s="15"/>
      <c r="Z365" s="13">
        <v>0</v>
      </c>
      <c r="AA365" s="14">
        <f>IFERROR(Z365/Z446, "NA")</f>
      </c>
      <c r="AB365" s="15"/>
      <c r="AC365" s="16">
        <f>IFERROR(-(Q365-Z365), "NA")</f>
      </c>
      <c r="AD365" s="14">
        <f>IFERROR(AC365/AC446, "NA")</f>
      </c>
    </row>
    <row r="366" hidden="1" ht="16.5" customHeight="1">
      <c t="s" r="A366" s="12">
        <v>334</v>
      </c>
      <c r="B366" s="13">
        <v>0</v>
      </c>
      <c r="C366" s="14">
        <f>IFERROR(B366/B446, "NA")</f>
      </c>
      <c r="D366" s="15"/>
      <c r="E366" s="13">
        <v>0</v>
      </c>
      <c r="F366" s="14">
        <f>IFERROR(E366/E446, "NA")</f>
      </c>
      <c r="G366" s="15"/>
      <c r="H366" s="16">
        <f>IFERROR(-(B366-E366), "NA")</f>
      </c>
      <c r="I366" s="14">
        <f>IFERROR(H366/H446, "NA")</f>
      </c>
      <c r="J366" s="15"/>
      <c r="K366" s="13">
        <v>0</v>
      </c>
      <c r="L366" s="14">
        <f>IFERROR(K366/K446, "NA")</f>
      </c>
      <c r="M366" s="15"/>
      <c r="N366" s="16">
        <f>IFERROR(-(B366-K366), "NA")</f>
      </c>
      <c r="O366" s="14">
        <f>IFERROR(N366/N446, "NA")</f>
      </c>
      <c r="P366" s="15"/>
      <c r="Q366" s="13">
        <v>0</v>
      </c>
      <c r="R366" s="14">
        <f>IFERROR(Q366/Q446, "NA")</f>
      </c>
      <c r="S366" s="15"/>
      <c r="T366" s="13">
        <v>0</v>
      </c>
      <c r="U366" s="14">
        <f>IFERROR(T366/T446, "NA")</f>
      </c>
      <c r="V366" s="15"/>
      <c r="W366" s="16">
        <f>IFERROR(-(Q366-T366), "NA")</f>
      </c>
      <c r="X366" s="14">
        <f>IFERROR(W366/W446, "NA")</f>
      </c>
      <c r="Y366" s="15"/>
      <c r="Z366" s="13">
        <v>0</v>
      </c>
      <c r="AA366" s="14">
        <f>IFERROR(Z366/Z446, "NA")</f>
      </c>
      <c r="AB366" s="15"/>
      <c r="AC366" s="16">
        <f>IFERROR(-(Q366-Z366), "NA")</f>
      </c>
      <c r="AD366" s="14">
        <f>IFERROR(AC366/AC446, "NA")</f>
      </c>
    </row>
    <row r="367" hidden="1" ht="16.5" customHeight="1">
      <c t="s" r="A367" s="12">
        <v>335</v>
      </c>
      <c r="B367" s="13">
        <v>0</v>
      </c>
      <c r="C367" s="14">
        <f>IFERROR(B367/B446, "NA")</f>
      </c>
      <c r="D367" s="15"/>
      <c r="E367" s="13">
        <v>0</v>
      </c>
      <c r="F367" s="14">
        <f>IFERROR(E367/E446, "NA")</f>
      </c>
      <c r="G367" s="15"/>
      <c r="H367" s="16">
        <f>IFERROR(-(B367-E367), "NA")</f>
      </c>
      <c r="I367" s="14">
        <f>IFERROR(H367/H446, "NA")</f>
      </c>
      <c r="J367" s="15"/>
      <c r="K367" s="13">
        <v>0</v>
      </c>
      <c r="L367" s="14">
        <f>IFERROR(K367/K446, "NA")</f>
      </c>
      <c r="M367" s="15"/>
      <c r="N367" s="16">
        <f>IFERROR(-(B367-K367), "NA")</f>
      </c>
      <c r="O367" s="14">
        <f>IFERROR(N367/N446, "NA")</f>
      </c>
      <c r="P367" s="15"/>
      <c r="Q367" s="13">
        <v>0</v>
      </c>
      <c r="R367" s="14">
        <f>IFERROR(Q367/Q446, "NA")</f>
      </c>
      <c r="S367" s="15"/>
      <c r="T367" s="13">
        <v>0</v>
      </c>
      <c r="U367" s="14">
        <f>IFERROR(T367/T446, "NA")</f>
      </c>
      <c r="V367" s="15"/>
      <c r="W367" s="16">
        <f>IFERROR(-(Q367-T367), "NA")</f>
      </c>
      <c r="X367" s="14">
        <f>IFERROR(W367/W446, "NA")</f>
      </c>
      <c r="Y367" s="15"/>
      <c r="Z367" s="13">
        <v>0</v>
      </c>
      <c r="AA367" s="14">
        <f>IFERROR(Z367/Z446, "NA")</f>
      </c>
      <c r="AB367" s="15"/>
      <c r="AC367" s="16">
        <f>IFERROR(-(Q367-Z367), "NA")</f>
      </c>
      <c r="AD367" s="14">
        <f>IFERROR(AC367/AC446, "NA")</f>
      </c>
    </row>
    <row r="368" hidden="1" ht="16.5" customHeight="1">
      <c t="s" r="A368" s="12">
        <v>336</v>
      </c>
      <c r="B368" s="13">
        <v>0</v>
      </c>
      <c r="C368" s="14">
        <f>IFERROR(B368/B446, "NA")</f>
      </c>
      <c r="D368" s="15"/>
      <c r="E368" s="13">
        <v>0</v>
      </c>
      <c r="F368" s="14">
        <f>IFERROR(E368/E446, "NA")</f>
      </c>
      <c r="G368" s="15"/>
      <c r="H368" s="16">
        <f>IFERROR(-(B368-E368), "NA")</f>
      </c>
      <c r="I368" s="14">
        <f>IFERROR(H368/H446, "NA")</f>
      </c>
      <c r="J368" s="15"/>
      <c r="K368" s="13">
        <v>0</v>
      </c>
      <c r="L368" s="14">
        <f>IFERROR(K368/K446, "NA")</f>
      </c>
      <c r="M368" s="15"/>
      <c r="N368" s="16">
        <f>IFERROR(-(B368-K368), "NA")</f>
      </c>
      <c r="O368" s="14">
        <f>IFERROR(N368/N446, "NA")</f>
      </c>
      <c r="P368" s="15"/>
      <c r="Q368" s="13">
        <v>0</v>
      </c>
      <c r="R368" s="14">
        <f>IFERROR(Q368/Q446, "NA")</f>
      </c>
      <c r="S368" s="15"/>
      <c r="T368" s="13">
        <v>0</v>
      </c>
      <c r="U368" s="14">
        <f>IFERROR(T368/T446, "NA")</f>
      </c>
      <c r="V368" s="15"/>
      <c r="W368" s="16">
        <f>IFERROR(-(Q368-T368), "NA")</f>
      </c>
      <c r="X368" s="14">
        <f>IFERROR(W368/W446, "NA")</f>
      </c>
      <c r="Y368" s="15"/>
      <c r="Z368" s="13">
        <v>0</v>
      </c>
      <c r="AA368" s="14">
        <f>IFERROR(Z368/Z446, "NA")</f>
      </c>
      <c r="AB368" s="15"/>
      <c r="AC368" s="16">
        <f>IFERROR(-(Q368-Z368), "NA")</f>
      </c>
      <c r="AD368" s="14">
        <f>IFERROR(AC368/AC446, "NA")</f>
      </c>
    </row>
    <row r="369" ht="16.5" customHeight="1">
      <c t="s" r="A369" s="25">
        <v>337</v>
      </c>
      <c r="B369" s="20">
        <f>IFERROR(B361+B362+B363+B364+B365+B366+B367+B368, "NA")</f>
      </c>
      <c r="C369" s="21">
        <f>IFERROR(B369/B446, "NA")</f>
      </c>
      <c r="D369" s="8"/>
      <c r="E369" s="20">
        <f>IFERROR(E361+E362+E363+E364+E365+E366+E367+E368, "NA")</f>
      </c>
      <c r="F369" s="21">
        <f>IFERROR(E369/E446, "NA")</f>
      </c>
      <c r="G369" s="8"/>
      <c r="H369" s="20">
        <f>IFERROR(-(B369-E369), "NA")</f>
      </c>
      <c r="I369" s="21">
        <f>IFERROR(H369/H446, "NA")</f>
      </c>
      <c r="J369" s="8"/>
      <c r="K369" s="20">
        <f>IFERROR(K361+K362+K363+K364+K365+K366+K367+K368, "NA")</f>
      </c>
      <c r="L369" s="21">
        <f>IFERROR(K369/K446, "NA")</f>
      </c>
      <c r="M369" s="8"/>
      <c r="N369" s="20">
        <f>IFERROR(-(B369-K369), "NA")</f>
      </c>
      <c r="O369" s="21">
        <f>IFERROR(N369/N446, "NA")</f>
      </c>
      <c r="P369" s="8"/>
      <c r="Q369" s="20">
        <f>IFERROR(Q361+Q362+Q363+Q364+Q365+Q366+Q367+Q368, "NA")</f>
      </c>
      <c r="R369" s="21">
        <f>IFERROR(Q369/Q446, "NA")</f>
      </c>
      <c r="S369" s="8"/>
      <c r="T369" s="20">
        <f>IFERROR(T361+T362+T363+T364+T365+T366+T367+T368, "NA")</f>
      </c>
      <c r="U369" s="21">
        <f>IFERROR(T369/T446, "NA")</f>
      </c>
      <c r="V369" s="8"/>
      <c r="W369" s="20">
        <f>IFERROR(-(Q369-T369), "NA")</f>
      </c>
      <c r="X369" s="21">
        <f>IFERROR(W369/W446, "NA")</f>
      </c>
      <c r="Y369" s="8"/>
      <c r="Z369" s="20">
        <f>IFERROR(Z361+Z362+Z363+Z364+Z365+Z366+Z367+Z368, "NA")</f>
      </c>
      <c r="AA369" s="21">
        <f>IFERROR(Z369/Z446, "NA")</f>
      </c>
      <c r="AB369" s="8"/>
      <c r="AC369" s="20">
        <f>IFERROR(-(Q369-Z369), "NA")</f>
      </c>
      <c r="AD369" s="21">
        <f>IFERROR(AC369/AC446, "NA")</f>
      </c>
    </row>
    <row r="370" hidden="1" ht="16.5" customHeight="1">
      <c t="s" r="A370" s="26">
        <v>338</v>
      </c>
      <c r="B370" s="13">
        <v>0</v>
      </c>
      <c r="C370" s="14">
        <f>IFERROR(B370/B446, "NA")</f>
      </c>
      <c r="D370" s="15"/>
      <c r="E370" s="13">
        <v>0</v>
      </c>
      <c r="F370" s="14">
        <f>IFERROR(E370/E446, "NA")</f>
      </c>
      <c r="G370" s="15"/>
      <c r="H370" s="16">
        <f>IFERROR(-(B370-E370), "NA")</f>
      </c>
      <c r="I370" s="14">
        <f>IFERROR(H370/H446, "NA")</f>
      </c>
      <c r="J370" s="15"/>
      <c r="K370" s="13">
        <v>0</v>
      </c>
      <c r="L370" s="14">
        <f>IFERROR(K370/K446, "NA")</f>
      </c>
      <c r="M370" s="15"/>
      <c r="N370" s="16">
        <f>IFERROR(-(B370-K370), "NA")</f>
      </c>
      <c r="O370" s="14">
        <f>IFERROR(N370/N446, "NA")</f>
      </c>
      <c r="P370" s="15"/>
      <c r="Q370" s="13">
        <v>0</v>
      </c>
      <c r="R370" s="14">
        <f>IFERROR(Q370/Q446, "NA")</f>
      </c>
      <c r="S370" s="15"/>
      <c r="T370" s="13">
        <v>0</v>
      </c>
      <c r="U370" s="14">
        <f>IFERROR(T370/T446, "NA")</f>
      </c>
      <c r="V370" s="15"/>
      <c r="W370" s="16">
        <f>IFERROR(-(Q370-T370), "NA")</f>
      </c>
      <c r="X370" s="14">
        <f>IFERROR(W370/W446, "NA")</f>
      </c>
      <c r="Y370" s="15"/>
      <c r="Z370" s="13">
        <v>0</v>
      </c>
      <c r="AA370" s="14">
        <f>IFERROR(Z370/Z446, "NA")</f>
      </c>
      <c r="AB370" s="15"/>
      <c r="AC370" s="16">
        <f>IFERROR(-(Q370-Z370), "NA")</f>
      </c>
      <c r="AD370" s="14">
        <f>IFERROR(AC370/AC446, "NA")</f>
      </c>
    </row>
    <row r="371" hidden="1" ht="16.5" customHeight="1">
      <c t="s" r="A371" s="26">
        <v>339</v>
      </c>
      <c r="B371" s="13">
        <v>0</v>
      </c>
      <c r="C371" s="14">
        <f>IFERROR(B371/B446, "NA")</f>
      </c>
      <c r="D371" s="15"/>
      <c r="E371" s="13">
        <v>0</v>
      </c>
      <c r="F371" s="14">
        <f>IFERROR(E371/E446, "NA")</f>
      </c>
      <c r="G371" s="15"/>
      <c r="H371" s="16">
        <f>IFERROR(-(B371-E371), "NA")</f>
      </c>
      <c r="I371" s="14">
        <f>IFERROR(H371/H446, "NA")</f>
      </c>
      <c r="J371" s="15"/>
      <c r="K371" s="13">
        <v>0</v>
      </c>
      <c r="L371" s="14">
        <f>IFERROR(K371/K446, "NA")</f>
      </c>
      <c r="M371" s="15"/>
      <c r="N371" s="16">
        <f>IFERROR(-(B371-K371), "NA")</f>
      </c>
      <c r="O371" s="14">
        <f>IFERROR(N371/N446, "NA")</f>
      </c>
      <c r="P371" s="15"/>
      <c r="Q371" s="13">
        <v>0</v>
      </c>
      <c r="R371" s="14">
        <f>IFERROR(Q371/Q446, "NA")</f>
      </c>
      <c r="S371" s="15"/>
      <c r="T371" s="13">
        <v>0</v>
      </c>
      <c r="U371" s="14">
        <f>IFERROR(T371/T446, "NA")</f>
      </c>
      <c r="V371" s="15"/>
      <c r="W371" s="16">
        <f>IFERROR(-(Q371-T371), "NA")</f>
      </c>
      <c r="X371" s="14">
        <f>IFERROR(W371/W446, "NA")</f>
      </c>
      <c r="Y371" s="15"/>
      <c r="Z371" s="13">
        <v>0</v>
      </c>
      <c r="AA371" s="14">
        <f>IFERROR(Z371/Z446, "NA")</f>
      </c>
      <c r="AB371" s="15"/>
      <c r="AC371" s="16">
        <f>IFERROR(-(Q371-Z371), "NA")</f>
      </c>
      <c r="AD371" s="14">
        <f>IFERROR(AC371/AC446, "NA")</f>
      </c>
    </row>
    <row r="372" hidden="1" ht="16.5" customHeight="1">
      <c t="s" r="A372" s="26">
        <v>340</v>
      </c>
      <c r="B372" s="13">
        <v>0</v>
      </c>
      <c r="C372" s="14">
        <f>IFERROR(B372/B446, "NA")</f>
      </c>
      <c r="D372" s="15"/>
      <c r="E372" s="13">
        <v>0</v>
      </c>
      <c r="F372" s="14">
        <f>IFERROR(E372/E446, "NA")</f>
      </c>
      <c r="G372" s="15"/>
      <c r="H372" s="16">
        <f>IFERROR(-(B372-E372), "NA")</f>
      </c>
      <c r="I372" s="14">
        <f>IFERROR(H372/H446, "NA")</f>
      </c>
      <c r="J372" s="15"/>
      <c r="K372" s="13">
        <v>0</v>
      </c>
      <c r="L372" s="14">
        <f>IFERROR(K372/K446, "NA")</f>
      </c>
      <c r="M372" s="15"/>
      <c r="N372" s="16">
        <f>IFERROR(-(B372-K372), "NA")</f>
      </c>
      <c r="O372" s="14">
        <f>IFERROR(N372/N446, "NA")</f>
      </c>
      <c r="P372" s="15"/>
      <c r="Q372" s="13">
        <v>0</v>
      </c>
      <c r="R372" s="14">
        <f>IFERROR(Q372/Q446, "NA")</f>
      </c>
      <c r="S372" s="15"/>
      <c r="T372" s="13">
        <v>0</v>
      </c>
      <c r="U372" s="14">
        <f>IFERROR(T372/T446, "NA")</f>
      </c>
      <c r="V372" s="15"/>
      <c r="W372" s="16">
        <f>IFERROR(-(Q372-T372), "NA")</f>
      </c>
      <c r="X372" s="14">
        <f>IFERROR(W372/W446, "NA")</f>
      </c>
      <c r="Y372" s="15"/>
      <c r="Z372" s="13">
        <v>0</v>
      </c>
      <c r="AA372" s="14">
        <f>IFERROR(Z372/Z446, "NA")</f>
      </c>
      <c r="AB372" s="15"/>
      <c r="AC372" s="16">
        <f>IFERROR(-(Q372-Z372), "NA")</f>
      </c>
      <c r="AD372" s="14">
        <f>IFERROR(AC372/AC446, "NA")</f>
      </c>
    </row>
    <row r="373" hidden="1" ht="16.5" customHeight="1">
      <c t="s" r="A373" s="26">
        <v>341</v>
      </c>
      <c r="B373" s="13">
        <v>0</v>
      </c>
      <c r="C373" s="14">
        <f>IFERROR(B373/B446, "NA")</f>
      </c>
      <c r="D373" s="15"/>
      <c r="E373" s="13">
        <v>0</v>
      </c>
      <c r="F373" s="14">
        <f>IFERROR(E373/E446, "NA")</f>
      </c>
      <c r="G373" s="15"/>
      <c r="H373" s="16">
        <f>IFERROR(-(B373-E373), "NA")</f>
      </c>
      <c r="I373" s="14">
        <f>IFERROR(H373/H446, "NA")</f>
      </c>
      <c r="J373" s="15"/>
      <c r="K373" s="13">
        <v>0</v>
      </c>
      <c r="L373" s="14">
        <f>IFERROR(K373/K446, "NA")</f>
      </c>
      <c r="M373" s="15"/>
      <c r="N373" s="16">
        <f>IFERROR(-(B373-K373), "NA")</f>
      </c>
      <c r="O373" s="14">
        <f>IFERROR(N373/N446, "NA")</f>
      </c>
      <c r="P373" s="15"/>
      <c r="Q373" s="13">
        <v>0</v>
      </c>
      <c r="R373" s="14">
        <f>IFERROR(Q373/Q446, "NA")</f>
      </c>
      <c r="S373" s="15"/>
      <c r="T373" s="13">
        <v>0</v>
      </c>
      <c r="U373" s="14">
        <f>IFERROR(T373/T446, "NA")</f>
      </c>
      <c r="V373" s="15"/>
      <c r="W373" s="16">
        <f>IFERROR(-(Q373-T373), "NA")</f>
      </c>
      <c r="X373" s="14">
        <f>IFERROR(W373/W446, "NA")</f>
      </c>
      <c r="Y373" s="15"/>
      <c r="Z373" s="13">
        <v>0</v>
      </c>
      <c r="AA373" s="14">
        <f>IFERROR(Z373/Z446, "NA")</f>
      </c>
      <c r="AB373" s="15"/>
      <c r="AC373" s="16">
        <f>IFERROR(-(Q373-Z373), "NA")</f>
      </c>
      <c r="AD373" s="14">
        <f>IFERROR(AC373/AC446, "NA")</f>
      </c>
    </row>
    <row r="374" hidden="1" ht="16.5" customHeight="1">
      <c t="s" r="A374" s="26">
        <v>342</v>
      </c>
      <c r="B374" s="13">
        <v>0</v>
      </c>
      <c r="C374" s="14">
        <f>IFERROR(B374/B446, "NA")</f>
      </c>
      <c r="D374" s="15"/>
      <c r="E374" s="13">
        <v>0</v>
      </c>
      <c r="F374" s="14">
        <f>IFERROR(E374/E446, "NA")</f>
      </c>
      <c r="G374" s="15"/>
      <c r="H374" s="16">
        <f>IFERROR(-(B374-E374), "NA")</f>
      </c>
      <c r="I374" s="14">
        <f>IFERROR(H374/H446, "NA")</f>
      </c>
      <c r="J374" s="15"/>
      <c r="K374" s="13">
        <v>0</v>
      </c>
      <c r="L374" s="14">
        <f>IFERROR(K374/K446, "NA")</f>
      </c>
      <c r="M374" s="15"/>
      <c r="N374" s="16">
        <f>IFERROR(-(B374-K374), "NA")</f>
      </c>
      <c r="O374" s="14">
        <f>IFERROR(N374/N446, "NA")</f>
      </c>
      <c r="P374" s="15"/>
      <c r="Q374" s="13">
        <v>0</v>
      </c>
      <c r="R374" s="14">
        <f>IFERROR(Q374/Q446, "NA")</f>
      </c>
      <c r="S374" s="15"/>
      <c r="T374" s="13">
        <v>0</v>
      </c>
      <c r="U374" s="14">
        <f>IFERROR(T374/T446, "NA")</f>
      </c>
      <c r="V374" s="15"/>
      <c r="W374" s="16">
        <f>IFERROR(-(Q374-T374), "NA")</f>
      </c>
      <c r="X374" s="14">
        <f>IFERROR(W374/W446, "NA")</f>
      </c>
      <c r="Y374" s="15"/>
      <c r="Z374" s="13">
        <v>0</v>
      </c>
      <c r="AA374" s="14">
        <f>IFERROR(Z374/Z446, "NA")</f>
      </c>
      <c r="AB374" s="15"/>
      <c r="AC374" s="16">
        <f>IFERROR(-(Q374-Z374), "NA")</f>
      </c>
      <c r="AD374" s="14">
        <f>IFERROR(AC374/AC446, "NA")</f>
      </c>
    </row>
    <row r="375" hidden="1" ht="16.5" customHeight="1">
      <c t="s" r="A375" s="26">
        <v>343</v>
      </c>
      <c r="B375" s="13">
        <v>0</v>
      </c>
      <c r="C375" s="14">
        <f>IFERROR(B375/B446, "NA")</f>
      </c>
      <c r="D375" s="15"/>
      <c r="E375" s="13">
        <v>0</v>
      </c>
      <c r="F375" s="14">
        <f>IFERROR(E375/E446, "NA")</f>
      </c>
      <c r="G375" s="15"/>
      <c r="H375" s="16">
        <f>IFERROR(-(B375-E375), "NA")</f>
      </c>
      <c r="I375" s="14">
        <f>IFERROR(H375/H446, "NA")</f>
      </c>
      <c r="J375" s="15"/>
      <c r="K375" s="13">
        <v>0</v>
      </c>
      <c r="L375" s="14">
        <f>IFERROR(K375/K446, "NA")</f>
      </c>
      <c r="M375" s="15"/>
      <c r="N375" s="16">
        <f>IFERROR(-(B375-K375), "NA")</f>
      </c>
      <c r="O375" s="14">
        <f>IFERROR(N375/N446, "NA")</f>
      </c>
      <c r="P375" s="15"/>
      <c r="Q375" s="13">
        <v>0</v>
      </c>
      <c r="R375" s="14">
        <f>IFERROR(Q375/Q446, "NA")</f>
      </c>
      <c r="S375" s="15"/>
      <c r="T375" s="13">
        <v>0</v>
      </c>
      <c r="U375" s="14">
        <f>IFERROR(T375/T446, "NA")</f>
      </c>
      <c r="V375" s="15"/>
      <c r="W375" s="16">
        <f>IFERROR(-(Q375-T375), "NA")</f>
      </c>
      <c r="X375" s="14">
        <f>IFERROR(W375/W446, "NA")</f>
      </c>
      <c r="Y375" s="15"/>
      <c r="Z375" s="13">
        <v>0</v>
      </c>
      <c r="AA375" s="14">
        <f>IFERROR(Z375/Z446, "NA")</f>
      </c>
      <c r="AB375" s="15"/>
      <c r="AC375" s="16">
        <f>IFERROR(-(Q375-Z375), "NA")</f>
      </c>
      <c r="AD375" s="14">
        <f>IFERROR(AC375/AC446, "NA")</f>
      </c>
    </row>
    <row r="376" hidden="1" ht="16.5" customHeight="1">
      <c t="s" r="A376" s="26">
        <v>344</v>
      </c>
      <c r="B376" s="13">
        <v>0</v>
      </c>
      <c r="C376" s="14">
        <f>IFERROR(B376/B446, "NA")</f>
      </c>
      <c r="D376" s="15"/>
      <c r="E376" s="13">
        <v>0</v>
      </c>
      <c r="F376" s="14">
        <f>IFERROR(E376/E446, "NA")</f>
      </c>
      <c r="G376" s="15"/>
      <c r="H376" s="16">
        <f>IFERROR(-(B376-E376), "NA")</f>
      </c>
      <c r="I376" s="14">
        <f>IFERROR(H376/H446, "NA")</f>
      </c>
      <c r="J376" s="15"/>
      <c r="K376" s="13">
        <v>0</v>
      </c>
      <c r="L376" s="14">
        <f>IFERROR(K376/K446, "NA")</f>
      </c>
      <c r="M376" s="15"/>
      <c r="N376" s="16">
        <f>IFERROR(-(B376-K376), "NA")</f>
      </c>
      <c r="O376" s="14">
        <f>IFERROR(N376/N446, "NA")</f>
      </c>
      <c r="P376" s="15"/>
      <c r="Q376" s="13">
        <v>0</v>
      </c>
      <c r="R376" s="14">
        <f>IFERROR(Q376/Q446, "NA")</f>
      </c>
      <c r="S376" s="15"/>
      <c r="T376" s="13">
        <v>0</v>
      </c>
      <c r="U376" s="14">
        <f>IFERROR(T376/T446, "NA")</f>
      </c>
      <c r="V376" s="15"/>
      <c r="W376" s="16">
        <f>IFERROR(-(Q376-T376), "NA")</f>
      </c>
      <c r="X376" s="14">
        <f>IFERROR(W376/W446, "NA")</f>
      </c>
      <c r="Y376" s="15"/>
      <c r="Z376" s="13">
        <v>0</v>
      </c>
      <c r="AA376" s="14">
        <f>IFERROR(Z376/Z446, "NA")</f>
      </c>
      <c r="AB376" s="15"/>
      <c r="AC376" s="16">
        <f>IFERROR(-(Q376-Z376), "NA")</f>
      </c>
      <c r="AD376" s="14">
        <f>IFERROR(AC376/AC446, "NA")</f>
      </c>
    </row>
    <row r="377" hidden="1" ht="16.5" customHeight="1">
      <c t="s" r="A377" s="26">
        <v>345</v>
      </c>
      <c r="B377" s="13">
        <v>0</v>
      </c>
      <c r="C377" s="14">
        <f>IFERROR(B377/B446, "NA")</f>
      </c>
      <c r="D377" s="15"/>
      <c r="E377" s="13">
        <v>0</v>
      </c>
      <c r="F377" s="14">
        <f>IFERROR(E377/E446, "NA")</f>
      </c>
      <c r="G377" s="15"/>
      <c r="H377" s="16">
        <f>IFERROR(-(B377-E377), "NA")</f>
      </c>
      <c r="I377" s="14">
        <f>IFERROR(H377/H446, "NA")</f>
      </c>
      <c r="J377" s="15"/>
      <c r="K377" s="13">
        <v>0</v>
      </c>
      <c r="L377" s="14">
        <f>IFERROR(K377/K446, "NA")</f>
      </c>
      <c r="M377" s="15"/>
      <c r="N377" s="16">
        <f>IFERROR(-(B377-K377), "NA")</f>
      </c>
      <c r="O377" s="14">
        <f>IFERROR(N377/N446, "NA")</f>
      </c>
      <c r="P377" s="15"/>
      <c r="Q377" s="13">
        <v>0</v>
      </c>
      <c r="R377" s="14">
        <f>IFERROR(Q377/Q446, "NA")</f>
      </c>
      <c r="S377" s="15"/>
      <c r="T377" s="13">
        <v>0</v>
      </c>
      <c r="U377" s="14">
        <f>IFERROR(T377/T446, "NA")</f>
      </c>
      <c r="V377" s="15"/>
      <c r="W377" s="16">
        <f>IFERROR(-(Q377-T377), "NA")</f>
      </c>
      <c r="X377" s="14">
        <f>IFERROR(W377/W446, "NA")</f>
      </c>
      <c r="Y377" s="15"/>
      <c r="Z377" s="13">
        <v>0</v>
      </c>
      <c r="AA377" s="14">
        <f>IFERROR(Z377/Z446, "NA")</f>
      </c>
      <c r="AB377" s="15"/>
      <c r="AC377" s="16">
        <f>IFERROR(-(Q377-Z377), "NA")</f>
      </c>
      <c r="AD377" s="14">
        <f>IFERROR(AC377/AC446, "NA")</f>
      </c>
    </row>
    <row r="378" hidden="1" ht="16.5" customHeight="1">
      <c t="s" r="A378" s="26">
        <v>346</v>
      </c>
      <c r="B378" s="13">
        <v>0</v>
      </c>
      <c r="C378" s="14">
        <f>IFERROR(B378/B446, "NA")</f>
      </c>
      <c r="D378" s="15"/>
      <c r="E378" s="13">
        <v>0</v>
      </c>
      <c r="F378" s="14">
        <f>IFERROR(E378/E446, "NA")</f>
      </c>
      <c r="G378" s="15"/>
      <c r="H378" s="16">
        <f>IFERROR(-(B378-E378), "NA")</f>
      </c>
      <c r="I378" s="14">
        <f>IFERROR(H378/H446, "NA")</f>
      </c>
      <c r="J378" s="15"/>
      <c r="K378" s="13">
        <v>0</v>
      </c>
      <c r="L378" s="14">
        <f>IFERROR(K378/K446, "NA")</f>
      </c>
      <c r="M378" s="15"/>
      <c r="N378" s="16">
        <f>IFERROR(-(B378-K378), "NA")</f>
      </c>
      <c r="O378" s="14">
        <f>IFERROR(N378/N446, "NA")</f>
      </c>
      <c r="P378" s="15"/>
      <c r="Q378" s="13">
        <v>0</v>
      </c>
      <c r="R378" s="14">
        <f>IFERROR(Q378/Q446, "NA")</f>
      </c>
      <c r="S378" s="15"/>
      <c r="T378" s="13">
        <v>0</v>
      </c>
      <c r="U378" s="14">
        <f>IFERROR(T378/T446, "NA")</f>
      </c>
      <c r="V378" s="15"/>
      <c r="W378" s="16">
        <f>IFERROR(-(Q378-T378), "NA")</f>
      </c>
      <c r="X378" s="14">
        <f>IFERROR(W378/W446, "NA")</f>
      </c>
      <c r="Y378" s="15"/>
      <c r="Z378" s="13">
        <v>0</v>
      </c>
      <c r="AA378" s="14">
        <f>IFERROR(Z378/Z446, "NA")</f>
      </c>
      <c r="AB378" s="15"/>
      <c r="AC378" s="16">
        <f>IFERROR(-(Q378-Z378), "NA")</f>
      </c>
      <c r="AD378" s="14">
        <f>IFERROR(AC378/AC446, "NA")</f>
      </c>
    </row>
    <row r="379" hidden="1" ht="16.5" customHeight="1">
      <c t="s" r="A379" s="26">
        <v>347</v>
      </c>
      <c r="B379" s="13">
        <v>0</v>
      </c>
      <c r="C379" s="14">
        <f>IFERROR(B379/B446, "NA")</f>
      </c>
      <c r="D379" s="15"/>
      <c r="E379" s="13">
        <v>0</v>
      </c>
      <c r="F379" s="14">
        <f>IFERROR(E379/E446, "NA")</f>
      </c>
      <c r="G379" s="15"/>
      <c r="H379" s="16">
        <f>IFERROR(-(B379-E379), "NA")</f>
      </c>
      <c r="I379" s="14">
        <f>IFERROR(H379/H446, "NA")</f>
      </c>
      <c r="J379" s="15"/>
      <c r="K379" s="13">
        <v>0</v>
      </c>
      <c r="L379" s="14">
        <f>IFERROR(K379/K446, "NA")</f>
      </c>
      <c r="M379" s="15"/>
      <c r="N379" s="16">
        <f>IFERROR(-(B379-K379), "NA")</f>
      </c>
      <c r="O379" s="14">
        <f>IFERROR(N379/N446, "NA")</f>
      </c>
      <c r="P379" s="15"/>
      <c r="Q379" s="13">
        <v>0</v>
      </c>
      <c r="R379" s="14">
        <f>IFERROR(Q379/Q446, "NA")</f>
      </c>
      <c r="S379" s="15"/>
      <c r="T379" s="13">
        <v>0</v>
      </c>
      <c r="U379" s="14">
        <f>IFERROR(T379/T446, "NA")</f>
      </c>
      <c r="V379" s="15"/>
      <c r="W379" s="16">
        <f>IFERROR(-(Q379-T379), "NA")</f>
      </c>
      <c r="X379" s="14">
        <f>IFERROR(W379/W446, "NA")</f>
      </c>
      <c r="Y379" s="15"/>
      <c r="Z379" s="13">
        <v>0</v>
      </c>
      <c r="AA379" s="14">
        <f>IFERROR(Z379/Z446, "NA")</f>
      </c>
      <c r="AB379" s="15"/>
      <c r="AC379" s="16">
        <f>IFERROR(-(Q379-Z379), "NA")</f>
      </c>
      <c r="AD379" s="14">
        <f>IFERROR(AC379/AC446, "NA")</f>
      </c>
    </row>
    <row r="380" hidden="1" ht="16.5" customHeight="1">
      <c t="s" r="A380" s="26">
        <v>348</v>
      </c>
      <c r="B380" s="13">
        <v>0</v>
      </c>
      <c r="C380" s="14">
        <f>IFERROR(B380/B446, "NA")</f>
      </c>
      <c r="D380" s="15"/>
      <c r="E380" s="13">
        <v>0</v>
      </c>
      <c r="F380" s="14">
        <f>IFERROR(E380/E446, "NA")</f>
      </c>
      <c r="G380" s="15"/>
      <c r="H380" s="16">
        <f>IFERROR(-(B380-E380), "NA")</f>
      </c>
      <c r="I380" s="14">
        <f>IFERROR(H380/H446, "NA")</f>
      </c>
      <c r="J380" s="15"/>
      <c r="K380" s="13">
        <v>0</v>
      </c>
      <c r="L380" s="14">
        <f>IFERROR(K380/K446, "NA")</f>
      </c>
      <c r="M380" s="15"/>
      <c r="N380" s="16">
        <f>IFERROR(-(B380-K380), "NA")</f>
      </c>
      <c r="O380" s="14">
        <f>IFERROR(N380/N446, "NA")</f>
      </c>
      <c r="P380" s="15"/>
      <c r="Q380" s="13">
        <v>0</v>
      </c>
      <c r="R380" s="14">
        <f>IFERROR(Q380/Q446, "NA")</f>
      </c>
      <c r="S380" s="15"/>
      <c r="T380" s="13">
        <v>0</v>
      </c>
      <c r="U380" s="14">
        <f>IFERROR(T380/T446, "NA")</f>
      </c>
      <c r="V380" s="15"/>
      <c r="W380" s="16">
        <f>IFERROR(-(Q380-T380), "NA")</f>
      </c>
      <c r="X380" s="14">
        <f>IFERROR(W380/W446, "NA")</f>
      </c>
      <c r="Y380" s="15"/>
      <c r="Z380" s="13">
        <v>0</v>
      </c>
      <c r="AA380" s="14">
        <f>IFERROR(Z380/Z446, "NA")</f>
      </c>
      <c r="AB380" s="15"/>
      <c r="AC380" s="16">
        <f>IFERROR(-(Q380-Z380), "NA")</f>
      </c>
      <c r="AD380" s="14">
        <f>IFERROR(AC380/AC446, "NA")</f>
      </c>
    </row>
    <row r="381" hidden="1" ht="16.5" customHeight="1">
      <c t="s" r="A381" s="26">
        <v>349</v>
      </c>
      <c r="B381" s="13">
        <v>0</v>
      </c>
      <c r="C381" s="14">
        <f>IFERROR(B381/B446, "NA")</f>
      </c>
      <c r="D381" s="15"/>
      <c r="E381" s="13">
        <v>0</v>
      </c>
      <c r="F381" s="14">
        <f>IFERROR(E381/E446, "NA")</f>
      </c>
      <c r="G381" s="15"/>
      <c r="H381" s="16">
        <f>IFERROR(-(B381-E381), "NA")</f>
      </c>
      <c r="I381" s="14">
        <f>IFERROR(H381/H446, "NA")</f>
      </c>
      <c r="J381" s="15"/>
      <c r="K381" s="13">
        <v>0</v>
      </c>
      <c r="L381" s="14">
        <f>IFERROR(K381/K446, "NA")</f>
      </c>
      <c r="M381" s="15"/>
      <c r="N381" s="16">
        <f>IFERROR(-(B381-K381), "NA")</f>
      </c>
      <c r="O381" s="14">
        <f>IFERROR(N381/N446, "NA")</f>
      </c>
      <c r="P381" s="15"/>
      <c r="Q381" s="13">
        <v>0</v>
      </c>
      <c r="R381" s="14">
        <f>IFERROR(Q381/Q446, "NA")</f>
      </c>
      <c r="S381" s="15"/>
      <c r="T381" s="13">
        <v>0</v>
      </c>
      <c r="U381" s="14">
        <f>IFERROR(T381/T446, "NA")</f>
      </c>
      <c r="V381" s="15"/>
      <c r="W381" s="16">
        <f>IFERROR(-(Q381-T381), "NA")</f>
      </c>
      <c r="X381" s="14">
        <f>IFERROR(W381/W446, "NA")</f>
      </c>
      <c r="Y381" s="15"/>
      <c r="Z381" s="13">
        <v>0</v>
      </c>
      <c r="AA381" s="14">
        <f>IFERROR(Z381/Z446, "NA")</f>
      </c>
      <c r="AB381" s="15"/>
      <c r="AC381" s="16">
        <f>IFERROR(-(Q381-Z381), "NA")</f>
      </c>
      <c r="AD381" s="14">
        <f>IFERROR(AC381/AC446, "NA")</f>
      </c>
    </row>
    <row r="382" hidden="1" ht="16.5" customHeight="1">
      <c t="s" r="A382" s="26">
        <v>350</v>
      </c>
      <c r="B382" s="13">
        <v>0</v>
      </c>
      <c r="C382" s="14">
        <f>IFERROR(B382/B446, "NA")</f>
      </c>
      <c r="D382" s="15"/>
      <c r="E382" s="13">
        <v>0</v>
      </c>
      <c r="F382" s="14">
        <f>IFERROR(E382/E446, "NA")</f>
      </c>
      <c r="G382" s="15"/>
      <c r="H382" s="16">
        <f>IFERROR(-(B382-E382), "NA")</f>
      </c>
      <c r="I382" s="14">
        <f>IFERROR(H382/H446, "NA")</f>
      </c>
      <c r="J382" s="15"/>
      <c r="K382" s="13">
        <v>0</v>
      </c>
      <c r="L382" s="14">
        <f>IFERROR(K382/K446, "NA")</f>
      </c>
      <c r="M382" s="15"/>
      <c r="N382" s="16">
        <f>IFERROR(-(B382-K382), "NA")</f>
      </c>
      <c r="O382" s="14">
        <f>IFERROR(N382/N446, "NA")</f>
      </c>
      <c r="P382" s="15"/>
      <c r="Q382" s="13">
        <v>0</v>
      </c>
      <c r="R382" s="14">
        <f>IFERROR(Q382/Q446, "NA")</f>
      </c>
      <c r="S382" s="15"/>
      <c r="T382" s="13">
        <v>0</v>
      </c>
      <c r="U382" s="14">
        <f>IFERROR(T382/T446, "NA")</f>
      </c>
      <c r="V382" s="15"/>
      <c r="W382" s="16">
        <f>IFERROR(-(Q382-T382), "NA")</f>
      </c>
      <c r="X382" s="14">
        <f>IFERROR(W382/W446, "NA")</f>
      </c>
      <c r="Y382" s="15"/>
      <c r="Z382" s="13">
        <v>0</v>
      </c>
      <c r="AA382" s="14">
        <f>IFERROR(Z382/Z446, "NA")</f>
      </c>
      <c r="AB382" s="15"/>
      <c r="AC382" s="16">
        <f>IFERROR(-(Q382-Z382), "NA")</f>
      </c>
      <c r="AD382" s="14">
        <f>IFERROR(AC382/AC446, "NA")</f>
      </c>
    </row>
    <row r="383" hidden="1" ht="16.5" customHeight="1">
      <c t="s" r="A383" s="26">
        <v>351</v>
      </c>
      <c r="B383" s="13">
        <v>0</v>
      </c>
      <c r="C383" s="14">
        <f>IFERROR(B383/B446, "NA")</f>
      </c>
      <c r="D383" s="15"/>
      <c r="E383" s="13">
        <v>0</v>
      </c>
      <c r="F383" s="14">
        <f>IFERROR(E383/E446, "NA")</f>
      </c>
      <c r="G383" s="15"/>
      <c r="H383" s="16">
        <f>IFERROR(-(B383-E383), "NA")</f>
      </c>
      <c r="I383" s="14">
        <f>IFERROR(H383/H446, "NA")</f>
      </c>
      <c r="J383" s="15"/>
      <c r="K383" s="13">
        <v>0</v>
      </c>
      <c r="L383" s="14">
        <f>IFERROR(K383/K446, "NA")</f>
      </c>
      <c r="M383" s="15"/>
      <c r="N383" s="16">
        <f>IFERROR(-(B383-K383), "NA")</f>
      </c>
      <c r="O383" s="14">
        <f>IFERROR(N383/N446, "NA")</f>
      </c>
      <c r="P383" s="15"/>
      <c r="Q383" s="13">
        <v>0</v>
      </c>
      <c r="R383" s="14">
        <f>IFERROR(Q383/Q446, "NA")</f>
      </c>
      <c r="S383" s="15"/>
      <c r="T383" s="13">
        <v>0</v>
      </c>
      <c r="U383" s="14">
        <f>IFERROR(T383/T446, "NA")</f>
      </c>
      <c r="V383" s="15"/>
      <c r="W383" s="16">
        <f>IFERROR(-(Q383-T383), "NA")</f>
      </c>
      <c r="X383" s="14">
        <f>IFERROR(W383/W446, "NA")</f>
      </c>
      <c r="Y383" s="15"/>
      <c r="Z383" s="13">
        <v>0</v>
      </c>
      <c r="AA383" s="14">
        <f>IFERROR(Z383/Z446, "NA")</f>
      </c>
      <c r="AB383" s="15"/>
      <c r="AC383" s="16">
        <f>IFERROR(-(Q383-Z383), "NA")</f>
      </c>
      <c r="AD383" s="14">
        <f>IFERROR(AC383/AC446, "NA")</f>
      </c>
    </row>
    <row r="384" hidden="1" ht="16.5" customHeight="1">
      <c t="s" r="A384" s="26">
        <v>352</v>
      </c>
      <c r="B384" s="13">
        <v>0</v>
      </c>
      <c r="C384" s="14">
        <f>IFERROR(B384/B446, "NA")</f>
      </c>
      <c r="D384" s="15"/>
      <c r="E384" s="13">
        <v>0</v>
      </c>
      <c r="F384" s="14">
        <f>IFERROR(E384/E446, "NA")</f>
      </c>
      <c r="G384" s="15"/>
      <c r="H384" s="16">
        <f>IFERROR(-(B384-E384), "NA")</f>
      </c>
      <c r="I384" s="14">
        <f>IFERROR(H384/H446, "NA")</f>
      </c>
      <c r="J384" s="15"/>
      <c r="K384" s="13">
        <v>0</v>
      </c>
      <c r="L384" s="14">
        <f>IFERROR(K384/K446, "NA")</f>
      </c>
      <c r="M384" s="15"/>
      <c r="N384" s="16">
        <f>IFERROR(-(B384-K384), "NA")</f>
      </c>
      <c r="O384" s="14">
        <f>IFERROR(N384/N446, "NA")</f>
      </c>
      <c r="P384" s="15"/>
      <c r="Q384" s="13">
        <v>0</v>
      </c>
      <c r="R384" s="14">
        <f>IFERROR(Q384/Q446, "NA")</f>
      </c>
      <c r="S384" s="15"/>
      <c r="T384" s="13">
        <v>0</v>
      </c>
      <c r="U384" s="14">
        <f>IFERROR(T384/T446, "NA")</f>
      </c>
      <c r="V384" s="15"/>
      <c r="W384" s="16">
        <f>IFERROR(-(Q384-T384), "NA")</f>
      </c>
      <c r="X384" s="14">
        <f>IFERROR(W384/W446, "NA")</f>
      </c>
      <c r="Y384" s="15"/>
      <c r="Z384" s="13">
        <v>0</v>
      </c>
      <c r="AA384" s="14">
        <f>IFERROR(Z384/Z446, "NA")</f>
      </c>
      <c r="AB384" s="15"/>
      <c r="AC384" s="16">
        <f>IFERROR(-(Q384-Z384), "NA")</f>
      </c>
      <c r="AD384" s="14">
        <f>IFERROR(AC384/AC446, "NA")</f>
      </c>
    </row>
    <row r="385" ht="16.5" customHeight="1">
      <c t="s" r="A385" s="11">
        <v>353</v>
      </c>
      <c r="B385" s="8"/>
      <c r="C385" s="9"/>
      <c r="D385" s="10"/>
      <c r="E385" s="8"/>
      <c r="F385" s="9"/>
      <c r="G385" s="10"/>
      <c r="H385" s="8"/>
      <c r="I385" s="9"/>
      <c r="J385" s="10"/>
      <c r="K385" s="8"/>
      <c r="L385" s="9"/>
      <c r="M385" s="10"/>
      <c r="N385" s="8"/>
      <c r="O385" s="9"/>
      <c r="P385" s="10"/>
      <c r="Q385" s="8"/>
      <c r="R385" s="9"/>
      <c r="S385" s="10"/>
      <c r="T385" s="8"/>
      <c r="U385" s="9"/>
      <c r="V385" s="10"/>
      <c r="W385" s="8"/>
      <c r="X385" s="9"/>
      <c r="Y385" s="10"/>
      <c r="Z385" s="8"/>
      <c r="AA385" s="9"/>
      <c r="AB385" s="10"/>
      <c r="AC385" s="8"/>
      <c r="AD385" s="9"/>
    </row>
    <row r="386" hidden="1" ht="16.5" customHeight="1">
      <c t="s" r="A386" s="12">
        <v>353</v>
      </c>
      <c r="B386" s="13">
        <v>0</v>
      </c>
      <c r="C386" s="14">
        <f>IFERROR(B386/B446, "NA")</f>
      </c>
      <c r="D386" s="15"/>
      <c r="E386" s="13">
        <v>0</v>
      </c>
      <c r="F386" s="14">
        <f>IFERROR(E386/E446, "NA")</f>
      </c>
      <c r="G386" s="15"/>
      <c r="H386" s="16">
        <f>IFERROR(-(B386-E386), "NA")</f>
      </c>
      <c r="I386" s="14">
        <f>IFERROR(H386/H446, "NA")</f>
      </c>
      <c r="J386" s="15"/>
      <c r="K386" s="13">
        <v>0</v>
      </c>
      <c r="L386" s="14">
        <f>IFERROR(K386/K446, "NA")</f>
      </c>
      <c r="M386" s="15"/>
      <c r="N386" s="16">
        <f>IFERROR(-(B386-K386), "NA")</f>
      </c>
      <c r="O386" s="14">
        <f>IFERROR(N386/N446, "NA")</f>
      </c>
      <c r="P386" s="15"/>
      <c r="Q386" s="13">
        <v>0</v>
      </c>
      <c r="R386" s="14">
        <f>IFERROR(Q386/Q446, "NA")</f>
      </c>
      <c r="S386" s="15"/>
      <c r="T386" s="13">
        <v>0</v>
      </c>
      <c r="U386" s="14">
        <f>IFERROR(T386/T446, "NA")</f>
      </c>
      <c r="V386" s="15"/>
      <c r="W386" s="16">
        <f>IFERROR(-(Q386-T386), "NA")</f>
      </c>
      <c r="X386" s="14">
        <f>IFERROR(W386/W446, "NA")</f>
      </c>
      <c r="Y386" s="15"/>
      <c r="Z386" s="13">
        <v>0</v>
      </c>
      <c r="AA386" s="14">
        <f>IFERROR(Z386/Z446, "NA")</f>
      </c>
      <c r="AB386" s="15"/>
      <c r="AC386" s="16">
        <f>IFERROR(-(Q386-Z386), "NA")</f>
      </c>
      <c r="AD386" s="14">
        <f>IFERROR(AC386/AC446, "NA")</f>
      </c>
    </row>
    <row r="387" hidden="1" ht="16.5" customHeight="1">
      <c t="s" r="A387" s="12">
        <v>354</v>
      </c>
      <c r="B387" s="13">
        <v>0</v>
      </c>
      <c r="C387" s="14">
        <f>IFERROR(B387/B446, "NA")</f>
      </c>
      <c r="D387" s="15"/>
      <c r="E387" s="13">
        <v>0</v>
      </c>
      <c r="F387" s="14">
        <f>IFERROR(E387/E446, "NA")</f>
      </c>
      <c r="G387" s="15"/>
      <c r="H387" s="16">
        <f>IFERROR(-(B387-E387), "NA")</f>
      </c>
      <c r="I387" s="14">
        <f>IFERROR(H387/H446, "NA")</f>
      </c>
      <c r="J387" s="15"/>
      <c r="K387" s="13">
        <v>0</v>
      </c>
      <c r="L387" s="14">
        <f>IFERROR(K387/K446, "NA")</f>
      </c>
      <c r="M387" s="15"/>
      <c r="N387" s="16">
        <f>IFERROR(-(B387-K387), "NA")</f>
      </c>
      <c r="O387" s="14">
        <f>IFERROR(N387/N446, "NA")</f>
      </c>
      <c r="P387" s="15"/>
      <c r="Q387" s="13">
        <v>0</v>
      </c>
      <c r="R387" s="14">
        <f>IFERROR(Q387/Q446, "NA")</f>
      </c>
      <c r="S387" s="15"/>
      <c r="T387" s="13">
        <v>0</v>
      </c>
      <c r="U387" s="14">
        <f>IFERROR(T387/T446, "NA")</f>
      </c>
      <c r="V387" s="15"/>
      <c r="W387" s="16">
        <f>IFERROR(-(Q387-T387), "NA")</f>
      </c>
      <c r="X387" s="14">
        <f>IFERROR(W387/W446, "NA")</f>
      </c>
      <c r="Y387" s="15"/>
      <c r="Z387" s="13">
        <v>0</v>
      </c>
      <c r="AA387" s="14">
        <f>IFERROR(Z387/Z446, "NA")</f>
      </c>
      <c r="AB387" s="15"/>
      <c r="AC387" s="16">
        <f>IFERROR(-(Q387-Z387), "NA")</f>
      </c>
      <c r="AD387" s="14">
        <f>IFERROR(AC387/AC446, "NA")</f>
      </c>
    </row>
    <row r="388" ht="16.5" customHeight="1">
      <c t="s" r="A388" s="17">
        <v>355</v>
      </c>
      <c r="B388" s="8"/>
      <c r="C388" s="9"/>
      <c r="D388" s="10"/>
      <c r="E388" s="8"/>
      <c r="F388" s="9"/>
      <c r="G388" s="10"/>
      <c r="H388" s="8"/>
      <c r="I388" s="9"/>
      <c r="J388" s="10"/>
      <c r="K388" s="8"/>
      <c r="L388" s="9"/>
      <c r="M388" s="10"/>
      <c r="N388" s="8"/>
      <c r="O388" s="9"/>
      <c r="P388" s="10"/>
      <c r="Q388" s="8"/>
      <c r="R388" s="9"/>
      <c r="S388" s="10"/>
      <c r="T388" s="8"/>
      <c r="U388" s="9"/>
      <c r="V388" s="10"/>
      <c r="W388" s="8"/>
      <c r="X388" s="9"/>
      <c r="Y388" s="10"/>
      <c r="Z388" s="8"/>
      <c r="AA388" s="9"/>
      <c r="AB388" s="10"/>
      <c r="AC388" s="8"/>
      <c r="AD388" s="9"/>
    </row>
    <row r="389" hidden="1" ht="16.5" customHeight="1">
      <c t="s" r="A389" s="18">
        <v>355</v>
      </c>
      <c r="B389" s="13">
        <v>0</v>
      </c>
      <c r="C389" s="14">
        <f>IFERROR(B389/B446, "NA")</f>
      </c>
      <c r="D389" s="15"/>
      <c r="E389" s="13">
        <v>0</v>
      </c>
      <c r="F389" s="14">
        <f>IFERROR(E389/E446, "NA")</f>
      </c>
      <c r="G389" s="15"/>
      <c r="H389" s="16">
        <f>IFERROR(-(B389-E389), "NA")</f>
      </c>
      <c r="I389" s="14">
        <f>IFERROR(H389/H446, "NA")</f>
      </c>
      <c r="J389" s="15"/>
      <c r="K389" s="13">
        <v>0</v>
      </c>
      <c r="L389" s="14">
        <f>IFERROR(K389/K446, "NA")</f>
      </c>
      <c r="M389" s="15"/>
      <c r="N389" s="16">
        <f>IFERROR(-(B389-K389), "NA")</f>
      </c>
      <c r="O389" s="14">
        <f>IFERROR(N389/N446, "NA")</f>
      </c>
      <c r="P389" s="15"/>
      <c r="Q389" s="13">
        <v>0</v>
      </c>
      <c r="R389" s="14">
        <f>IFERROR(Q389/Q446, "NA")</f>
      </c>
      <c r="S389" s="15"/>
      <c r="T389" s="13">
        <v>0</v>
      </c>
      <c r="U389" s="14">
        <f>IFERROR(T389/T446, "NA")</f>
      </c>
      <c r="V389" s="15"/>
      <c r="W389" s="16">
        <f>IFERROR(-(Q389-T389), "NA")</f>
      </c>
      <c r="X389" s="14">
        <f>IFERROR(W389/W446, "NA")</f>
      </c>
      <c r="Y389" s="15"/>
      <c r="Z389" s="13">
        <v>0</v>
      </c>
      <c r="AA389" s="14">
        <f>IFERROR(Z389/Z446, "NA")</f>
      </c>
      <c r="AB389" s="15"/>
      <c r="AC389" s="16">
        <f>IFERROR(-(Q389-Z389), "NA")</f>
      </c>
      <c r="AD389" s="14">
        <f>IFERROR(AC389/AC446, "NA")</f>
      </c>
    </row>
    <row r="390" hidden="1" ht="16.5" customHeight="1">
      <c t="s" r="A390" s="18">
        <v>356</v>
      </c>
      <c r="B390" s="13">
        <v>0</v>
      </c>
      <c r="C390" s="14">
        <f>IFERROR(B390/B446, "NA")</f>
      </c>
      <c r="D390" s="15"/>
      <c r="E390" s="13">
        <v>0</v>
      </c>
      <c r="F390" s="14">
        <f>IFERROR(E390/E446, "NA")</f>
      </c>
      <c r="G390" s="15"/>
      <c r="H390" s="16">
        <f>IFERROR(-(B390-E390), "NA")</f>
      </c>
      <c r="I390" s="14">
        <f>IFERROR(H390/H446, "NA")</f>
      </c>
      <c r="J390" s="15"/>
      <c r="K390" s="13">
        <v>0</v>
      </c>
      <c r="L390" s="14">
        <f>IFERROR(K390/K446, "NA")</f>
      </c>
      <c r="M390" s="15"/>
      <c r="N390" s="16">
        <f>IFERROR(-(B390-K390), "NA")</f>
      </c>
      <c r="O390" s="14">
        <f>IFERROR(N390/N446, "NA")</f>
      </c>
      <c r="P390" s="15"/>
      <c r="Q390" s="13">
        <v>0</v>
      </c>
      <c r="R390" s="14">
        <f>IFERROR(Q390/Q446, "NA")</f>
      </c>
      <c r="S390" s="15"/>
      <c r="T390" s="13">
        <v>0</v>
      </c>
      <c r="U390" s="14">
        <f>IFERROR(T390/T446, "NA")</f>
      </c>
      <c r="V390" s="15"/>
      <c r="W390" s="16">
        <f>IFERROR(-(Q390-T390), "NA")</f>
      </c>
      <c r="X390" s="14">
        <f>IFERROR(W390/W446, "NA")</f>
      </c>
      <c r="Y390" s="15"/>
      <c r="Z390" s="13">
        <v>0</v>
      </c>
      <c r="AA390" s="14">
        <f>IFERROR(Z390/Z446, "NA")</f>
      </c>
      <c r="AB390" s="15"/>
      <c r="AC390" s="16">
        <f>IFERROR(-(Q390-Z390), "NA")</f>
      </c>
      <c r="AD390" s="14">
        <f>IFERROR(AC390/AC446, "NA")</f>
      </c>
    </row>
    <row r="391" hidden="1" ht="16.5" customHeight="1">
      <c t="s" r="A391" s="18">
        <v>357</v>
      </c>
      <c r="B391" s="13">
        <v>0</v>
      </c>
      <c r="C391" s="14">
        <f>IFERROR(B391/B446, "NA")</f>
      </c>
      <c r="D391" s="15"/>
      <c r="E391" s="13">
        <v>0</v>
      </c>
      <c r="F391" s="14">
        <f>IFERROR(E391/E446, "NA")</f>
      </c>
      <c r="G391" s="15"/>
      <c r="H391" s="16">
        <f>IFERROR(-(B391-E391), "NA")</f>
      </c>
      <c r="I391" s="14">
        <f>IFERROR(H391/H446, "NA")</f>
      </c>
      <c r="J391" s="15"/>
      <c r="K391" s="13">
        <v>0</v>
      </c>
      <c r="L391" s="14">
        <f>IFERROR(K391/K446, "NA")</f>
      </c>
      <c r="M391" s="15"/>
      <c r="N391" s="16">
        <f>IFERROR(-(B391-K391), "NA")</f>
      </c>
      <c r="O391" s="14">
        <f>IFERROR(N391/N446, "NA")</f>
      </c>
      <c r="P391" s="15"/>
      <c r="Q391" s="13">
        <v>0</v>
      </c>
      <c r="R391" s="14">
        <f>IFERROR(Q391/Q446, "NA")</f>
      </c>
      <c r="S391" s="15"/>
      <c r="T391" s="13">
        <v>0</v>
      </c>
      <c r="U391" s="14">
        <f>IFERROR(T391/T446, "NA")</f>
      </c>
      <c r="V391" s="15"/>
      <c r="W391" s="16">
        <f>IFERROR(-(Q391-T391), "NA")</f>
      </c>
      <c r="X391" s="14">
        <f>IFERROR(W391/W446, "NA")</f>
      </c>
      <c r="Y391" s="15"/>
      <c r="Z391" s="13">
        <v>0</v>
      </c>
      <c r="AA391" s="14">
        <f>IFERROR(Z391/Z446, "NA")</f>
      </c>
      <c r="AB391" s="15"/>
      <c r="AC391" s="16">
        <f>IFERROR(-(Q391-Z391), "NA")</f>
      </c>
      <c r="AD391" s="14">
        <f>IFERROR(AC391/AC446, "NA")</f>
      </c>
    </row>
    <row r="392" hidden="1" ht="16.5" customHeight="1">
      <c t="s" r="A392" s="18">
        <v>358</v>
      </c>
      <c r="B392" s="13">
        <v>0</v>
      </c>
      <c r="C392" s="14">
        <f>IFERROR(B392/B446, "NA")</f>
      </c>
      <c r="D392" s="15"/>
      <c r="E392" s="13">
        <v>0</v>
      </c>
      <c r="F392" s="14">
        <f>IFERROR(E392/E446, "NA")</f>
      </c>
      <c r="G392" s="15"/>
      <c r="H392" s="16">
        <f>IFERROR(-(B392-E392), "NA")</f>
      </c>
      <c r="I392" s="14">
        <f>IFERROR(H392/H446, "NA")</f>
      </c>
      <c r="J392" s="15"/>
      <c r="K392" s="13">
        <v>0</v>
      </c>
      <c r="L392" s="14">
        <f>IFERROR(K392/K446, "NA")</f>
      </c>
      <c r="M392" s="15"/>
      <c r="N392" s="16">
        <f>IFERROR(-(B392-K392), "NA")</f>
      </c>
      <c r="O392" s="14">
        <f>IFERROR(N392/N446, "NA")</f>
      </c>
      <c r="P392" s="15"/>
      <c r="Q392" s="13">
        <v>0</v>
      </c>
      <c r="R392" s="14">
        <f>IFERROR(Q392/Q446, "NA")</f>
      </c>
      <c r="S392" s="15"/>
      <c r="T392" s="13">
        <v>0</v>
      </c>
      <c r="U392" s="14">
        <f>IFERROR(T392/T446, "NA")</f>
      </c>
      <c r="V392" s="15"/>
      <c r="W392" s="16">
        <f>IFERROR(-(Q392-T392), "NA")</f>
      </c>
      <c r="X392" s="14">
        <f>IFERROR(W392/W446, "NA")</f>
      </c>
      <c r="Y392" s="15"/>
      <c r="Z392" s="13">
        <v>0</v>
      </c>
      <c r="AA392" s="14">
        <f>IFERROR(Z392/Z446, "NA")</f>
      </c>
      <c r="AB392" s="15"/>
      <c r="AC392" s="16">
        <f>IFERROR(-(Q392-Z392), "NA")</f>
      </c>
      <c r="AD392" s="14">
        <f>IFERROR(AC392/AC446, "NA")</f>
      </c>
    </row>
    <row r="393" hidden="1" ht="16.5" customHeight="1">
      <c t="s" r="A393" s="18">
        <v>359</v>
      </c>
      <c r="B393" s="13">
        <v>0</v>
      </c>
      <c r="C393" s="14">
        <f>IFERROR(B393/B446, "NA")</f>
      </c>
      <c r="D393" s="15"/>
      <c r="E393" s="13">
        <v>0</v>
      </c>
      <c r="F393" s="14">
        <f>IFERROR(E393/E446, "NA")</f>
      </c>
      <c r="G393" s="15"/>
      <c r="H393" s="16">
        <f>IFERROR(-(B393-E393), "NA")</f>
      </c>
      <c r="I393" s="14">
        <f>IFERROR(H393/H446, "NA")</f>
      </c>
      <c r="J393" s="15"/>
      <c r="K393" s="13">
        <v>0</v>
      </c>
      <c r="L393" s="14">
        <f>IFERROR(K393/K446, "NA")</f>
      </c>
      <c r="M393" s="15"/>
      <c r="N393" s="16">
        <f>IFERROR(-(B393-K393), "NA")</f>
      </c>
      <c r="O393" s="14">
        <f>IFERROR(N393/N446, "NA")</f>
      </c>
      <c r="P393" s="15"/>
      <c r="Q393" s="13">
        <v>0</v>
      </c>
      <c r="R393" s="14">
        <f>IFERROR(Q393/Q446, "NA")</f>
      </c>
      <c r="S393" s="15"/>
      <c r="T393" s="13">
        <v>0</v>
      </c>
      <c r="U393" s="14">
        <f>IFERROR(T393/T446, "NA")</f>
      </c>
      <c r="V393" s="15"/>
      <c r="W393" s="16">
        <f>IFERROR(-(Q393-T393), "NA")</f>
      </c>
      <c r="X393" s="14">
        <f>IFERROR(W393/W446, "NA")</f>
      </c>
      <c r="Y393" s="15"/>
      <c r="Z393" s="13">
        <v>0</v>
      </c>
      <c r="AA393" s="14">
        <f>IFERROR(Z393/Z446, "NA")</f>
      </c>
      <c r="AB393" s="15"/>
      <c r="AC393" s="16">
        <f>IFERROR(-(Q393-Z393), "NA")</f>
      </c>
      <c r="AD393" s="14">
        <f>IFERROR(AC393/AC446, "NA")</f>
      </c>
    </row>
    <row r="394" ht="16.5" customHeight="1">
      <c t="s" r="A394" s="19">
        <v>360</v>
      </c>
      <c r="B394" s="20">
        <f>IFERROR(B389+B390+B391+B392+B393, "NA")</f>
      </c>
      <c r="C394" s="21">
        <f>IFERROR(B394/B446, "NA")</f>
      </c>
      <c r="D394" s="8"/>
      <c r="E394" s="20">
        <f>IFERROR(E389+E390+E391+E392+E393, "NA")</f>
      </c>
      <c r="F394" s="21">
        <f>IFERROR(E394/E446, "NA")</f>
      </c>
      <c r="G394" s="8"/>
      <c r="H394" s="20">
        <f>IFERROR(-(B394-E394), "NA")</f>
      </c>
      <c r="I394" s="21">
        <f>IFERROR(H394/H446, "NA")</f>
      </c>
      <c r="J394" s="8"/>
      <c r="K394" s="20">
        <f>IFERROR(K389+K390+K391+K392+K393, "NA")</f>
      </c>
      <c r="L394" s="21">
        <f>IFERROR(K394/K446, "NA")</f>
      </c>
      <c r="M394" s="8"/>
      <c r="N394" s="20">
        <f>IFERROR(-(B394-K394), "NA")</f>
      </c>
      <c r="O394" s="21">
        <f>IFERROR(N394/N446, "NA")</f>
      </c>
      <c r="P394" s="8"/>
      <c r="Q394" s="20">
        <f>IFERROR(Q389+Q390+Q391+Q392+Q393, "NA")</f>
      </c>
      <c r="R394" s="21">
        <f>IFERROR(Q394/Q446, "NA")</f>
      </c>
      <c r="S394" s="8"/>
      <c r="T394" s="20">
        <f>IFERROR(T389+T390+T391+T392+T393, "NA")</f>
      </c>
      <c r="U394" s="21">
        <f>IFERROR(T394/T446, "NA")</f>
      </c>
      <c r="V394" s="8"/>
      <c r="W394" s="20">
        <f>IFERROR(-(Q394-T394), "NA")</f>
      </c>
      <c r="X394" s="21">
        <f>IFERROR(W394/W446, "NA")</f>
      </c>
      <c r="Y394" s="8"/>
      <c r="Z394" s="20">
        <f>IFERROR(Z389+Z390+Z391+Z392+Z393, "NA")</f>
      </c>
      <c r="AA394" s="21">
        <f>IFERROR(Z394/Z446, "NA")</f>
      </c>
      <c r="AB394" s="8"/>
      <c r="AC394" s="20">
        <f>IFERROR(-(Q394-Z394), "NA")</f>
      </c>
      <c r="AD394" s="21">
        <f>IFERROR(AC394/AC446, "NA")</f>
      </c>
    </row>
    <row r="395" hidden="1" ht="16.5" customHeight="1">
      <c t="s" r="A395" s="12">
        <v>361</v>
      </c>
      <c r="B395" s="13">
        <v>0</v>
      </c>
      <c r="C395" s="14">
        <f>IFERROR(B395/B446, "NA")</f>
      </c>
      <c r="D395" s="15"/>
      <c r="E395" s="13">
        <v>0</v>
      </c>
      <c r="F395" s="14">
        <f>IFERROR(E395/E446, "NA")</f>
      </c>
      <c r="G395" s="15"/>
      <c r="H395" s="16">
        <f>IFERROR(-(B395-E395), "NA")</f>
      </c>
      <c r="I395" s="14">
        <f>IFERROR(H395/H446, "NA")</f>
      </c>
      <c r="J395" s="15"/>
      <c r="K395" s="13">
        <v>0</v>
      </c>
      <c r="L395" s="14">
        <f>IFERROR(K395/K446, "NA")</f>
      </c>
      <c r="M395" s="15"/>
      <c r="N395" s="16">
        <f>IFERROR(-(B395-K395), "NA")</f>
      </c>
      <c r="O395" s="14">
        <f>IFERROR(N395/N446, "NA")</f>
      </c>
      <c r="P395" s="15"/>
      <c r="Q395" s="13">
        <v>0</v>
      </c>
      <c r="R395" s="14">
        <f>IFERROR(Q395/Q446, "NA")</f>
      </c>
      <c r="S395" s="15"/>
      <c r="T395" s="13">
        <v>0</v>
      </c>
      <c r="U395" s="14">
        <f>IFERROR(T395/T446, "NA")</f>
      </c>
      <c r="V395" s="15"/>
      <c r="W395" s="16">
        <f>IFERROR(-(Q395-T395), "NA")</f>
      </c>
      <c r="X395" s="14">
        <f>IFERROR(W395/W446, "NA")</f>
      </c>
      <c r="Y395" s="15"/>
      <c r="Z395" s="13">
        <v>0</v>
      </c>
      <c r="AA395" s="14">
        <f>IFERROR(Z395/Z446, "NA")</f>
      </c>
      <c r="AB395" s="15"/>
      <c r="AC395" s="16">
        <f>IFERROR(-(Q395-Z395), "NA")</f>
      </c>
      <c r="AD395" s="14">
        <f>IFERROR(AC395/AC446, "NA")</f>
      </c>
    </row>
    <row r="396" hidden="1" ht="16.5" customHeight="1">
      <c t="s" r="A396" s="12">
        <v>362</v>
      </c>
      <c r="B396" s="13">
        <v>0</v>
      </c>
      <c r="C396" s="14">
        <f>IFERROR(B396/B446, "NA")</f>
      </c>
      <c r="D396" s="15"/>
      <c r="E396" s="13">
        <v>0</v>
      </c>
      <c r="F396" s="14">
        <f>IFERROR(E396/E446, "NA")</f>
      </c>
      <c r="G396" s="15"/>
      <c r="H396" s="16">
        <f>IFERROR(-(B396-E396), "NA")</f>
      </c>
      <c r="I396" s="14">
        <f>IFERROR(H396/H446, "NA")</f>
      </c>
      <c r="J396" s="15"/>
      <c r="K396" s="13">
        <v>0</v>
      </c>
      <c r="L396" s="14">
        <f>IFERROR(K396/K446, "NA")</f>
      </c>
      <c r="M396" s="15"/>
      <c r="N396" s="16">
        <f>IFERROR(-(B396-K396), "NA")</f>
      </c>
      <c r="O396" s="14">
        <f>IFERROR(N396/N446, "NA")</f>
      </c>
      <c r="P396" s="15"/>
      <c r="Q396" s="13">
        <v>0</v>
      </c>
      <c r="R396" s="14">
        <f>IFERROR(Q396/Q446, "NA")</f>
      </c>
      <c r="S396" s="15"/>
      <c r="T396" s="13">
        <v>0</v>
      </c>
      <c r="U396" s="14">
        <f>IFERROR(T396/T446, "NA")</f>
      </c>
      <c r="V396" s="15"/>
      <c r="W396" s="16">
        <f>IFERROR(-(Q396-T396), "NA")</f>
      </c>
      <c r="X396" s="14">
        <f>IFERROR(W396/W446, "NA")</f>
      </c>
      <c r="Y396" s="15"/>
      <c r="Z396" s="13">
        <v>0</v>
      </c>
      <c r="AA396" s="14">
        <f>IFERROR(Z396/Z446, "NA")</f>
      </c>
      <c r="AB396" s="15"/>
      <c r="AC396" s="16">
        <f>IFERROR(-(Q396-Z396), "NA")</f>
      </c>
      <c r="AD396" s="14">
        <f>IFERROR(AC396/AC446, "NA")</f>
      </c>
    </row>
    <row r="397" ht="16.5" customHeight="1">
      <c t="s" r="A397" s="25">
        <v>363</v>
      </c>
      <c r="B397" s="20">
        <f>IFERROR(B386+B387+B389+B390+B391+B392+B393+B395+B396, "NA")</f>
      </c>
      <c r="C397" s="21">
        <f>IFERROR(B397/B446, "NA")</f>
      </c>
      <c r="D397" s="8"/>
      <c r="E397" s="20">
        <f>IFERROR(E386+E387+E389+E390+E391+E392+E393+E395+E396, "NA")</f>
      </c>
      <c r="F397" s="21">
        <f>IFERROR(E397/E446, "NA")</f>
      </c>
      <c r="G397" s="8"/>
      <c r="H397" s="20">
        <f>IFERROR(-(B397-E397), "NA")</f>
      </c>
      <c r="I397" s="21">
        <f>IFERROR(H397/H446, "NA")</f>
      </c>
      <c r="J397" s="8"/>
      <c r="K397" s="20">
        <f>IFERROR(K386+K387+K389+K390+K391+K392+K393+K395+K396, "NA")</f>
      </c>
      <c r="L397" s="21">
        <f>IFERROR(K397/K446, "NA")</f>
      </c>
      <c r="M397" s="8"/>
      <c r="N397" s="20">
        <f>IFERROR(-(B397-K397), "NA")</f>
      </c>
      <c r="O397" s="21">
        <f>IFERROR(N397/N446, "NA")</f>
      </c>
      <c r="P397" s="8"/>
      <c r="Q397" s="20">
        <f>IFERROR(Q386+Q387+Q389+Q390+Q391+Q392+Q393+Q395+Q396, "NA")</f>
      </c>
      <c r="R397" s="21">
        <f>IFERROR(Q397/Q446, "NA")</f>
      </c>
      <c r="S397" s="8"/>
      <c r="T397" s="20">
        <f>IFERROR(T386+T387+T389+T390+T391+T392+T393+T395+T396, "NA")</f>
      </c>
      <c r="U397" s="21">
        <f>IFERROR(T397/T446, "NA")</f>
      </c>
      <c r="V397" s="8"/>
      <c r="W397" s="20">
        <f>IFERROR(-(Q397-T397), "NA")</f>
      </c>
      <c r="X397" s="21">
        <f>IFERROR(W397/W446, "NA")</f>
      </c>
      <c r="Y397" s="8"/>
      <c r="Z397" s="20">
        <f>IFERROR(Z386+Z387+Z389+Z390+Z391+Z392+Z393+Z395+Z396, "NA")</f>
      </c>
      <c r="AA397" s="21">
        <f>IFERROR(Z397/Z446, "NA")</f>
      </c>
      <c r="AB397" s="8"/>
      <c r="AC397" s="20">
        <f>IFERROR(-(Q397-Z397), "NA")</f>
      </c>
      <c r="AD397" s="21">
        <f>IFERROR(AC397/AC446, "NA")</f>
      </c>
    </row>
    <row r="398" hidden="1" ht="16.5" customHeight="1">
      <c t="s" r="A398" s="26">
        <v>364</v>
      </c>
      <c r="B398" s="13">
        <v>0</v>
      </c>
      <c r="C398" s="14">
        <f>IFERROR(B398/B446, "NA")</f>
      </c>
      <c r="D398" s="15"/>
      <c r="E398" s="13">
        <v>0</v>
      </c>
      <c r="F398" s="14">
        <f>IFERROR(E398/E446, "NA")</f>
      </c>
      <c r="G398" s="15"/>
      <c r="H398" s="16">
        <f>IFERROR(-(B398-E398), "NA")</f>
      </c>
      <c r="I398" s="14">
        <f>IFERROR(H398/H446, "NA")</f>
      </c>
      <c r="J398" s="15"/>
      <c r="K398" s="13">
        <v>0</v>
      </c>
      <c r="L398" s="14">
        <f>IFERROR(K398/K446, "NA")</f>
      </c>
      <c r="M398" s="15"/>
      <c r="N398" s="16">
        <f>IFERROR(-(B398-K398), "NA")</f>
      </c>
      <c r="O398" s="14">
        <f>IFERROR(N398/N446, "NA")</f>
      </c>
      <c r="P398" s="15"/>
      <c r="Q398" s="13">
        <v>0</v>
      </c>
      <c r="R398" s="14">
        <f>IFERROR(Q398/Q446, "NA")</f>
      </c>
      <c r="S398" s="15"/>
      <c r="T398" s="13">
        <v>0</v>
      </c>
      <c r="U398" s="14">
        <f>IFERROR(T398/T446, "NA")</f>
      </c>
      <c r="V398" s="15"/>
      <c r="W398" s="16">
        <f>IFERROR(-(Q398-T398), "NA")</f>
      </c>
      <c r="X398" s="14">
        <f>IFERROR(W398/W446, "NA")</f>
      </c>
      <c r="Y398" s="15"/>
      <c r="Z398" s="13">
        <v>0</v>
      </c>
      <c r="AA398" s="14">
        <f>IFERROR(Z398/Z446, "NA")</f>
      </c>
      <c r="AB398" s="15"/>
      <c r="AC398" s="16">
        <f>IFERROR(-(Q398-Z398), "NA")</f>
      </c>
      <c r="AD398" s="14">
        <f>IFERROR(AC398/AC446, "NA")</f>
      </c>
    </row>
    <row r="399" hidden="1" ht="16.5" customHeight="1">
      <c t="s" r="A399" s="26">
        <v>365</v>
      </c>
      <c r="B399" s="13">
        <v>0</v>
      </c>
      <c r="C399" s="14">
        <f>IFERROR(B399/B446, "NA")</f>
      </c>
      <c r="D399" s="15"/>
      <c r="E399" s="13">
        <v>0</v>
      </c>
      <c r="F399" s="14">
        <f>IFERROR(E399/E446, "NA")</f>
      </c>
      <c r="G399" s="15"/>
      <c r="H399" s="16">
        <f>IFERROR(-(B399-E399), "NA")</f>
      </c>
      <c r="I399" s="14">
        <f>IFERROR(H399/H446, "NA")</f>
      </c>
      <c r="J399" s="15"/>
      <c r="K399" s="13">
        <v>0</v>
      </c>
      <c r="L399" s="14">
        <f>IFERROR(K399/K446, "NA")</f>
      </c>
      <c r="M399" s="15"/>
      <c r="N399" s="16">
        <f>IFERROR(-(B399-K399), "NA")</f>
      </c>
      <c r="O399" s="14">
        <f>IFERROR(N399/N446, "NA")</f>
      </c>
      <c r="P399" s="15"/>
      <c r="Q399" s="13">
        <v>0</v>
      </c>
      <c r="R399" s="14">
        <f>IFERROR(Q399/Q446, "NA")</f>
      </c>
      <c r="S399" s="15"/>
      <c r="T399" s="13">
        <v>0</v>
      </c>
      <c r="U399" s="14">
        <f>IFERROR(T399/T446, "NA")</f>
      </c>
      <c r="V399" s="15"/>
      <c r="W399" s="16">
        <f>IFERROR(-(Q399-T399), "NA")</f>
      </c>
      <c r="X399" s="14">
        <f>IFERROR(W399/W446, "NA")</f>
      </c>
      <c r="Y399" s="15"/>
      <c r="Z399" s="13">
        <v>0</v>
      </c>
      <c r="AA399" s="14">
        <f>IFERROR(Z399/Z446, "NA")</f>
      </c>
      <c r="AB399" s="15"/>
      <c r="AC399" s="16">
        <f>IFERROR(-(Q399-Z399), "NA")</f>
      </c>
      <c r="AD399" s="14">
        <f>IFERROR(AC399/AC446, "NA")</f>
      </c>
    </row>
    <row r="400" hidden="1" ht="16.5" customHeight="1">
      <c t="s" r="A400" s="26">
        <v>366</v>
      </c>
      <c r="B400" s="13">
        <v>0</v>
      </c>
      <c r="C400" s="14">
        <f>IFERROR(B400/B446, "NA")</f>
      </c>
      <c r="D400" s="15"/>
      <c r="E400" s="13">
        <v>0</v>
      </c>
      <c r="F400" s="14">
        <f>IFERROR(E400/E446, "NA")</f>
      </c>
      <c r="G400" s="15"/>
      <c r="H400" s="16">
        <f>IFERROR(-(B400-E400), "NA")</f>
      </c>
      <c r="I400" s="14">
        <f>IFERROR(H400/H446, "NA")</f>
      </c>
      <c r="J400" s="15"/>
      <c r="K400" s="13">
        <v>0</v>
      </c>
      <c r="L400" s="14">
        <f>IFERROR(K400/K446, "NA")</f>
      </c>
      <c r="M400" s="15"/>
      <c r="N400" s="16">
        <f>IFERROR(-(B400-K400), "NA")</f>
      </c>
      <c r="O400" s="14">
        <f>IFERROR(N400/N446, "NA")</f>
      </c>
      <c r="P400" s="15"/>
      <c r="Q400" s="13">
        <v>0</v>
      </c>
      <c r="R400" s="14">
        <f>IFERROR(Q400/Q446, "NA")</f>
      </c>
      <c r="S400" s="15"/>
      <c r="T400" s="13">
        <v>0</v>
      </c>
      <c r="U400" s="14">
        <f>IFERROR(T400/T446, "NA")</f>
      </c>
      <c r="V400" s="15"/>
      <c r="W400" s="16">
        <f>IFERROR(-(Q400-T400), "NA")</f>
      </c>
      <c r="X400" s="14">
        <f>IFERROR(W400/W446, "NA")</f>
      </c>
      <c r="Y400" s="15"/>
      <c r="Z400" s="13">
        <v>0</v>
      </c>
      <c r="AA400" s="14">
        <f>IFERROR(Z400/Z446, "NA")</f>
      </c>
      <c r="AB400" s="15"/>
      <c r="AC400" s="16">
        <f>IFERROR(-(Q400-Z400), "NA")</f>
      </c>
      <c r="AD400" s="14">
        <f>IFERROR(AC400/AC446, "NA")</f>
      </c>
    </row>
    <row r="401" hidden="1" ht="16.5" customHeight="1">
      <c t="s" r="A401" s="26">
        <v>367</v>
      </c>
      <c r="B401" s="13">
        <v>0</v>
      </c>
      <c r="C401" s="14">
        <f>IFERROR(B401/B446, "NA")</f>
      </c>
      <c r="D401" s="15"/>
      <c r="E401" s="13">
        <v>0</v>
      </c>
      <c r="F401" s="14">
        <f>IFERROR(E401/E446, "NA")</f>
      </c>
      <c r="G401" s="15"/>
      <c r="H401" s="16">
        <f>IFERROR(-(B401-E401), "NA")</f>
      </c>
      <c r="I401" s="14">
        <f>IFERROR(H401/H446, "NA")</f>
      </c>
      <c r="J401" s="15"/>
      <c r="K401" s="13">
        <v>0</v>
      </c>
      <c r="L401" s="14">
        <f>IFERROR(K401/K446, "NA")</f>
      </c>
      <c r="M401" s="15"/>
      <c r="N401" s="16">
        <f>IFERROR(-(B401-K401), "NA")</f>
      </c>
      <c r="O401" s="14">
        <f>IFERROR(N401/N446, "NA")</f>
      </c>
      <c r="P401" s="15"/>
      <c r="Q401" s="13">
        <v>0</v>
      </c>
      <c r="R401" s="14">
        <f>IFERROR(Q401/Q446, "NA")</f>
      </c>
      <c r="S401" s="15"/>
      <c r="T401" s="13">
        <v>0</v>
      </c>
      <c r="U401" s="14">
        <f>IFERROR(T401/T446, "NA")</f>
      </c>
      <c r="V401" s="15"/>
      <c r="W401" s="16">
        <f>IFERROR(-(Q401-T401), "NA")</f>
      </c>
      <c r="X401" s="14">
        <f>IFERROR(W401/W446, "NA")</f>
      </c>
      <c r="Y401" s="15"/>
      <c r="Z401" s="13">
        <v>0</v>
      </c>
      <c r="AA401" s="14">
        <f>IFERROR(Z401/Z446, "NA")</f>
      </c>
      <c r="AB401" s="15"/>
      <c r="AC401" s="16">
        <f>IFERROR(-(Q401-Z401), "NA")</f>
      </c>
      <c r="AD401" s="14">
        <f>IFERROR(AC401/AC446, "NA")</f>
      </c>
    </row>
    <row r="402" hidden="1" ht="16.5" customHeight="1">
      <c t="s" r="A402" s="26">
        <v>368</v>
      </c>
      <c r="B402" s="13">
        <v>0</v>
      </c>
      <c r="C402" s="14">
        <f>IFERROR(B402/B446, "NA")</f>
      </c>
      <c r="D402" s="15"/>
      <c r="E402" s="13">
        <v>0</v>
      </c>
      <c r="F402" s="14">
        <f>IFERROR(E402/E446, "NA")</f>
      </c>
      <c r="G402" s="15"/>
      <c r="H402" s="16">
        <f>IFERROR(-(B402-E402), "NA")</f>
      </c>
      <c r="I402" s="14">
        <f>IFERROR(H402/H446, "NA")</f>
      </c>
      <c r="J402" s="15"/>
      <c r="K402" s="13">
        <v>0</v>
      </c>
      <c r="L402" s="14">
        <f>IFERROR(K402/K446, "NA")</f>
      </c>
      <c r="M402" s="15"/>
      <c r="N402" s="16">
        <f>IFERROR(-(B402-K402), "NA")</f>
      </c>
      <c r="O402" s="14">
        <f>IFERROR(N402/N446, "NA")</f>
      </c>
      <c r="P402" s="15"/>
      <c r="Q402" s="13">
        <v>0</v>
      </c>
      <c r="R402" s="14">
        <f>IFERROR(Q402/Q446, "NA")</f>
      </c>
      <c r="S402" s="15"/>
      <c r="T402" s="13">
        <v>0</v>
      </c>
      <c r="U402" s="14">
        <f>IFERROR(T402/T446, "NA")</f>
      </c>
      <c r="V402" s="15"/>
      <c r="W402" s="16">
        <f>IFERROR(-(Q402-T402), "NA")</f>
      </c>
      <c r="X402" s="14">
        <f>IFERROR(W402/W446, "NA")</f>
      </c>
      <c r="Y402" s="15"/>
      <c r="Z402" s="13">
        <v>0</v>
      </c>
      <c r="AA402" s="14">
        <f>IFERROR(Z402/Z446, "NA")</f>
      </c>
      <c r="AB402" s="15"/>
      <c r="AC402" s="16">
        <f>IFERROR(-(Q402-Z402), "NA")</f>
      </c>
      <c r="AD402" s="14">
        <f>IFERROR(AC402/AC446, "NA")</f>
      </c>
    </row>
    <row r="403" hidden="1" ht="16.5" customHeight="1">
      <c t="s" r="A403" s="26">
        <v>369</v>
      </c>
      <c r="B403" s="13">
        <v>0</v>
      </c>
      <c r="C403" s="14">
        <f>IFERROR(B403/B446, "NA")</f>
      </c>
      <c r="D403" s="15"/>
      <c r="E403" s="13">
        <v>0</v>
      </c>
      <c r="F403" s="14">
        <f>IFERROR(E403/E446, "NA")</f>
      </c>
      <c r="G403" s="15"/>
      <c r="H403" s="16">
        <f>IFERROR(-(B403-E403), "NA")</f>
      </c>
      <c r="I403" s="14">
        <f>IFERROR(H403/H446, "NA")</f>
      </c>
      <c r="J403" s="15"/>
      <c r="K403" s="13">
        <v>0</v>
      </c>
      <c r="L403" s="14">
        <f>IFERROR(K403/K446, "NA")</f>
      </c>
      <c r="M403" s="15"/>
      <c r="N403" s="16">
        <f>IFERROR(-(B403-K403), "NA")</f>
      </c>
      <c r="O403" s="14">
        <f>IFERROR(N403/N446, "NA")</f>
      </c>
      <c r="P403" s="15"/>
      <c r="Q403" s="13">
        <v>0</v>
      </c>
      <c r="R403" s="14">
        <f>IFERROR(Q403/Q446, "NA")</f>
      </c>
      <c r="S403" s="15"/>
      <c r="T403" s="13">
        <v>0</v>
      </c>
      <c r="U403" s="14">
        <f>IFERROR(T403/T446, "NA")</f>
      </c>
      <c r="V403" s="15"/>
      <c r="W403" s="16">
        <f>IFERROR(-(Q403-T403), "NA")</f>
      </c>
      <c r="X403" s="14">
        <f>IFERROR(W403/W446, "NA")</f>
      </c>
      <c r="Y403" s="15"/>
      <c r="Z403" s="13">
        <v>0</v>
      </c>
      <c r="AA403" s="14">
        <f>IFERROR(Z403/Z446, "NA")</f>
      </c>
      <c r="AB403" s="15"/>
      <c r="AC403" s="16">
        <f>IFERROR(-(Q403-Z403), "NA")</f>
      </c>
      <c r="AD403" s="14">
        <f>IFERROR(AC403/AC446, "NA")</f>
      </c>
    </row>
    <row r="404" ht="16.5" customHeight="1">
      <c t="s" r="A404" s="27">
        <v>370</v>
      </c>
      <c r="B404" s="20">
        <f>IFERROR(B348+B350+B351+B352+B353+B354+B355+B356+B357+B358+B361+B362+B363+B364+B365+B366+B367+B368+B370+B371+B372+B373+B374+B375+B376+B377+B378+B379+B380+B381+B382+B383+B384+B386+B387+B389+B390+B391+B392+B393+B395+B396+B398+B399+B400+B401+B402+B403, "NA")</f>
      </c>
      <c r="C404" s="21">
        <f>IFERROR(B404/B446, "NA")</f>
      </c>
      <c r="D404" s="8"/>
      <c r="E404" s="20">
        <f>IFERROR(E348+E350+E351+E352+E353+E354+E355+E356+E357+E358+E361+E362+E363+E364+E365+E366+E367+E368+E370+E371+E372+E373+E374+E375+E376+E377+E378+E379+E380+E381+E382+E383+E384+E386+E387+E389+E390+E391+E392+E393+E395+E396+E398+E399+E400+E401+E402+E403, "NA")</f>
      </c>
      <c r="F404" s="21">
        <f>IFERROR(E404/E446, "NA")</f>
      </c>
      <c r="G404" s="8"/>
      <c r="H404" s="20">
        <f>IFERROR(-(B404-E404), "NA")</f>
      </c>
      <c r="I404" s="21">
        <f>IFERROR(H404/H446, "NA")</f>
      </c>
      <c r="J404" s="8"/>
      <c r="K404" s="20">
        <f>IFERROR(K348+K350+K351+K352+K353+K354+K355+K356+K357+K358+K361+K362+K363+K364+K365+K366+K367+K368+K370+K371+K372+K373+K374+K375+K376+K377+K378+K379+K380+K381+K382+K383+K384+K386+K387+K389+K390+K391+K392+K393+K395+K396+K398+K399+K400+K401+K402+K403, "NA")</f>
      </c>
      <c r="L404" s="21">
        <f>IFERROR(K404/K446, "NA")</f>
      </c>
      <c r="M404" s="8"/>
      <c r="N404" s="20">
        <f>IFERROR(-(B404-K404), "NA")</f>
      </c>
      <c r="O404" s="21">
        <f>IFERROR(N404/N446, "NA")</f>
      </c>
      <c r="P404" s="8"/>
      <c r="Q404" s="20">
        <f>IFERROR(Q348+Q350+Q351+Q352+Q353+Q354+Q355+Q356+Q357+Q358+Q361+Q362+Q363+Q364+Q365+Q366+Q367+Q368+Q370+Q371+Q372+Q373+Q374+Q375+Q376+Q377+Q378+Q379+Q380+Q381+Q382+Q383+Q384+Q386+Q387+Q389+Q390+Q391+Q392+Q393+Q395+Q396+Q398+Q399+Q400+Q401+Q402+Q403, "NA")</f>
      </c>
      <c r="R404" s="21">
        <f>IFERROR(Q404/Q446, "NA")</f>
      </c>
      <c r="S404" s="8"/>
      <c r="T404" s="20">
        <f>IFERROR(T348+T350+T351+T352+T353+T354+T355+T356+T357+T358+T361+T362+T363+T364+T365+T366+T367+T368+T370+T371+T372+T373+T374+T375+T376+T377+T378+T379+T380+T381+T382+T383+T384+T386+T387+T389+T390+T391+T392+T393+T395+T396+T398+T399+T400+T401+T402+T403, "NA")</f>
      </c>
      <c r="U404" s="21">
        <f>IFERROR(T404/T446, "NA")</f>
      </c>
      <c r="V404" s="8"/>
      <c r="W404" s="20">
        <f>IFERROR(-(Q404-T404), "NA")</f>
      </c>
      <c r="X404" s="21">
        <f>IFERROR(W404/W446, "NA")</f>
      </c>
      <c r="Y404" s="8"/>
      <c r="Z404" s="20">
        <f>IFERROR(Z348+Z350+Z351+Z352+Z353+Z354+Z355+Z356+Z357+Z358+Z361+Z362+Z363+Z364+Z365+Z366+Z367+Z368+Z370+Z371+Z372+Z373+Z374+Z375+Z376+Z377+Z378+Z379+Z380+Z381+Z382+Z383+Z384+Z386+Z387+Z389+Z390+Z391+Z392+Z393+Z395+Z396+Z398+Z399+Z400+Z401+Z402+Z403, "NA")</f>
      </c>
      <c r="AA404" s="21">
        <f>IFERROR(Z404/Z446, "NA")</f>
      </c>
      <c r="AB404" s="8"/>
      <c r="AC404" s="20">
        <f>IFERROR(-(Q404-Z404), "NA")</f>
      </c>
      <c r="AD404" s="21">
        <f>IFERROR(AC404/AC446, "NA")</f>
      </c>
    </row>
    <row r="405" ht="16.5" customHeight="1">
      <c t="s" r="A405" s="28">
        <v>371</v>
      </c>
      <c r="B405" s="29">
        <f>IFERROR(B346-B404, "NA")</f>
      </c>
      <c r="C405" s="30">
        <f>IFERROR(B405/B446, "NA")</f>
      </c>
      <c r="D405" s="31"/>
      <c r="E405" s="29">
        <f>IFERROR(E346-E404, "NA")</f>
      </c>
      <c r="F405" s="30">
        <f>IFERROR(E405/E446, "NA")</f>
      </c>
      <c r="G405" s="31"/>
      <c r="H405" s="29">
        <f>IFERROR(B405-E405, "NA")</f>
      </c>
      <c r="I405" s="30">
        <f>IFERROR(H405/H446, "NA")</f>
      </c>
      <c r="J405" s="31"/>
      <c r="K405" s="29">
        <f>IFERROR(K346-K404, "NA")</f>
      </c>
      <c r="L405" s="30">
        <f>IFERROR(K405/K446, "NA")</f>
      </c>
      <c r="M405" s="31"/>
      <c r="N405" s="29">
        <f>IFERROR(B405-K405, "NA")</f>
      </c>
      <c r="O405" s="30">
        <f>IFERROR(N405/N446, "NA")</f>
      </c>
      <c r="P405" s="31"/>
      <c r="Q405" s="29">
        <f>IFERROR(Q346-Q404, "NA")</f>
      </c>
      <c r="R405" s="30">
        <f>IFERROR(Q405/Q446, "NA")</f>
      </c>
      <c r="S405" s="31"/>
      <c r="T405" s="29">
        <f>IFERROR(T346-T404, "NA")</f>
      </c>
      <c r="U405" s="30">
        <f>IFERROR(T405/T446, "NA")</f>
      </c>
      <c r="V405" s="31"/>
      <c r="W405" s="29">
        <f>IFERROR(Q405-T405, "NA")</f>
      </c>
      <c r="X405" s="30">
        <f>IFERROR(W405/W446, "NA")</f>
      </c>
      <c r="Y405" s="31"/>
      <c r="Z405" s="29">
        <f>IFERROR(Z346-Z404, "NA")</f>
      </c>
      <c r="AA405" s="30">
        <f>IFERROR(Z405/Z446, "NA")</f>
      </c>
      <c r="AB405" s="31"/>
      <c r="AC405" s="29">
        <f>IFERROR(Q405-Z405, "NA")</f>
      </c>
      <c r="AD405" s="30">
        <f>IFERROR(AC405/AC446, "NA")</f>
      </c>
    </row>
    <row r="406" ht="16.5" customHeight="1">
      <c t="s" r="A406" s="7">
        <v>372</v>
      </c>
      <c r="B406" s="8"/>
      <c r="C406" s="9"/>
      <c r="D406" s="10"/>
      <c r="E406" s="8"/>
      <c r="F406" s="9"/>
      <c r="G406" s="10"/>
      <c r="H406" s="8"/>
      <c r="I406" s="9"/>
      <c r="J406" s="10"/>
      <c r="K406" s="8"/>
      <c r="L406" s="9"/>
      <c r="M406" s="10"/>
      <c r="N406" s="8"/>
      <c r="O406" s="9"/>
      <c r="P406" s="10"/>
      <c r="Q406" s="8"/>
      <c r="R406" s="9"/>
      <c r="S406" s="10"/>
      <c r="T406" s="8"/>
      <c r="U406" s="9"/>
      <c r="V406" s="10"/>
      <c r="W406" s="8"/>
      <c r="X406" s="9"/>
      <c r="Y406" s="10"/>
      <c r="Z406" s="8"/>
      <c r="AA406" s="9"/>
      <c r="AB406" s="10"/>
      <c r="AC406" s="8"/>
      <c r="AD406" s="9"/>
    </row>
    <row r="407" ht="16.5" customHeight="1">
      <c t="s" r="A407" s="11">
        <v>373</v>
      </c>
      <c r="B407" s="8"/>
      <c r="C407" s="9"/>
      <c r="D407" s="10"/>
      <c r="E407" s="8"/>
      <c r="F407" s="9"/>
      <c r="G407" s="10"/>
      <c r="H407" s="8"/>
      <c r="I407" s="9"/>
      <c r="J407" s="10"/>
      <c r="K407" s="8"/>
      <c r="L407" s="9"/>
      <c r="M407" s="10"/>
      <c r="N407" s="8"/>
      <c r="O407" s="9"/>
      <c r="P407" s="10"/>
      <c r="Q407" s="8"/>
      <c r="R407" s="9"/>
      <c r="S407" s="10"/>
      <c r="T407" s="8"/>
      <c r="U407" s="9"/>
      <c r="V407" s="10"/>
      <c r="W407" s="8"/>
      <c r="X407" s="9"/>
      <c r="Y407" s="10"/>
      <c r="Z407" s="8"/>
      <c r="AA407" s="9"/>
      <c r="AB407" s="10"/>
      <c r="AC407" s="8"/>
      <c r="AD407" s="9"/>
    </row>
    <row r="408" ht="16.5" customHeight="1">
      <c t="s" r="A408" s="12">
        <v>373</v>
      </c>
      <c r="B408" s="13">
        <v>0</v>
      </c>
      <c r="C408" s="14">
        <f>IFERROR(B408/B446, "NA")</f>
      </c>
      <c r="D408" s="15"/>
      <c r="E408" s="13">
        <v>9973.0400000000009</v>
      </c>
      <c r="F408" s="14">
        <f>IFERROR(E408/E446, "NA")</f>
      </c>
      <c r="G408" s="15"/>
      <c r="H408" s="16">
        <f>IFERROR(-(B408-E408), "NA")</f>
      </c>
      <c r="I408" s="14">
        <f>IFERROR(H408/H446, "NA")</f>
      </c>
      <c r="J408" s="15"/>
      <c r="K408" s="13">
        <v>0</v>
      </c>
      <c r="L408" s="14">
        <f>IFERROR(K408/K446, "NA")</f>
      </c>
      <c r="M408" s="15"/>
      <c r="N408" s="16">
        <f>IFERROR(-(B408-K408), "NA")</f>
      </c>
      <c r="O408" s="14">
        <f>IFERROR(N408/N446, "NA")</f>
      </c>
      <c r="P408" s="15"/>
      <c r="Q408" s="13">
        <v>0</v>
      </c>
      <c r="R408" s="14">
        <f>IFERROR(Q408/Q446, "NA")</f>
      </c>
      <c r="S408" s="15"/>
      <c r="T408" s="13">
        <v>9973.0400000000009</v>
      </c>
      <c r="U408" s="14">
        <f>IFERROR(T408/T446, "NA")</f>
      </c>
      <c r="V408" s="15"/>
      <c r="W408" s="16">
        <f>IFERROR(-(Q408-T408), "NA")</f>
      </c>
      <c r="X408" s="14">
        <f>IFERROR(W408/W446, "NA")</f>
      </c>
      <c r="Y408" s="15"/>
      <c r="Z408" s="13">
        <v>0</v>
      </c>
      <c r="AA408" s="14">
        <f>IFERROR(Z408/Z446, "NA")</f>
      </c>
      <c r="AB408" s="15"/>
      <c r="AC408" s="16">
        <f>IFERROR(-(Q408-Z408), "NA")</f>
      </c>
      <c r="AD408" s="14">
        <f>IFERROR(AC408/AC446, "NA")</f>
      </c>
    </row>
    <row r="409" hidden="1" ht="16.5" customHeight="1">
      <c t="s" r="A409" s="12">
        <v>374</v>
      </c>
      <c r="B409" s="13">
        <v>0</v>
      </c>
      <c r="C409" s="14">
        <f>IFERROR(B409/B446, "NA")</f>
      </c>
      <c r="D409" s="15"/>
      <c r="E409" s="13">
        <v>0</v>
      </c>
      <c r="F409" s="14">
        <f>IFERROR(E409/E446, "NA")</f>
      </c>
      <c r="G409" s="15"/>
      <c r="H409" s="16">
        <f>IFERROR(-(B409-E409), "NA")</f>
      </c>
      <c r="I409" s="14">
        <f>IFERROR(H409/H446, "NA")</f>
      </c>
      <c r="J409" s="15"/>
      <c r="K409" s="13">
        <v>0</v>
      </c>
      <c r="L409" s="14">
        <f>IFERROR(K409/K446, "NA")</f>
      </c>
      <c r="M409" s="15"/>
      <c r="N409" s="16">
        <f>IFERROR(-(B409-K409), "NA")</f>
      </c>
      <c r="O409" s="14">
        <f>IFERROR(N409/N446, "NA")</f>
      </c>
      <c r="P409" s="15"/>
      <c r="Q409" s="13">
        <v>0</v>
      </c>
      <c r="R409" s="14">
        <f>IFERROR(Q409/Q446, "NA")</f>
      </c>
      <c r="S409" s="15"/>
      <c r="T409" s="13">
        <v>0</v>
      </c>
      <c r="U409" s="14">
        <f>IFERROR(T409/T446, "NA")</f>
      </c>
      <c r="V409" s="15"/>
      <c r="W409" s="16">
        <f>IFERROR(-(Q409-T409), "NA")</f>
      </c>
      <c r="X409" s="14">
        <f>IFERROR(W409/W446, "NA")</f>
      </c>
      <c r="Y409" s="15"/>
      <c r="Z409" s="13">
        <v>0</v>
      </c>
      <c r="AA409" s="14">
        <f>IFERROR(Z409/Z446, "NA")</f>
      </c>
      <c r="AB409" s="15"/>
      <c r="AC409" s="16">
        <f>IFERROR(-(Q409-Z409), "NA")</f>
      </c>
      <c r="AD409" s="14">
        <f>IFERROR(AC409/AC446, "NA")</f>
      </c>
    </row>
    <row r="410" hidden="1" ht="16.5" customHeight="1">
      <c t="s" r="A410" s="12">
        <v>375</v>
      </c>
      <c r="B410" s="13">
        <v>0</v>
      </c>
      <c r="C410" s="14">
        <f>IFERROR(B410/B446, "NA")</f>
      </c>
      <c r="D410" s="15"/>
      <c r="E410" s="13">
        <v>0</v>
      </c>
      <c r="F410" s="14">
        <f>IFERROR(E410/E446, "NA")</f>
      </c>
      <c r="G410" s="15"/>
      <c r="H410" s="16">
        <f>IFERROR(-(B410-E410), "NA")</f>
      </c>
      <c r="I410" s="14">
        <f>IFERROR(H410/H446, "NA")</f>
      </c>
      <c r="J410" s="15"/>
      <c r="K410" s="13">
        <v>0</v>
      </c>
      <c r="L410" s="14">
        <f>IFERROR(K410/K446, "NA")</f>
      </c>
      <c r="M410" s="15"/>
      <c r="N410" s="16">
        <f>IFERROR(-(B410-K410), "NA")</f>
      </c>
      <c r="O410" s="14">
        <f>IFERROR(N410/N446, "NA")</f>
      </c>
      <c r="P410" s="15"/>
      <c r="Q410" s="13">
        <v>0</v>
      </c>
      <c r="R410" s="14">
        <f>IFERROR(Q410/Q446, "NA")</f>
      </c>
      <c r="S410" s="15"/>
      <c r="T410" s="13">
        <v>0</v>
      </c>
      <c r="U410" s="14">
        <f>IFERROR(T410/T446, "NA")</f>
      </c>
      <c r="V410" s="15"/>
      <c r="W410" s="16">
        <f>IFERROR(-(Q410-T410), "NA")</f>
      </c>
      <c r="X410" s="14">
        <f>IFERROR(W410/W446, "NA")</f>
      </c>
      <c r="Y410" s="15"/>
      <c r="Z410" s="13">
        <v>0</v>
      </c>
      <c r="AA410" s="14">
        <f>IFERROR(Z410/Z446, "NA")</f>
      </c>
      <c r="AB410" s="15"/>
      <c r="AC410" s="16">
        <f>IFERROR(-(Q410-Z410), "NA")</f>
      </c>
      <c r="AD410" s="14">
        <f>IFERROR(AC410/AC446, "NA")</f>
      </c>
    </row>
    <row r="411" ht="16.5" customHeight="1">
      <c t="s" r="A411" s="12">
        <v>376</v>
      </c>
      <c r="B411" s="13">
        <v>10648.879999999999</v>
      </c>
      <c r="C411" s="14">
        <f>IFERROR(B411/B446, "NA")</f>
      </c>
      <c r="D411" s="15"/>
      <c r="E411" s="13">
        <v>0</v>
      </c>
      <c r="F411" s="14">
        <f>IFERROR(E411/E446, "NA")</f>
      </c>
      <c r="G411" s="15"/>
      <c r="H411" s="16">
        <f>IFERROR(-(B411-E411), "NA")</f>
      </c>
      <c r="I411" s="14">
        <f>IFERROR(H411/H446, "NA")</f>
      </c>
      <c r="J411" s="15"/>
      <c r="K411" s="13">
        <v>9780.8999999999996</v>
      </c>
      <c r="L411" s="14">
        <f>IFERROR(K411/K446, "NA")</f>
      </c>
      <c r="M411" s="15"/>
      <c r="N411" s="16">
        <f>IFERROR(-(B411-K411), "NA")</f>
      </c>
      <c r="O411" s="14">
        <f>IFERROR(N411/N446, "NA")</f>
      </c>
      <c r="P411" s="15"/>
      <c r="Q411" s="13">
        <v>10648.879999999999</v>
      </c>
      <c r="R411" s="14">
        <f>IFERROR(Q411/Q446, "NA")</f>
      </c>
      <c r="S411" s="15"/>
      <c r="T411" s="13">
        <v>0</v>
      </c>
      <c r="U411" s="14">
        <f>IFERROR(T411/T446, "NA")</f>
      </c>
      <c r="V411" s="15"/>
      <c r="W411" s="16">
        <f>IFERROR(-(Q411-T411), "NA")</f>
      </c>
      <c r="X411" s="14">
        <f>IFERROR(W411/W446, "NA")</f>
      </c>
      <c r="Y411" s="15"/>
      <c r="Z411" s="13">
        <v>9780.8999999999996</v>
      </c>
      <c r="AA411" s="14">
        <f>IFERROR(Z411/Z446, "NA")</f>
      </c>
      <c r="AB411" s="15"/>
      <c r="AC411" s="16">
        <f>IFERROR(-(Q411-Z411), "NA")</f>
      </c>
      <c r="AD411" s="14">
        <f>IFERROR(AC411/AC446, "NA")</f>
      </c>
    </row>
    <row r="412" hidden="1" ht="16.5" customHeight="1">
      <c t="s" r="A412" s="12">
        <v>377</v>
      </c>
      <c r="B412" s="13">
        <v>0</v>
      </c>
      <c r="C412" s="14">
        <f>IFERROR(B412/B446, "NA")</f>
      </c>
      <c r="D412" s="15"/>
      <c r="E412" s="13">
        <v>0</v>
      </c>
      <c r="F412" s="14">
        <f>IFERROR(E412/E446, "NA")</f>
      </c>
      <c r="G412" s="15"/>
      <c r="H412" s="16">
        <f>IFERROR(-(B412-E412), "NA")</f>
      </c>
      <c r="I412" s="14">
        <f>IFERROR(H412/H446, "NA")</f>
      </c>
      <c r="J412" s="15"/>
      <c r="K412" s="13">
        <v>0</v>
      </c>
      <c r="L412" s="14">
        <f>IFERROR(K412/K446, "NA")</f>
      </c>
      <c r="M412" s="15"/>
      <c r="N412" s="16">
        <f>IFERROR(-(B412-K412), "NA")</f>
      </c>
      <c r="O412" s="14">
        <f>IFERROR(N412/N446, "NA")</f>
      </c>
      <c r="P412" s="15"/>
      <c r="Q412" s="13">
        <v>0</v>
      </c>
      <c r="R412" s="14">
        <f>IFERROR(Q412/Q446, "NA")</f>
      </c>
      <c r="S412" s="15"/>
      <c r="T412" s="13">
        <v>0</v>
      </c>
      <c r="U412" s="14">
        <f>IFERROR(T412/T446, "NA")</f>
      </c>
      <c r="V412" s="15"/>
      <c r="W412" s="16">
        <f>IFERROR(-(Q412-T412), "NA")</f>
      </c>
      <c r="X412" s="14">
        <f>IFERROR(W412/W446, "NA")</f>
      </c>
      <c r="Y412" s="15"/>
      <c r="Z412" s="13">
        <v>0</v>
      </c>
      <c r="AA412" s="14">
        <f>IFERROR(Z412/Z446, "NA")</f>
      </c>
      <c r="AB412" s="15"/>
      <c r="AC412" s="16">
        <f>IFERROR(-(Q412-Z412), "NA")</f>
      </c>
      <c r="AD412" s="14">
        <f>IFERROR(AC412/AC446, "NA")</f>
      </c>
    </row>
    <row r="413" hidden="1" ht="16.5" customHeight="1">
      <c t="s" r="A413" s="12">
        <v>378</v>
      </c>
      <c r="B413" s="13">
        <v>0</v>
      </c>
      <c r="C413" s="14">
        <f>IFERROR(B413/B446, "NA")</f>
      </c>
      <c r="D413" s="15"/>
      <c r="E413" s="13">
        <v>0</v>
      </c>
      <c r="F413" s="14">
        <f>IFERROR(E413/E446, "NA")</f>
      </c>
      <c r="G413" s="15"/>
      <c r="H413" s="16">
        <f>IFERROR(-(B413-E413), "NA")</f>
      </c>
      <c r="I413" s="14">
        <f>IFERROR(H413/H446, "NA")</f>
      </c>
      <c r="J413" s="15"/>
      <c r="K413" s="13">
        <v>0</v>
      </c>
      <c r="L413" s="14">
        <f>IFERROR(K413/K446, "NA")</f>
      </c>
      <c r="M413" s="15"/>
      <c r="N413" s="16">
        <f>IFERROR(-(B413-K413), "NA")</f>
      </c>
      <c r="O413" s="14">
        <f>IFERROR(N413/N446, "NA")</f>
      </c>
      <c r="P413" s="15"/>
      <c r="Q413" s="13">
        <v>0</v>
      </c>
      <c r="R413" s="14">
        <f>IFERROR(Q413/Q446, "NA")</f>
      </c>
      <c r="S413" s="15"/>
      <c r="T413" s="13">
        <v>0</v>
      </c>
      <c r="U413" s="14">
        <f>IFERROR(T413/T446, "NA")</f>
      </c>
      <c r="V413" s="15"/>
      <c r="W413" s="16">
        <f>IFERROR(-(Q413-T413), "NA")</f>
      </c>
      <c r="X413" s="14">
        <f>IFERROR(W413/W446, "NA")</f>
      </c>
      <c r="Y413" s="15"/>
      <c r="Z413" s="13">
        <v>0</v>
      </c>
      <c r="AA413" s="14">
        <f>IFERROR(Z413/Z446, "NA")</f>
      </c>
      <c r="AB413" s="15"/>
      <c r="AC413" s="16">
        <f>IFERROR(-(Q413-Z413), "NA")</f>
      </c>
      <c r="AD413" s="14">
        <f>IFERROR(AC413/AC446, "NA")</f>
      </c>
    </row>
    <row r="414" hidden="1" ht="16.5" customHeight="1">
      <c t="s" r="A414" s="12">
        <v>379</v>
      </c>
      <c r="B414" s="13">
        <v>0</v>
      </c>
      <c r="C414" s="14">
        <f>IFERROR(B414/B446, "NA")</f>
      </c>
      <c r="D414" s="15"/>
      <c r="E414" s="13">
        <v>0</v>
      </c>
      <c r="F414" s="14">
        <f>IFERROR(E414/E446, "NA")</f>
      </c>
      <c r="G414" s="15"/>
      <c r="H414" s="16">
        <f>IFERROR(-(B414-E414), "NA")</f>
      </c>
      <c r="I414" s="14">
        <f>IFERROR(H414/H446, "NA")</f>
      </c>
      <c r="J414" s="15"/>
      <c r="K414" s="13">
        <v>0</v>
      </c>
      <c r="L414" s="14">
        <f>IFERROR(K414/K446, "NA")</f>
      </c>
      <c r="M414" s="15"/>
      <c r="N414" s="16">
        <f>IFERROR(-(B414-K414), "NA")</f>
      </c>
      <c r="O414" s="14">
        <f>IFERROR(N414/N446, "NA")</f>
      </c>
      <c r="P414" s="15"/>
      <c r="Q414" s="13">
        <v>0</v>
      </c>
      <c r="R414" s="14">
        <f>IFERROR(Q414/Q446, "NA")</f>
      </c>
      <c r="S414" s="15"/>
      <c r="T414" s="13">
        <v>0</v>
      </c>
      <c r="U414" s="14">
        <f>IFERROR(T414/T446, "NA")</f>
      </c>
      <c r="V414" s="15"/>
      <c r="W414" s="16">
        <f>IFERROR(-(Q414-T414), "NA")</f>
      </c>
      <c r="X414" s="14">
        <f>IFERROR(W414/W446, "NA")</f>
      </c>
      <c r="Y414" s="15"/>
      <c r="Z414" s="13">
        <v>0</v>
      </c>
      <c r="AA414" s="14">
        <f>IFERROR(Z414/Z446, "NA")</f>
      </c>
      <c r="AB414" s="15"/>
      <c r="AC414" s="16">
        <f>IFERROR(-(Q414-Z414), "NA")</f>
      </c>
      <c r="AD414" s="14">
        <f>IFERROR(AC414/AC446, "NA")</f>
      </c>
    </row>
    <row r="415" hidden="1" ht="16.5" customHeight="1">
      <c t="s" r="A415" s="12">
        <v>380</v>
      </c>
      <c r="B415" s="13">
        <v>0</v>
      </c>
      <c r="C415" s="14">
        <f>IFERROR(B415/B446, "NA")</f>
      </c>
      <c r="D415" s="15"/>
      <c r="E415" s="13">
        <v>0</v>
      </c>
      <c r="F415" s="14">
        <f>IFERROR(E415/E446, "NA")</f>
      </c>
      <c r="G415" s="15"/>
      <c r="H415" s="16">
        <f>IFERROR(-(B415-E415), "NA")</f>
      </c>
      <c r="I415" s="14">
        <f>IFERROR(H415/H446, "NA")</f>
      </c>
      <c r="J415" s="15"/>
      <c r="K415" s="13">
        <v>0</v>
      </c>
      <c r="L415" s="14">
        <f>IFERROR(K415/K446, "NA")</f>
      </c>
      <c r="M415" s="15"/>
      <c r="N415" s="16">
        <f>IFERROR(-(B415-K415), "NA")</f>
      </c>
      <c r="O415" s="14">
        <f>IFERROR(N415/N446, "NA")</f>
      </c>
      <c r="P415" s="15"/>
      <c r="Q415" s="13">
        <v>0</v>
      </c>
      <c r="R415" s="14">
        <f>IFERROR(Q415/Q446, "NA")</f>
      </c>
      <c r="S415" s="15"/>
      <c r="T415" s="13">
        <v>0</v>
      </c>
      <c r="U415" s="14">
        <f>IFERROR(T415/T446, "NA")</f>
      </c>
      <c r="V415" s="15"/>
      <c r="W415" s="16">
        <f>IFERROR(-(Q415-T415), "NA")</f>
      </c>
      <c r="X415" s="14">
        <f>IFERROR(W415/W446, "NA")</f>
      </c>
      <c r="Y415" s="15"/>
      <c r="Z415" s="13">
        <v>0</v>
      </c>
      <c r="AA415" s="14">
        <f>IFERROR(Z415/Z446, "NA")</f>
      </c>
      <c r="AB415" s="15"/>
      <c r="AC415" s="16">
        <f>IFERROR(-(Q415-Z415), "NA")</f>
      </c>
      <c r="AD415" s="14">
        <f>IFERROR(AC415/AC446, "NA")</f>
      </c>
    </row>
    <row r="416" hidden="1" ht="16.5" customHeight="1">
      <c t="s" r="A416" s="12">
        <v>381</v>
      </c>
      <c r="B416" s="13">
        <v>0</v>
      </c>
      <c r="C416" s="14">
        <f>IFERROR(B416/B446, "NA")</f>
      </c>
      <c r="D416" s="15"/>
      <c r="E416" s="13">
        <v>0</v>
      </c>
      <c r="F416" s="14">
        <f>IFERROR(E416/E446, "NA")</f>
      </c>
      <c r="G416" s="15"/>
      <c r="H416" s="16">
        <f>IFERROR(-(B416-E416), "NA")</f>
      </c>
      <c r="I416" s="14">
        <f>IFERROR(H416/H446, "NA")</f>
      </c>
      <c r="J416" s="15"/>
      <c r="K416" s="13">
        <v>0</v>
      </c>
      <c r="L416" s="14">
        <f>IFERROR(K416/K446, "NA")</f>
      </c>
      <c r="M416" s="15"/>
      <c r="N416" s="16">
        <f>IFERROR(-(B416-K416), "NA")</f>
      </c>
      <c r="O416" s="14">
        <f>IFERROR(N416/N446, "NA")</f>
      </c>
      <c r="P416" s="15"/>
      <c r="Q416" s="13">
        <v>0</v>
      </c>
      <c r="R416" s="14">
        <f>IFERROR(Q416/Q446, "NA")</f>
      </c>
      <c r="S416" s="15"/>
      <c r="T416" s="13">
        <v>0</v>
      </c>
      <c r="U416" s="14">
        <f>IFERROR(T416/T446, "NA")</f>
      </c>
      <c r="V416" s="15"/>
      <c r="W416" s="16">
        <f>IFERROR(-(Q416-T416), "NA")</f>
      </c>
      <c r="X416" s="14">
        <f>IFERROR(W416/W446, "NA")</f>
      </c>
      <c r="Y416" s="15"/>
      <c r="Z416" s="13">
        <v>0</v>
      </c>
      <c r="AA416" s="14">
        <f>IFERROR(Z416/Z446, "NA")</f>
      </c>
      <c r="AB416" s="15"/>
      <c r="AC416" s="16">
        <f>IFERROR(-(Q416-Z416), "NA")</f>
      </c>
      <c r="AD416" s="14">
        <f>IFERROR(AC416/AC446, "NA")</f>
      </c>
    </row>
    <row r="417" ht="16.5" customHeight="1">
      <c t="s" r="A417" s="12">
        <v>382</v>
      </c>
      <c r="B417" s="13">
        <v>-48.439999999999998</v>
      </c>
      <c r="C417" s="14">
        <f>IFERROR(B417/B446, "NA")</f>
      </c>
      <c r="D417" s="15"/>
      <c r="E417" s="13">
        <v>0</v>
      </c>
      <c r="F417" s="14">
        <f>IFERROR(E417/E446, "NA")</f>
      </c>
      <c r="G417" s="15"/>
      <c r="H417" s="16">
        <f>IFERROR(-(B417-E417), "NA")</f>
      </c>
      <c r="I417" s="14">
        <f>IFERROR(H417/H446, "NA")</f>
      </c>
      <c r="J417" s="15"/>
      <c r="K417" s="13">
        <v>-51.75</v>
      </c>
      <c r="L417" s="14">
        <f>IFERROR(K417/K446, "NA")</f>
      </c>
      <c r="M417" s="15"/>
      <c r="N417" s="16">
        <f>IFERROR(-(B417-K417), "NA")</f>
      </c>
      <c r="O417" s="14">
        <f>IFERROR(N417/N446, "NA")</f>
      </c>
      <c r="P417" s="15"/>
      <c r="Q417" s="13">
        <v>-48.439999999999998</v>
      </c>
      <c r="R417" s="14">
        <f>IFERROR(Q417/Q446, "NA")</f>
      </c>
      <c r="S417" s="15"/>
      <c r="T417" s="13">
        <v>0</v>
      </c>
      <c r="U417" s="14">
        <f>IFERROR(T417/T446, "NA")</f>
      </c>
      <c r="V417" s="15"/>
      <c r="W417" s="16">
        <f>IFERROR(-(Q417-T417), "NA")</f>
      </c>
      <c r="X417" s="14">
        <f>IFERROR(W417/W446, "NA")</f>
      </c>
      <c r="Y417" s="15"/>
      <c r="Z417" s="13">
        <v>-51.75</v>
      </c>
      <c r="AA417" s="14">
        <f>IFERROR(Z417/Z446, "NA")</f>
      </c>
      <c r="AB417" s="15"/>
      <c r="AC417" s="16">
        <f>IFERROR(-(Q417-Z417), "NA")</f>
      </c>
      <c r="AD417" s="14">
        <f>IFERROR(AC417/AC446, "NA")</f>
      </c>
    </row>
    <row r="418" ht="16.5" customHeight="1">
      <c t="s" r="A418" s="12">
        <v>383</v>
      </c>
      <c r="B418" s="13">
        <v>-6.25</v>
      </c>
      <c r="C418" s="14">
        <f>IFERROR(B418/B446, "NA")</f>
      </c>
      <c r="D418" s="15"/>
      <c r="E418" s="13">
        <v>0</v>
      </c>
      <c r="F418" s="14">
        <f>IFERROR(E418/E446, "NA")</f>
      </c>
      <c r="G418" s="15"/>
      <c r="H418" s="16">
        <f>IFERROR(-(B418-E418), "NA")</f>
      </c>
      <c r="I418" s="14">
        <f>IFERROR(H418/H446, "NA")</f>
      </c>
      <c r="J418" s="15"/>
      <c r="K418" s="13">
        <v>77.180000000000007</v>
      </c>
      <c r="L418" s="14">
        <f>IFERROR(K418/K446, "NA")</f>
      </c>
      <c r="M418" s="15"/>
      <c r="N418" s="16">
        <f>IFERROR(-(B418-K418), "NA")</f>
      </c>
      <c r="O418" s="14">
        <f>IFERROR(N418/N446, "NA")</f>
      </c>
      <c r="P418" s="15"/>
      <c r="Q418" s="13">
        <v>-6.25</v>
      </c>
      <c r="R418" s="14">
        <f>IFERROR(Q418/Q446, "NA")</f>
      </c>
      <c r="S418" s="15"/>
      <c r="T418" s="13">
        <v>0</v>
      </c>
      <c r="U418" s="14">
        <f>IFERROR(T418/T446, "NA")</f>
      </c>
      <c r="V418" s="15"/>
      <c r="W418" s="16">
        <f>IFERROR(-(Q418-T418), "NA")</f>
      </c>
      <c r="X418" s="14">
        <f>IFERROR(W418/W446, "NA")</f>
      </c>
      <c r="Y418" s="15"/>
      <c r="Z418" s="13">
        <v>77.180000000000007</v>
      </c>
      <c r="AA418" s="14">
        <f>IFERROR(Z418/Z446, "NA")</f>
      </c>
      <c r="AB418" s="15"/>
      <c r="AC418" s="16">
        <f>IFERROR(-(Q418-Z418), "NA")</f>
      </c>
      <c r="AD418" s="14">
        <f>IFERROR(AC418/AC446, "NA")</f>
      </c>
    </row>
    <row r="419" hidden="1" ht="16.5" customHeight="1">
      <c t="s" r="A419" s="12">
        <v>384</v>
      </c>
      <c r="B419" s="13">
        <v>0</v>
      </c>
      <c r="C419" s="14">
        <f>IFERROR(B419/B446, "NA")</f>
      </c>
      <c r="D419" s="15"/>
      <c r="E419" s="13">
        <v>0</v>
      </c>
      <c r="F419" s="14">
        <f>IFERROR(E419/E446, "NA")</f>
      </c>
      <c r="G419" s="15"/>
      <c r="H419" s="16">
        <f>IFERROR(-(B419-E419), "NA")</f>
      </c>
      <c r="I419" s="14">
        <f>IFERROR(H419/H446, "NA")</f>
      </c>
      <c r="J419" s="15"/>
      <c r="K419" s="13">
        <v>0</v>
      </c>
      <c r="L419" s="14">
        <f>IFERROR(K419/K446, "NA")</f>
      </c>
      <c r="M419" s="15"/>
      <c r="N419" s="16">
        <f>IFERROR(-(B419-K419), "NA")</f>
      </c>
      <c r="O419" s="14">
        <f>IFERROR(N419/N446, "NA")</f>
      </c>
      <c r="P419" s="15"/>
      <c r="Q419" s="13">
        <v>0</v>
      </c>
      <c r="R419" s="14">
        <f>IFERROR(Q419/Q446, "NA")</f>
      </c>
      <c r="S419" s="15"/>
      <c r="T419" s="13">
        <v>0</v>
      </c>
      <c r="U419" s="14">
        <f>IFERROR(T419/T446, "NA")</f>
      </c>
      <c r="V419" s="15"/>
      <c r="W419" s="16">
        <f>IFERROR(-(Q419-T419), "NA")</f>
      </c>
      <c r="X419" s="14">
        <f>IFERROR(W419/W446, "NA")</f>
      </c>
      <c r="Y419" s="15"/>
      <c r="Z419" s="13">
        <v>0</v>
      </c>
      <c r="AA419" s="14">
        <f>IFERROR(Z419/Z446, "NA")</f>
      </c>
      <c r="AB419" s="15"/>
      <c r="AC419" s="16">
        <f>IFERROR(-(Q419-Z419), "NA")</f>
      </c>
      <c r="AD419" s="14">
        <f>IFERROR(AC419/AC446, "NA")</f>
      </c>
    </row>
    <row r="420" hidden="1" ht="16.5" customHeight="1">
      <c t="s" r="A420" s="12">
        <v>385</v>
      </c>
      <c r="B420" s="13">
        <v>0</v>
      </c>
      <c r="C420" s="14">
        <f>IFERROR(B420/B446, "NA")</f>
      </c>
      <c r="D420" s="15"/>
      <c r="E420" s="13">
        <v>0</v>
      </c>
      <c r="F420" s="14">
        <f>IFERROR(E420/E446, "NA")</f>
      </c>
      <c r="G420" s="15"/>
      <c r="H420" s="16">
        <f>IFERROR(-(B420-E420), "NA")</f>
      </c>
      <c r="I420" s="14">
        <f>IFERROR(H420/H446, "NA")</f>
      </c>
      <c r="J420" s="15"/>
      <c r="K420" s="13">
        <v>0</v>
      </c>
      <c r="L420" s="14">
        <f>IFERROR(K420/K446, "NA")</f>
      </c>
      <c r="M420" s="15"/>
      <c r="N420" s="16">
        <f>IFERROR(-(B420-K420), "NA")</f>
      </c>
      <c r="O420" s="14">
        <f>IFERROR(N420/N446, "NA")</f>
      </c>
      <c r="P420" s="15"/>
      <c r="Q420" s="13">
        <v>0</v>
      </c>
      <c r="R420" s="14">
        <f>IFERROR(Q420/Q446, "NA")</f>
      </c>
      <c r="S420" s="15"/>
      <c r="T420" s="13">
        <v>0</v>
      </c>
      <c r="U420" s="14">
        <f>IFERROR(T420/T446, "NA")</f>
      </c>
      <c r="V420" s="15"/>
      <c r="W420" s="16">
        <f>IFERROR(-(Q420-T420), "NA")</f>
      </c>
      <c r="X420" s="14">
        <f>IFERROR(W420/W446, "NA")</f>
      </c>
      <c r="Y420" s="15"/>
      <c r="Z420" s="13">
        <v>0</v>
      </c>
      <c r="AA420" s="14">
        <f>IFERROR(Z420/Z446, "NA")</f>
      </c>
      <c r="AB420" s="15"/>
      <c r="AC420" s="16">
        <f>IFERROR(-(Q420-Z420), "NA")</f>
      </c>
      <c r="AD420" s="14">
        <f>IFERROR(AC420/AC446, "NA")</f>
      </c>
    </row>
    <row r="421" hidden="1" ht="16.5" customHeight="1">
      <c t="s" r="A421" s="12">
        <v>386</v>
      </c>
      <c r="B421" s="13">
        <v>0</v>
      </c>
      <c r="C421" s="14">
        <f>IFERROR(B421/B446, "NA")</f>
      </c>
      <c r="D421" s="15"/>
      <c r="E421" s="13">
        <v>0</v>
      </c>
      <c r="F421" s="14">
        <f>IFERROR(E421/E446, "NA")</f>
      </c>
      <c r="G421" s="15"/>
      <c r="H421" s="16">
        <f>IFERROR(-(B421-E421), "NA")</f>
      </c>
      <c r="I421" s="14">
        <f>IFERROR(H421/H446, "NA")</f>
      </c>
      <c r="J421" s="15"/>
      <c r="K421" s="13">
        <v>0</v>
      </c>
      <c r="L421" s="14">
        <f>IFERROR(K421/K446, "NA")</f>
      </c>
      <c r="M421" s="15"/>
      <c r="N421" s="16">
        <f>IFERROR(-(B421-K421), "NA")</f>
      </c>
      <c r="O421" s="14">
        <f>IFERROR(N421/N446, "NA")</f>
      </c>
      <c r="P421" s="15"/>
      <c r="Q421" s="13">
        <v>0</v>
      </c>
      <c r="R421" s="14">
        <f>IFERROR(Q421/Q446, "NA")</f>
      </c>
      <c r="S421" s="15"/>
      <c r="T421" s="13">
        <v>0</v>
      </c>
      <c r="U421" s="14">
        <f>IFERROR(T421/T446, "NA")</f>
      </c>
      <c r="V421" s="15"/>
      <c r="W421" s="16">
        <f>IFERROR(-(Q421-T421), "NA")</f>
      </c>
      <c r="X421" s="14">
        <f>IFERROR(W421/W446, "NA")</f>
      </c>
      <c r="Y421" s="15"/>
      <c r="Z421" s="13">
        <v>0</v>
      </c>
      <c r="AA421" s="14">
        <f>IFERROR(Z421/Z446, "NA")</f>
      </c>
      <c r="AB421" s="15"/>
      <c r="AC421" s="16">
        <f>IFERROR(-(Q421-Z421), "NA")</f>
      </c>
      <c r="AD421" s="14">
        <f>IFERROR(AC421/AC446, "NA")</f>
      </c>
    </row>
    <row r="422" hidden="1" ht="16.5" customHeight="1">
      <c t="s" r="A422" s="12">
        <v>387</v>
      </c>
      <c r="B422" s="13">
        <v>0</v>
      </c>
      <c r="C422" s="14">
        <f>IFERROR(B422/B446, "NA")</f>
      </c>
      <c r="D422" s="15"/>
      <c r="E422" s="13">
        <v>0</v>
      </c>
      <c r="F422" s="14">
        <f>IFERROR(E422/E446, "NA")</f>
      </c>
      <c r="G422" s="15"/>
      <c r="H422" s="16">
        <f>IFERROR(-(B422-E422), "NA")</f>
      </c>
      <c r="I422" s="14">
        <f>IFERROR(H422/H446, "NA")</f>
      </c>
      <c r="J422" s="15"/>
      <c r="K422" s="13">
        <v>0</v>
      </c>
      <c r="L422" s="14">
        <f>IFERROR(K422/K446, "NA")</f>
      </c>
      <c r="M422" s="15"/>
      <c r="N422" s="16">
        <f>IFERROR(-(B422-K422), "NA")</f>
      </c>
      <c r="O422" s="14">
        <f>IFERROR(N422/N446, "NA")</f>
      </c>
      <c r="P422" s="15"/>
      <c r="Q422" s="13">
        <v>0</v>
      </c>
      <c r="R422" s="14">
        <f>IFERROR(Q422/Q446, "NA")</f>
      </c>
      <c r="S422" s="15"/>
      <c r="T422" s="13">
        <v>0</v>
      </c>
      <c r="U422" s="14">
        <f>IFERROR(T422/T446, "NA")</f>
      </c>
      <c r="V422" s="15"/>
      <c r="W422" s="16">
        <f>IFERROR(-(Q422-T422), "NA")</f>
      </c>
      <c r="X422" s="14">
        <f>IFERROR(W422/W446, "NA")</f>
      </c>
      <c r="Y422" s="15"/>
      <c r="Z422" s="13">
        <v>0</v>
      </c>
      <c r="AA422" s="14">
        <f>IFERROR(Z422/Z446, "NA")</f>
      </c>
      <c r="AB422" s="15"/>
      <c r="AC422" s="16">
        <f>IFERROR(-(Q422-Z422), "NA")</f>
      </c>
      <c r="AD422" s="14">
        <f>IFERROR(AC422/AC446, "NA")</f>
      </c>
    </row>
    <row r="423" hidden="1" ht="16.5" customHeight="1">
      <c t="s" r="A423" s="12">
        <v>388</v>
      </c>
      <c r="B423" s="13">
        <v>0</v>
      </c>
      <c r="C423" s="14">
        <f>IFERROR(B423/B446, "NA")</f>
      </c>
      <c r="D423" s="15"/>
      <c r="E423" s="13">
        <v>0</v>
      </c>
      <c r="F423" s="14">
        <f>IFERROR(E423/E446, "NA")</f>
      </c>
      <c r="G423" s="15"/>
      <c r="H423" s="16">
        <f>IFERROR(-(B423-E423), "NA")</f>
      </c>
      <c r="I423" s="14">
        <f>IFERROR(H423/H446, "NA")</f>
      </c>
      <c r="J423" s="15"/>
      <c r="K423" s="13">
        <v>0</v>
      </c>
      <c r="L423" s="14">
        <f>IFERROR(K423/K446, "NA")</f>
      </c>
      <c r="M423" s="15"/>
      <c r="N423" s="16">
        <f>IFERROR(-(B423-K423), "NA")</f>
      </c>
      <c r="O423" s="14">
        <f>IFERROR(N423/N446, "NA")</f>
      </c>
      <c r="P423" s="15"/>
      <c r="Q423" s="13">
        <v>0</v>
      </c>
      <c r="R423" s="14">
        <f>IFERROR(Q423/Q446, "NA")</f>
      </c>
      <c r="S423" s="15"/>
      <c r="T423" s="13">
        <v>0</v>
      </c>
      <c r="U423" s="14">
        <f>IFERROR(T423/T446, "NA")</f>
      </c>
      <c r="V423" s="15"/>
      <c r="W423" s="16">
        <f>IFERROR(-(Q423-T423), "NA")</f>
      </c>
      <c r="X423" s="14">
        <f>IFERROR(W423/W446, "NA")</f>
      </c>
      <c r="Y423" s="15"/>
      <c r="Z423" s="13">
        <v>0</v>
      </c>
      <c r="AA423" s="14">
        <f>IFERROR(Z423/Z446, "NA")</f>
      </c>
      <c r="AB423" s="15"/>
      <c r="AC423" s="16">
        <f>IFERROR(-(Q423-Z423), "NA")</f>
      </c>
      <c r="AD423" s="14">
        <f>IFERROR(AC423/AC446, "NA")</f>
      </c>
    </row>
    <row r="424" hidden="1" ht="16.5" customHeight="1">
      <c t="s" r="A424" s="12">
        <v>389</v>
      </c>
      <c r="B424" s="13">
        <v>0</v>
      </c>
      <c r="C424" s="14">
        <f>IFERROR(B424/B446, "NA")</f>
      </c>
      <c r="D424" s="15"/>
      <c r="E424" s="13">
        <v>0</v>
      </c>
      <c r="F424" s="14">
        <f>IFERROR(E424/E446, "NA")</f>
      </c>
      <c r="G424" s="15"/>
      <c r="H424" s="16">
        <f>IFERROR(-(B424-E424), "NA")</f>
      </c>
      <c r="I424" s="14">
        <f>IFERROR(H424/H446, "NA")</f>
      </c>
      <c r="J424" s="15"/>
      <c r="K424" s="13">
        <v>0</v>
      </c>
      <c r="L424" s="14">
        <f>IFERROR(K424/K446, "NA")</f>
      </c>
      <c r="M424" s="15"/>
      <c r="N424" s="16">
        <f>IFERROR(-(B424-K424), "NA")</f>
      </c>
      <c r="O424" s="14">
        <f>IFERROR(N424/N446, "NA")</f>
      </c>
      <c r="P424" s="15"/>
      <c r="Q424" s="13">
        <v>0</v>
      </c>
      <c r="R424" s="14">
        <f>IFERROR(Q424/Q446, "NA")</f>
      </c>
      <c r="S424" s="15"/>
      <c r="T424" s="13">
        <v>0</v>
      </c>
      <c r="U424" s="14">
        <f>IFERROR(T424/T446, "NA")</f>
      </c>
      <c r="V424" s="15"/>
      <c r="W424" s="16">
        <f>IFERROR(-(Q424-T424), "NA")</f>
      </c>
      <c r="X424" s="14">
        <f>IFERROR(W424/W446, "NA")</f>
      </c>
      <c r="Y424" s="15"/>
      <c r="Z424" s="13">
        <v>0</v>
      </c>
      <c r="AA424" s="14">
        <f>IFERROR(Z424/Z446, "NA")</f>
      </c>
      <c r="AB424" s="15"/>
      <c r="AC424" s="16">
        <f>IFERROR(-(Q424-Z424), "NA")</f>
      </c>
      <c r="AD424" s="14">
        <f>IFERROR(AC424/AC446, "NA")</f>
      </c>
    </row>
    <row r="425" hidden="1" ht="16.5" customHeight="1">
      <c t="s" r="A425" s="12">
        <v>390</v>
      </c>
      <c r="B425" s="13">
        <v>0</v>
      </c>
      <c r="C425" s="14">
        <f>IFERROR(B425/B446, "NA")</f>
      </c>
      <c r="D425" s="15"/>
      <c r="E425" s="13">
        <v>0</v>
      </c>
      <c r="F425" s="14">
        <f>IFERROR(E425/E446, "NA")</f>
      </c>
      <c r="G425" s="15"/>
      <c r="H425" s="16">
        <f>IFERROR(-(B425-E425), "NA")</f>
      </c>
      <c r="I425" s="14">
        <f>IFERROR(H425/H446, "NA")</f>
      </c>
      <c r="J425" s="15"/>
      <c r="K425" s="13">
        <v>0</v>
      </c>
      <c r="L425" s="14">
        <f>IFERROR(K425/K446, "NA")</f>
      </c>
      <c r="M425" s="15"/>
      <c r="N425" s="16">
        <f>IFERROR(-(B425-K425), "NA")</f>
      </c>
      <c r="O425" s="14">
        <f>IFERROR(N425/N446, "NA")</f>
      </c>
      <c r="P425" s="15"/>
      <c r="Q425" s="13">
        <v>0</v>
      </c>
      <c r="R425" s="14">
        <f>IFERROR(Q425/Q446, "NA")</f>
      </c>
      <c r="S425" s="15"/>
      <c r="T425" s="13">
        <v>0</v>
      </c>
      <c r="U425" s="14">
        <f>IFERROR(T425/T446, "NA")</f>
      </c>
      <c r="V425" s="15"/>
      <c r="W425" s="16">
        <f>IFERROR(-(Q425-T425), "NA")</f>
      </c>
      <c r="X425" s="14">
        <f>IFERROR(W425/W446, "NA")</f>
      </c>
      <c r="Y425" s="15"/>
      <c r="Z425" s="13">
        <v>0</v>
      </c>
      <c r="AA425" s="14">
        <f>IFERROR(Z425/Z446, "NA")</f>
      </c>
      <c r="AB425" s="15"/>
      <c r="AC425" s="16">
        <f>IFERROR(-(Q425-Z425), "NA")</f>
      </c>
      <c r="AD425" s="14">
        <f>IFERROR(AC425/AC446, "NA")</f>
      </c>
    </row>
    <row r="426" hidden="1" ht="16.5" customHeight="1">
      <c t="s" r="A426" s="12">
        <v>391</v>
      </c>
      <c r="B426" s="13">
        <v>0</v>
      </c>
      <c r="C426" s="14">
        <f>IFERROR(B426/B446, "NA")</f>
      </c>
      <c r="D426" s="15"/>
      <c r="E426" s="13">
        <v>0</v>
      </c>
      <c r="F426" s="14">
        <f>IFERROR(E426/E446, "NA")</f>
      </c>
      <c r="G426" s="15"/>
      <c r="H426" s="16">
        <f>IFERROR(-(B426-E426), "NA")</f>
      </c>
      <c r="I426" s="14">
        <f>IFERROR(H426/H446, "NA")</f>
      </c>
      <c r="J426" s="15"/>
      <c r="K426" s="13">
        <v>0</v>
      </c>
      <c r="L426" s="14">
        <f>IFERROR(K426/K446, "NA")</f>
      </c>
      <c r="M426" s="15"/>
      <c r="N426" s="16">
        <f>IFERROR(-(B426-K426), "NA")</f>
      </c>
      <c r="O426" s="14">
        <f>IFERROR(N426/N446, "NA")</f>
      </c>
      <c r="P426" s="15"/>
      <c r="Q426" s="13">
        <v>0</v>
      </c>
      <c r="R426" s="14">
        <f>IFERROR(Q426/Q446, "NA")</f>
      </c>
      <c r="S426" s="15"/>
      <c r="T426" s="13">
        <v>0</v>
      </c>
      <c r="U426" s="14">
        <f>IFERROR(T426/T446, "NA")</f>
      </c>
      <c r="V426" s="15"/>
      <c r="W426" s="16">
        <f>IFERROR(-(Q426-T426), "NA")</f>
      </c>
      <c r="X426" s="14">
        <f>IFERROR(W426/W446, "NA")</f>
      </c>
      <c r="Y426" s="15"/>
      <c r="Z426" s="13">
        <v>0</v>
      </c>
      <c r="AA426" s="14">
        <f>IFERROR(Z426/Z446, "NA")</f>
      </c>
      <c r="AB426" s="15"/>
      <c r="AC426" s="16">
        <f>IFERROR(-(Q426-Z426), "NA")</f>
      </c>
      <c r="AD426" s="14">
        <f>IFERROR(AC426/AC446, "NA")</f>
      </c>
    </row>
    <row r="427" hidden="1" ht="16.5" customHeight="1">
      <c t="s" r="A427" s="12">
        <v>392</v>
      </c>
      <c r="B427" s="13">
        <v>0</v>
      </c>
      <c r="C427" s="14">
        <f>IFERROR(B427/B446, "NA")</f>
      </c>
      <c r="D427" s="15"/>
      <c r="E427" s="13">
        <v>0</v>
      </c>
      <c r="F427" s="14">
        <f>IFERROR(E427/E446, "NA")</f>
      </c>
      <c r="G427" s="15"/>
      <c r="H427" s="16">
        <f>IFERROR(-(B427-E427), "NA")</f>
      </c>
      <c r="I427" s="14">
        <f>IFERROR(H427/H446, "NA")</f>
      </c>
      <c r="J427" s="15"/>
      <c r="K427" s="13">
        <v>0</v>
      </c>
      <c r="L427" s="14">
        <f>IFERROR(K427/K446, "NA")</f>
      </c>
      <c r="M427" s="15"/>
      <c r="N427" s="16">
        <f>IFERROR(-(B427-K427), "NA")</f>
      </c>
      <c r="O427" s="14">
        <f>IFERROR(N427/N446, "NA")</f>
      </c>
      <c r="P427" s="15"/>
      <c r="Q427" s="13">
        <v>0</v>
      </c>
      <c r="R427" s="14">
        <f>IFERROR(Q427/Q446, "NA")</f>
      </c>
      <c r="S427" s="15"/>
      <c r="T427" s="13">
        <v>0</v>
      </c>
      <c r="U427" s="14">
        <f>IFERROR(T427/T446, "NA")</f>
      </c>
      <c r="V427" s="15"/>
      <c r="W427" s="16">
        <f>IFERROR(-(Q427-T427), "NA")</f>
      </c>
      <c r="X427" s="14">
        <f>IFERROR(W427/W446, "NA")</f>
      </c>
      <c r="Y427" s="15"/>
      <c r="Z427" s="13">
        <v>0</v>
      </c>
      <c r="AA427" s="14">
        <f>IFERROR(Z427/Z446, "NA")</f>
      </c>
      <c r="AB427" s="15"/>
      <c r="AC427" s="16">
        <f>IFERROR(-(Q427-Z427), "NA")</f>
      </c>
      <c r="AD427" s="14">
        <f>IFERROR(AC427/AC446, "NA")</f>
      </c>
    </row>
    <row r="428" hidden="1" ht="16.5" customHeight="1">
      <c t="s" r="A428" s="12">
        <v>393</v>
      </c>
      <c r="B428" s="13">
        <v>0</v>
      </c>
      <c r="C428" s="14">
        <f>IFERROR(B428/B446, "NA")</f>
      </c>
      <c r="D428" s="15"/>
      <c r="E428" s="13">
        <v>0</v>
      </c>
      <c r="F428" s="14">
        <f>IFERROR(E428/E446, "NA")</f>
      </c>
      <c r="G428" s="15"/>
      <c r="H428" s="16">
        <f>IFERROR(-(B428-E428), "NA")</f>
      </c>
      <c r="I428" s="14">
        <f>IFERROR(H428/H446, "NA")</f>
      </c>
      <c r="J428" s="15"/>
      <c r="K428" s="13">
        <v>0</v>
      </c>
      <c r="L428" s="14">
        <f>IFERROR(K428/K446, "NA")</f>
      </c>
      <c r="M428" s="15"/>
      <c r="N428" s="16">
        <f>IFERROR(-(B428-K428), "NA")</f>
      </c>
      <c r="O428" s="14">
        <f>IFERROR(N428/N446, "NA")</f>
      </c>
      <c r="P428" s="15"/>
      <c r="Q428" s="13">
        <v>0</v>
      </c>
      <c r="R428" s="14">
        <f>IFERROR(Q428/Q446, "NA")</f>
      </c>
      <c r="S428" s="15"/>
      <c r="T428" s="13">
        <v>0</v>
      </c>
      <c r="U428" s="14">
        <f>IFERROR(T428/T446, "NA")</f>
      </c>
      <c r="V428" s="15"/>
      <c r="W428" s="16">
        <f>IFERROR(-(Q428-T428), "NA")</f>
      </c>
      <c r="X428" s="14">
        <f>IFERROR(W428/W446, "NA")</f>
      </c>
      <c r="Y428" s="15"/>
      <c r="Z428" s="13">
        <v>0</v>
      </c>
      <c r="AA428" s="14">
        <f>IFERROR(Z428/Z446, "NA")</f>
      </c>
      <c r="AB428" s="15"/>
      <c r="AC428" s="16">
        <f>IFERROR(-(Q428-Z428), "NA")</f>
      </c>
      <c r="AD428" s="14">
        <f>IFERROR(AC428/AC446, "NA")</f>
      </c>
    </row>
    <row r="429" hidden="1" ht="16.5" customHeight="1">
      <c t="s" r="A429" s="12">
        <v>394</v>
      </c>
      <c r="B429" s="13">
        <v>0</v>
      </c>
      <c r="C429" s="14">
        <f>IFERROR(B429/B446, "NA")</f>
      </c>
      <c r="D429" s="15"/>
      <c r="E429" s="13">
        <v>0</v>
      </c>
      <c r="F429" s="14">
        <f>IFERROR(E429/E446, "NA")</f>
      </c>
      <c r="G429" s="15"/>
      <c r="H429" s="16">
        <f>IFERROR(-(B429-E429), "NA")</f>
      </c>
      <c r="I429" s="14">
        <f>IFERROR(H429/H446, "NA")</f>
      </c>
      <c r="J429" s="15"/>
      <c r="K429" s="13">
        <v>0</v>
      </c>
      <c r="L429" s="14">
        <f>IFERROR(K429/K446, "NA")</f>
      </c>
      <c r="M429" s="15"/>
      <c r="N429" s="16">
        <f>IFERROR(-(B429-K429), "NA")</f>
      </c>
      <c r="O429" s="14">
        <f>IFERROR(N429/N446, "NA")</f>
      </c>
      <c r="P429" s="15"/>
      <c r="Q429" s="13">
        <v>0</v>
      </c>
      <c r="R429" s="14">
        <f>IFERROR(Q429/Q446, "NA")</f>
      </c>
      <c r="S429" s="15"/>
      <c r="T429" s="13">
        <v>0</v>
      </c>
      <c r="U429" s="14">
        <f>IFERROR(T429/T446, "NA")</f>
      </c>
      <c r="V429" s="15"/>
      <c r="W429" s="16">
        <f>IFERROR(-(Q429-T429), "NA")</f>
      </c>
      <c r="X429" s="14">
        <f>IFERROR(W429/W446, "NA")</f>
      </c>
      <c r="Y429" s="15"/>
      <c r="Z429" s="13">
        <v>0</v>
      </c>
      <c r="AA429" s="14">
        <f>IFERROR(Z429/Z446, "NA")</f>
      </c>
      <c r="AB429" s="15"/>
      <c r="AC429" s="16">
        <f>IFERROR(-(Q429-Z429), "NA")</f>
      </c>
      <c r="AD429" s="14">
        <f>IFERROR(AC429/AC446, "NA")</f>
      </c>
    </row>
    <row r="430" ht="16.5" customHeight="1">
      <c t="s" r="A430" s="25">
        <v>395</v>
      </c>
      <c r="B430" s="20">
        <f>IFERROR(B408+B409+B410+B411+B412+B413+B414+B415+B416+B417+B418+B419+B420+B421+B422+B423+B424+B425+B426+B427+B428+B429, "NA")</f>
      </c>
      <c r="C430" s="21">
        <f>IFERROR(B430/B446, "NA")</f>
      </c>
      <c r="D430" s="8"/>
      <c r="E430" s="20">
        <f>IFERROR(E408+E409+E410+E411+E412+E413+E414+E415+E416+E417+E418+E419+E420+E421+E422+E423+E424+E425+E426+E427+E428+E429, "NA")</f>
      </c>
      <c r="F430" s="21">
        <f>IFERROR(E430/E446, "NA")</f>
      </c>
      <c r="G430" s="8"/>
      <c r="H430" s="20">
        <f>IFERROR(-(B430-E430), "NA")</f>
      </c>
      <c r="I430" s="21">
        <f>IFERROR(H430/H446, "NA")</f>
      </c>
      <c r="J430" s="8"/>
      <c r="K430" s="20">
        <f>IFERROR(K408+K409+K410+K411+K412+K413+K414+K415+K416+K417+K418+K419+K420+K421+K422+K423+K424+K425+K426+K427+K428+K429, "NA")</f>
      </c>
      <c r="L430" s="21">
        <f>IFERROR(K430/K446, "NA")</f>
      </c>
      <c r="M430" s="8"/>
      <c r="N430" s="20">
        <f>IFERROR(-(B430-K430), "NA")</f>
      </c>
      <c r="O430" s="21">
        <f>IFERROR(N430/N446, "NA")</f>
      </c>
      <c r="P430" s="8"/>
      <c r="Q430" s="20">
        <f>IFERROR(Q408+Q409+Q410+Q411+Q412+Q413+Q414+Q415+Q416+Q417+Q418+Q419+Q420+Q421+Q422+Q423+Q424+Q425+Q426+Q427+Q428+Q429, "NA")</f>
      </c>
      <c r="R430" s="21">
        <f>IFERROR(Q430/Q446, "NA")</f>
      </c>
      <c r="S430" s="8"/>
      <c r="T430" s="20">
        <f>IFERROR(T408+T409+T410+T411+T412+T413+T414+T415+T416+T417+T418+T419+T420+T421+T422+T423+T424+T425+T426+T427+T428+T429, "NA")</f>
      </c>
      <c r="U430" s="21">
        <f>IFERROR(T430/T446, "NA")</f>
      </c>
      <c r="V430" s="8"/>
      <c r="W430" s="20">
        <f>IFERROR(-(Q430-T430), "NA")</f>
      </c>
      <c r="X430" s="21">
        <f>IFERROR(W430/W446, "NA")</f>
      </c>
      <c r="Y430" s="8"/>
      <c r="Z430" s="20">
        <f>IFERROR(Z408+Z409+Z410+Z411+Z412+Z413+Z414+Z415+Z416+Z417+Z418+Z419+Z420+Z421+Z422+Z423+Z424+Z425+Z426+Z427+Z428+Z429, "NA")</f>
      </c>
      <c r="AA430" s="21">
        <f>IFERROR(Z430/Z446, "NA")</f>
      </c>
      <c r="AB430" s="8"/>
      <c r="AC430" s="20">
        <f>IFERROR(-(Q430-Z430), "NA")</f>
      </c>
      <c r="AD430" s="21">
        <f>IFERROR(AC430/AC446, "NA")</f>
      </c>
    </row>
    <row r="431" ht="16.5" customHeight="1">
      <c t="s" r="A431" s="27">
        <v>396</v>
      </c>
      <c r="B431" s="20">
        <f>IFERROR(B408+B409+B410+B411+B412+B413+B414+B415+B416+B417+B418+B419+B420+B421+B422+B423+B424+B425+B426+B427+B428+B429, "NA")</f>
      </c>
      <c r="C431" s="21">
        <f>IFERROR(B431/B446, "NA")</f>
      </c>
      <c r="D431" s="8"/>
      <c r="E431" s="20">
        <f>IFERROR(E408+E409+E410+E411+E412+E413+E414+E415+E416+E417+E418+E419+E420+E421+E422+E423+E424+E425+E426+E427+E428+E429, "NA")</f>
      </c>
      <c r="F431" s="21">
        <f>IFERROR(E431/E446, "NA")</f>
      </c>
      <c r="G431" s="8"/>
      <c r="H431" s="20">
        <f>IFERROR(-(B431-E431), "NA")</f>
      </c>
      <c r="I431" s="21">
        <f>IFERROR(H431/H446, "NA")</f>
      </c>
      <c r="J431" s="8"/>
      <c r="K431" s="20">
        <f>IFERROR(K408+K409+K410+K411+K412+K413+K414+K415+K416+K417+K418+K419+K420+K421+K422+K423+K424+K425+K426+K427+K428+K429, "NA")</f>
      </c>
      <c r="L431" s="21">
        <f>IFERROR(K431/K446, "NA")</f>
      </c>
      <c r="M431" s="8"/>
      <c r="N431" s="20">
        <f>IFERROR(-(B431-K431), "NA")</f>
      </c>
      <c r="O431" s="21">
        <f>IFERROR(N431/N446, "NA")</f>
      </c>
      <c r="P431" s="8"/>
      <c r="Q431" s="20">
        <f>IFERROR(Q408+Q409+Q410+Q411+Q412+Q413+Q414+Q415+Q416+Q417+Q418+Q419+Q420+Q421+Q422+Q423+Q424+Q425+Q426+Q427+Q428+Q429, "NA")</f>
      </c>
      <c r="R431" s="21">
        <f>IFERROR(Q431/Q446, "NA")</f>
      </c>
      <c r="S431" s="8"/>
      <c r="T431" s="20">
        <f>IFERROR(T408+T409+T410+T411+T412+T413+T414+T415+T416+T417+T418+T419+T420+T421+T422+T423+T424+T425+T426+T427+T428+T429, "NA")</f>
      </c>
      <c r="U431" s="21">
        <f>IFERROR(T431/T446, "NA")</f>
      </c>
      <c r="V431" s="8"/>
      <c r="W431" s="20">
        <f>IFERROR(-(Q431-T431), "NA")</f>
      </c>
      <c r="X431" s="21">
        <f>IFERROR(W431/W446, "NA")</f>
      </c>
      <c r="Y431" s="8"/>
      <c r="Z431" s="20">
        <f>IFERROR(Z408+Z409+Z410+Z411+Z412+Z413+Z414+Z415+Z416+Z417+Z418+Z419+Z420+Z421+Z422+Z423+Z424+Z425+Z426+Z427+Z428+Z429, "NA")</f>
      </c>
      <c r="AA431" s="21">
        <f>IFERROR(Z431/Z446, "NA")</f>
      </c>
      <c r="AB431" s="8"/>
      <c r="AC431" s="20">
        <f>IFERROR(-(Q431-Z431), "NA")</f>
      </c>
      <c r="AD431" s="21">
        <f>IFERROR(AC431/AC446, "NA")</f>
      </c>
    </row>
    <row r="432" ht="16.5" customHeight="1">
      <c t="s" r="A432" s="7">
        <v>397</v>
      </c>
      <c r="B432" s="8"/>
      <c r="C432" s="9"/>
      <c r="D432" s="10"/>
      <c r="E432" s="8"/>
      <c r="F432" s="9"/>
      <c r="G432" s="10"/>
      <c r="H432" s="8"/>
      <c r="I432" s="9"/>
      <c r="J432" s="10"/>
      <c r="K432" s="8"/>
      <c r="L432" s="9"/>
      <c r="M432" s="10"/>
      <c r="N432" s="8"/>
      <c r="O432" s="9"/>
      <c r="P432" s="10"/>
      <c r="Q432" s="8"/>
      <c r="R432" s="9"/>
      <c r="S432" s="10"/>
      <c r="T432" s="8"/>
      <c r="U432" s="9"/>
      <c r="V432" s="10"/>
      <c r="W432" s="8"/>
      <c r="X432" s="9"/>
      <c r="Y432" s="10"/>
      <c r="Z432" s="8"/>
      <c r="AA432" s="9"/>
      <c r="AB432" s="10"/>
      <c r="AC432" s="8"/>
      <c r="AD432" s="9"/>
    </row>
    <row r="433" ht="16.5" customHeight="1">
      <c t="s" r="A433" s="11">
        <v>398</v>
      </c>
      <c r="B433" s="8"/>
      <c r="C433" s="9"/>
      <c r="D433" s="10"/>
      <c r="E433" s="8"/>
      <c r="F433" s="9"/>
      <c r="G433" s="10"/>
      <c r="H433" s="8"/>
      <c r="I433" s="9"/>
      <c r="J433" s="10"/>
      <c r="K433" s="8"/>
      <c r="L433" s="9"/>
      <c r="M433" s="10"/>
      <c r="N433" s="8"/>
      <c r="O433" s="9"/>
      <c r="P433" s="10"/>
      <c r="Q433" s="8"/>
      <c r="R433" s="9"/>
      <c r="S433" s="10"/>
      <c r="T433" s="8"/>
      <c r="U433" s="9"/>
      <c r="V433" s="10"/>
      <c r="W433" s="8"/>
      <c r="X433" s="9"/>
      <c r="Y433" s="10"/>
      <c r="Z433" s="8"/>
      <c r="AA433" s="9"/>
      <c r="AB433" s="10"/>
      <c r="AC433" s="8"/>
      <c r="AD433" s="9"/>
    </row>
    <row r="434" hidden="1" ht="16.5" customHeight="1">
      <c t="s" r="A434" s="12">
        <v>398</v>
      </c>
      <c r="B434" s="13">
        <v>0</v>
      </c>
      <c r="C434" s="14">
        <f>IFERROR(B434/B446, "NA")</f>
      </c>
      <c r="D434" s="15"/>
      <c r="E434" s="13">
        <v>0</v>
      </c>
      <c r="F434" s="14">
        <f>IFERROR(E434/E446, "NA")</f>
      </c>
      <c r="G434" s="15"/>
      <c r="H434" s="16">
        <f>IFERROR(-(B434-E434), "NA")</f>
      </c>
      <c r="I434" s="14">
        <f>IFERROR(H434/H446, "NA")</f>
      </c>
      <c r="J434" s="15"/>
      <c r="K434" s="13">
        <v>0</v>
      </c>
      <c r="L434" s="14">
        <f>IFERROR(K434/K446, "NA")</f>
      </c>
      <c r="M434" s="15"/>
      <c r="N434" s="16">
        <f>IFERROR(-(B434-K434), "NA")</f>
      </c>
      <c r="O434" s="14">
        <f>IFERROR(N434/N446, "NA")</f>
      </c>
      <c r="P434" s="15"/>
      <c r="Q434" s="13">
        <v>0</v>
      </c>
      <c r="R434" s="14">
        <f>IFERROR(Q434/Q446, "NA")</f>
      </c>
      <c r="S434" s="15"/>
      <c r="T434" s="13">
        <v>0</v>
      </c>
      <c r="U434" s="14">
        <f>IFERROR(T434/T446, "NA")</f>
      </c>
      <c r="V434" s="15"/>
      <c r="W434" s="16">
        <f>IFERROR(-(Q434-T434), "NA")</f>
      </c>
      <c r="X434" s="14">
        <f>IFERROR(W434/W446, "NA")</f>
      </c>
      <c r="Y434" s="15"/>
      <c r="Z434" s="13">
        <v>0</v>
      </c>
      <c r="AA434" s="14">
        <f>IFERROR(Z434/Z446, "NA")</f>
      </c>
      <c r="AB434" s="15"/>
      <c r="AC434" s="16">
        <f>IFERROR(-(Q434-Z434), "NA")</f>
      </c>
      <c r="AD434" s="14">
        <f>IFERROR(AC434/AC446, "NA")</f>
      </c>
    </row>
    <row r="435" hidden="1" ht="16.5" customHeight="1">
      <c t="s" r="A435" s="12">
        <v>399</v>
      </c>
      <c r="B435" s="13">
        <v>0</v>
      </c>
      <c r="C435" s="14">
        <f>IFERROR(B435/B446, "NA")</f>
      </c>
      <c r="D435" s="15"/>
      <c r="E435" s="13">
        <v>0</v>
      </c>
      <c r="F435" s="14">
        <f>IFERROR(E435/E446, "NA")</f>
      </c>
      <c r="G435" s="15"/>
      <c r="H435" s="16">
        <f>IFERROR(-(B435-E435), "NA")</f>
      </c>
      <c r="I435" s="14">
        <f>IFERROR(H435/H446, "NA")</f>
      </c>
      <c r="J435" s="15"/>
      <c r="K435" s="13">
        <v>0</v>
      </c>
      <c r="L435" s="14">
        <f>IFERROR(K435/K446, "NA")</f>
      </c>
      <c r="M435" s="15"/>
      <c r="N435" s="16">
        <f>IFERROR(-(B435-K435), "NA")</f>
      </c>
      <c r="O435" s="14">
        <f>IFERROR(N435/N446, "NA")</f>
      </c>
      <c r="P435" s="15"/>
      <c r="Q435" s="13">
        <v>0</v>
      </c>
      <c r="R435" s="14">
        <f>IFERROR(Q435/Q446, "NA")</f>
      </c>
      <c r="S435" s="15"/>
      <c r="T435" s="13">
        <v>0</v>
      </c>
      <c r="U435" s="14">
        <f>IFERROR(T435/T446, "NA")</f>
      </c>
      <c r="V435" s="15"/>
      <c r="W435" s="16">
        <f>IFERROR(-(Q435-T435), "NA")</f>
      </c>
      <c r="X435" s="14">
        <f>IFERROR(W435/W446, "NA")</f>
      </c>
      <c r="Y435" s="15"/>
      <c r="Z435" s="13">
        <v>0</v>
      </c>
      <c r="AA435" s="14">
        <f>IFERROR(Z435/Z446, "NA")</f>
      </c>
      <c r="AB435" s="15"/>
      <c r="AC435" s="16">
        <f>IFERROR(-(Q435-Z435), "NA")</f>
      </c>
      <c r="AD435" s="14">
        <f>IFERROR(AC435/AC446, "NA")</f>
      </c>
    </row>
    <row r="436" hidden="1" ht="16.5" customHeight="1">
      <c t="s" r="A436" s="12">
        <v>400</v>
      </c>
      <c r="B436" s="13">
        <v>0</v>
      </c>
      <c r="C436" s="14">
        <f>IFERROR(B436/B446, "NA")</f>
      </c>
      <c r="D436" s="15"/>
      <c r="E436" s="13">
        <v>0</v>
      </c>
      <c r="F436" s="14">
        <f>IFERROR(E436/E446, "NA")</f>
      </c>
      <c r="G436" s="15"/>
      <c r="H436" s="16">
        <f>IFERROR(-(B436-E436), "NA")</f>
      </c>
      <c r="I436" s="14">
        <f>IFERROR(H436/H446, "NA")</f>
      </c>
      <c r="J436" s="15"/>
      <c r="K436" s="13">
        <v>0</v>
      </c>
      <c r="L436" s="14">
        <f>IFERROR(K436/K446, "NA")</f>
      </c>
      <c r="M436" s="15"/>
      <c r="N436" s="16">
        <f>IFERROR(-(B436-K436), "NA")</f>
      </c>
      <c r="O436" s="14">
        <f>IFERROR(N436/N446, "NA")</f>
      </c>
      <c r="P436" s="15"/>
      <c r="Q436" s="13">
        <v>0</v>
      </c>
      <c r="R436" s="14">
        <f>IFERROR(Q436/Q446, "NA")</f>
      </c>
      <c r="S436" s="15"/>
      <c r="T436" s="13">
        <v>0</v>
      </c>
      <c r="U436" s="14">
        <f>IFERROR(T436/T446, "NA")</f>
      </c>
      <c r="V436" s="15"/>
      <c r="W436" s="16">
        <f>IFERROR(-(Q436-T436), "NA")</f>
      </c>
      <c r="X436" s="14">
        <f>IFERROR(W436/W446, "NA")</f>
      </c>
      <c r="Y436" s="15"/>
      <c r="Z436" s="13">
        <v>0</v>
      </c>
      <c r="AA436" s="14">
        <f>IFERROR(Z436/Z446, "NA")</f>
      </c>
      <c r="AB436" s="15"/>
      <c r="AC436" s="16">
        <f>IFERROR(-(Q436-Z436), "NA")</f>
      </c>
      <c r="AD436" s="14">
        <f>IFERROR(AC436/AC446, "NA")</f>
      </c>
    </row>
    <row r="437" hidden="1" ht="16.5" customHeight="1">
      <c t="s" r="A437" s="12">
        <v>401</v>
      </c>
      <c r="B437" s="13">
        <v>0</v>
      </c>
      <c r="C437" s="14">
        <f>IFERROR(B437/B446, "NA")</f>
      </c>
      <c r="D437" s="15"/>
      <c r="E437" s="13">
        <v>0</v>
      </c>
      <c r="F437" s="14">
        <f>IFERROR(E437/E446, "NA")</f>
      </c>
      <c r="G437" s="15"/>
      <c r="H437" s="16">
        <f>IFERROR(-(B437-E437), "NA")</f>
      </c>
      <c r="I437" s="14">
        <f>IFERROR(H437/H446, "NA")</f>
      </c>
      <c r="J437" s="15"/>
      <c r="K437" s="13">
        <v>0</v>
      </c>
      <c r="L437" s="14">
        <f>IFERROR(K437/K446, "NA")</f>
      </c>
      <c r="M437" s="15"/>
      <c r="N437" s="16">
        <f>IFERROR(-(B437-K437), "NA")</f>
      </c>
      <c r="O437" s="14">
        <f>IFERROR(N437/N446, "NA")</f>
      </c>
      <c r="P437" s="15"/>
      <c r="Q437" s="13">
        <v>0</v>
      </c>
      <c r="R437" s="14">
        <f>IFERROR(Q437/Q446, "NA")</f>
      </c>
      <c r="S437" s="15"/>
      <c r="T437" s="13">
        <v>0</v>
      </c>
      <c r="U437" s="14">
        <f>IFERROR(T437/T446, "NA")</f>
      </c>
      <c r="V437" s="15"/>
      <c r="W437" s="16">
        <f>IFERROR(-(Q437-T437), "NA")</f>
      </c>
      <c r="X437" s="14">
        <f>IFERROR(W437/W446, "NA")</f>
      </c>
      <c r="Y437" s="15"/>
      <c r="Z437" s="13">
        <v>0</v>
      </c>
      <c r="AA437" s="14">
        <f>IFERROR(Z437/Z446, "NA")</f>
      </c>
      <c r="AB437" s="15"/>
      <c r="AC437" s="16">
        <f>IFERROR(-(Q437-Z437), "NA")</f>
      </c>
      <c r="AD437" s="14">
        <f>IFERROR(AC437/AC446, "NA")</f>
      </c>
    </row>
    <row r="438" hidden="1" ht="16.5" customHeight="1">
      <c t="s" r="A438" s="12">
        <v>402</v>
      </c>
      <c r="B438" s="13">
        <v>0</v>
      </c>
      <c r="C438" s="14">
        <f>IFERROR(B438/B446, "NA")</f>
      </c>
      <c r="D438" s="15"/>
      <c r="E438" s="13">
        <v>0</v>
      </c>
      <c r="F438" s="14">
        <f>IFERROR(E438/E446, "NA")</f>
      </c>
      <c r="G438" s="15"/>
      <c r="H438" s="16">
        <f>IFERROR(-(B438-E438), "NA")</f>
      </c>
      <c r="I438" s="14">
        <f>IFERROR(H438/H446, "NA")</f>
      </c>
      <c r="J438" s="15"/>
      <c r="K438" s="13">
        <v>0</v>
      </c>
      <c r="L438" s="14">
        <f>IFERROR(K438/K446, "NA")</f>
      </c>
      <c r="M438" s="15"/>
      <c r="N438" s="16">
        <f>IFERROR(-(B438-K438), "NA")</f>
      </c>
      <c r="O438" s="14">
        <f>IFERROR(N438/N446, "NA")</f>
      </c>
      <c r="P438" s="15"/>
      <c r="Q438" s="13">
        <v>0</v>
      </c>
      <c r="R438" s="14">
        <f>IFERROR(Q438/Q446, "NA")</f>
      </c>
      <c r="S438" s="15"/>
      <c r="T438" s="13">
        <v>0</v>
      </c>
      <c r="U438" s="14">
        <f>IFERROR(T438/T446, "NA")</f>
      </c>
      <c r="V438" s="15"/>
      <c r="W438" s="16">
        <f>IFERROR(-(Q438-T438), "NA")</f>
      </c>
      <c r="X438" s="14">
        <f>IFERROR(W438/W446, "NA")</f>
      </c>
      <c r="Y438" s="15"/>
      <c r="Z438" s="13">
        <v>0</v>
      </c>
      <c r="AA438" s="14">
        <f>IFERROR(Z438/Z446, "NA")</f>
      </c>
      <c r="AB438" s="15"/>
      <c r="AC438" s="16">
        <f>IFERROR(-(Q438-Z438), "NA")</f>
      </c>
      <c r="AD438" s="14">
        <f>IFERROR(AC438/AC446, "NA")</f>
      </c>
    </row>
    <row r="439" hidden="1" ht="16.5" customHeight="1">
      <c t="s" r="A439" s="12">
        <v>403</v>
      </c>
      <c r="B439" s="13">
        <v>0</v>
      </c>
      <c r="C439" s="14">
        <f>IFERROR(B439/B446, "NA")</f>
      </c>
      <c r="D439" s="15"/>
      <c r="E439" s="13">
        <v>0</v>
      </c>
      <c r="F439" s="14">
        <f>IFERROR(E439/E446, "NA")</f>
      </c>
      <c r="G439" s="15"/>
      <c r="H439" s="16">
        <f>IFERROR(-(B439-E439), "NA")</f>
      </c>
      <c r="I439" s="14">
        <f>IFERROR(H439/H446, "NA")</f>
      </c>
      <c r="J439" s="15"/>
      <c r="K439" s="13">
        <v>0</v>
      </c>
      <c r="L439" s="14">
        <f>IFERROR(K439/K446, "NA")</f>
      </c>
      <c r="M439" s="15"/>
      <c r="N439" s="16">
        <f>IFERROR(-(B439-K439), "NA")</f>
      </c>
      <c r="O439" s="14">
        <f>IFERROR(N439/N446, "NA")</f>
      </c>
      <c r="P439" s="15"/>
      <c r="Q439" s="13">
        <v>0</v>
      </c>
      <c r="R439" s="14">
        <f>IFERROR(Q439/Q446, "NA")</f>
      </c>
      <c r="S439" s="15"/>
      <c r="T439" s="13">
        <v>0</v>
      </c>
      <c r="U439" s="14">
        <f>IFERROR(T439/T446, "NA")</f>
      </c>
      <c r="V439" s="15"/>
      <c r="W439" s="16">
        <f>IFERROR(-(Q439-T439), "NA")</f>
      </c>
      <c r="X439" s="14">
        <f>IFERROR(W439/W446, "NA")</f>
      </c>
      <c r="Y439" s="15"/>
      <c r="Z439" s="13">
        <v>0</v>
      </c>
      <c r="AA439" s="14">
        <f>IFERROR(Z439/Z446, "NA")</f>
      </c>
      <c r="AB439" s="15"/>
      <c r="AC439" s="16">
        <f>IFERROR(-(Q439-Z439), "NA")</f>
      </c>
      <c r="AD439" s="14">
        <f>IFERROR(AC439/AC446, "NA")</f>
      </c>
    </row>
    <row r="440" hidden="1" ht="30.75" customHeight="1">
      <c t="s" r="A440" s="12">
        <v>404</v>
      </c>
      <c r="B440" s="13">
        <v>0</v>
      </c>
      <c r="C440" s="14">
        <f>IFERROR(B440/B446, "NA")</f>
      </c>
      <c r="D440" s="15"/>
      <c r="E440" s="13">
        <v>0</v>
      </c>
      <c r="F440" s="14">
        <f>IFERROR(E440/E446, "NA")</f>
      </c>
      <c r="G440" s="15"/>
      <c r="H440" s="16">
        <f>IFERROR(-(B440-E440), "NA")</f>
      </c>
      <c r="I440" s="14">
        <f>IFERROR(H440/H446, "NA")</f>
      </c>
      <c r="J440" s="15"/>
      <c r="K440" s="13">
        <v>0</v>
      </c>
      <c r="L440" s="14">
        <f>IFERROR(K440/K446, "NA")</f>
      </c>
      <c r="M440" s="15"/>
      <c r="N440" s="16">
        <f>IFERROR(-(B440-K440), "NA")</f>
      </c>
      <c r="O440" s="14">
        <f>IFERROR(N440/N446, "NA")</f>
      </c>
      <c r="P440" s="15"/>
      <c r="Q440" s="13">
        <v>0</v>
      </c>
      <c r="R440" s="14">
        <f>IFERROR(Q440/Q446, "NA")</f>
      </c>
      <c r="S440" s="15"/>
      <c r="T440" s="13">
        <v>0</v>
      </c>
      <c r="U440" s="14">
        <f>IFERROR(T440/T446, "NA")</f>
      </c>
      <c r="V440" s="15"/>
      <c r="W440" s="16">
        <f>IFERROR(-(Q440-T440), "NA")</f>
      </c>
      <c r="X440" s="14">
        <f>IFERROR(W440/W446, "NA")</f>
      </c>
      <c r="Y440" s="15"/>
      <c r="Z440" s="13">
        <v>0</v>
      </c>
      <c r="AA440" s="14">
        <f>IFERROR(Z440/Z446, "NA")</f>
      </c>
      <c r="AB440" s="15"/>
      <c r="AC440" s="16">
        <f>IFERROR(-(Q440-Z440), "NA")</f>
      </c>
      <c r="AD440" s="14">
        <f>IFERROR(AC440/AC446, "NA")</f>
      </c>
    </row>
    <row r="441" hidden="1" ht="16.5" customHeight="1">
      <c t="s" r="A441" s="12">
        <v>405</v>
      </c>
      <c r="B441" s="13">
        <v>0</v>
      </c>
      <c r="C441" s="14">
        <f>IFERROR(B441/B446, "NA")</f>
      </c>
      <c r="D441" s="15"/>
      <c r="E441" s="13">
        <v>0</v>
      </c>
      <c r="F441" s="14">
        <f>IFERROR(E441/E446, "NA")</f>
      </c>
      <c r="G441" s="15"/>
      <c r="H441" s="16">
        <f>IFERROR(-(B441-E441), "NA")</f>
      </c>
      <c r="I441" s="14">
        <f>IFERROR(H441/H446, "NA")</f>
      </c>
      <c r="J441" s="15"/>
      <c r="K441" s="13">
        <v>0</v>
      </c>
      <c r="L441" s="14">
        <f>IFERROR(K441/K446, "NA")</f>
      </c>
      <c r="M441" s="15"/>
      <c r="N441" s="16">
        <f>IFERROR(-(B441-K441), "NA")</f>
      </c>
      <c r="O441" s="14">
        <f>IFERROR(N441/N446, "NA")</f>
      </c>
      <c r="P441" s="15"/>
      <c r="Q441" s="13">
        <v>0</v>
      </c>
      <c r="R441" s="14">
        <f>IFERROR(Q441/Q446, "NA")</f>
      </c>
      <c r="S441" s="15"/>
      <c r="T441" s="13">
        <v>0</v>
      </c>
      <c r="U441" s="14">
        <f>IFERROR(T441/T446, "NA")</f>
      </c>
      <c r="V441" s="15"/>
      <c r="W441" s="16">
        <f>IFERROR(-(Q441-T441), "NA")</f>
      </c>
      <c r="X441" s="14">
        <f>IFERROR(W441/W446, "NA")</f>
      </c>
      <c r="Y441" s="15"/>
      <c r="Z441" s="13">
        <v>0</v>
      </c>
      <c r="AA441" s="14">
        <f>IFERROR(Z441/Z446, "NA")</f>
      </c>
      <c r="AB441" s="15"/>
      <c r="AC441" s="16">
        <f>IFERROR(-(Q441-Z441), "NA")</f>
      </c>
      <c r="AD441" s="14">
        <f>IFERROR(AC441/AC446, "NA")</f>
      </c>
    </row>
    <row r="442" hidden="1" ht="30.75" customHeight="1">
      <c t="s" r="A442" s="12">
        <v>406</v>
      </c>
      <c r="B442" s="13">
        <v>0</v>
      </c>
      <c r="C442" s="14">
        <f>IFERROR(B442/B446, "NA")</f>
      </c>
      <c r="D442" s="15"/>
      <c r="E442" s="13">
        <v>0</v>
      </c>
      <c r="F442" s="14">
        <f>IFERROR(E442/E446, "NA")</f>
      </c>
      <c r="G442" s="15"/>
      <c r="H442" s="16">
        <f>IFERROR(-(B442-E442), "NA")</f>
      </c>
      <c r="I442" s="14">
        <f>IFERROR(H442/H446, "NA")</f>
      </c>
      <c r="J442" s="15"/>
      <c r="K442" s="13">
        <v>0</v>
      </c>
      <c r="L442" s="14">
        <f>IFERROR(K442/K446, "NA")</f>
      </c>
      <c r="M442" s="15"/>
      <c r="N442" s="16">
        <f>IFERROR(-(B442-K442), "NA")</f>
      </c>
      <c r="O442" s="14">
        <f>IFERROR(N442/N446, "NA")</f>
      </c>
      <c r="P442" s="15"/>
      <c r="Q442" s="13">
        <v>0</v>
      </c>
      <c r="R442" s="14">
        <f>IFERROR(Q442/Q446, "NA")</f>
      </c>
      <c r="S442" s="15"/>
      <c r="T442" s="13">
        <v>0</v>
      </c>
      <c r="U442" s="14">
        <f>IFERROR(T442/T446, "NA")</f>
      </c>
      <c r="V442" s="15"/>
      <c r="W442" s="16">
        <f>IFERROR(-(Q442-T442), "NA")</f>
      </c>
      <c r="X442" s="14">
        <f>IFERROR(W442/W446, "NA")</f>
      </c>
      <c r="Y442" s="15"/>
      <c r="Z442" s="13">
        <v>0</v>
      </c>
      <c r="AA442" s="14">
        <f>IFERROR(Z442/Z446, "NA")</f>
      </c>
      <c r="AB442" s="15"/>
      <c r="AC442" s="16">
        <f>IFERROR(-(Q442-Z442), "NA")</f>
      </c>
      <c r="AD442" s="14">
        <f>IFERROR(AC442/AC446, "NA")</f>
      </c>
    </row>
    <row r="443" ht="16.5" customHeight="1">
      <c t="s" r="A443" s="25">
        <v>407</v>
      </c>
      <c r="B443" s="20">
        <f>IFERROR(B434+B435+B436+B437+B438+B439+B440+B441+B442, "NA")</f>
      </c>
      <c r="C443" s="21">
        <f>IFERROR(B443/B446, "NA")</f>
      </c>
      <c r="D443" s="8"/>
      <c r="E443" s="20">
        <f>IFERROR(E434+E435+E436+E437+E438+E439+E440+E441+E442, "NA")</f>
      </c>
      <c r="F443" s="21">
        <f>IFERROR(E443/E446, "NA")</f>
      </c>
      <c r="G443" s="8"/>
      <c r="H443" s="20">
        <f>IFERROR(-(B443-E443), "NA")</f>
      </c>
      <c r="I443" s="21">
        <f>IFERROR(H443/H446, "NA")</f>
      </c>
      <c r="J443" s="8"/>
      <c r="K443" s="20">
        <f>IFERROR(K434+K435+K436+K437+K438+K439+K440+K441+K442, "NA")</f>
      </c>
      <c r="L443" s="21">
        <f>IFERROR(K443/K446, "NA")</f>
      </c>
      <c r="M443" s="8"/>
      <c r="N443" s="20">
        <f>IFERROR(-(B443-K443), "NA")</f>
      </c>
      <c r="O443" s="21">
        <f>IFERROR(N443/N446, "NA")</f>
      </c>
      <c r="P443" s="8"/>
      <c r="Q443" s="20">
        <f>IFERROR(Q434+Q435+Q436+Q437+Q438+Q439+Q440+Q441+Q442, "NA")</f>
      </c>
      <c r="R443" s="21">
        <f>IFERROR(Q443/Q446, "NA")</f>
      </c>
      <c r="S443" s="8"/>
      <c r="T443" s="20">
        <f>IFERROR(T434+T435+T436+T437+T438+T439+T440+T441+T442, "NA")</f>
      </c>
      <c r="U443" s="21">
        <f>IFERROR(T443/T446, "NA")</f>
      </c>
      <c r="V443" s="8"/>
      <c r="W443" s="20">
        <f>IFERROR(-(Q443-T443), "NA")</f>
      </c>
      <c r="X443" s="21">
        <f>IFERROR(W443/W446, "NA")</f>
      </c>
      <c r="Y443" s="8"/>
      <c r="Z443" s="20">
        <f>IFERROR(Z434+Z435+Z436+Z437+Z438+Z439+Z440+Z441+Z442, "NA")</f>
      </c>
      <c r="AA443" s="21">
        <f>IFERROR(Z443/Z446, "NA")</f>
      </c>
      <c r="AB443" s="8"/>
      <c r="AC443" s="20">
        <f>IFERROR(-(Q443-Z443), "NA")</f>
      </c>
      <c r="AD443" s="21">
        <f>IFERROR(AC443/AC446, "NA")</f>
      </c>
    </row>
    <row r="444" ht="16.5" customHeight="1">
      <c t="s" r="A444" s="27">
        <v>408</v>
      </c>
      <c r="B444" s="20">
        <f>IFERROR(B434+B435+B436+B437+B438+B439+B440+B441+B442, "NA")</f>
      </c>
      <c r="C444" s="21">
        <f>IFERROR(B444/B446, "NA")</f>
      </c>
      <c r="D444" s="8"/>
      <c r="E444" s="20">
        <f>IFERROR(E434+E435+E436+E437+E438+E439+E440+E441+E442, "NA")</f>
      </c>
      <c r="F444" s="21">
        <f>IFERROR(E444/E446, "NA")</f>
      </c>
      <c r="G444" s="8"/>
      <c r="H444" s="20">
        <f>IFERROR(-(B444-E444), "NA")</f>
      </c>
      <c r="I444" s="21">
        <f>IFERROR(H444/H446, "NA")</f>
      </c>
      <c r="J444" s="8"/>
      <c r="K444" s="20">
        <f>IFERROR(K434+K435+K436+K437+K438+K439+K440+K441+K442, "NA")</f>
      </c>
      <c r="L444" s="21">
        <f>IFERROR(K444/K446, "NA")</f>
      </c>
      <c r="M444" s="8"/>
      <c r="N444" s="20">
        <f>IFERROR(-(B444-K444), "NA")</f>
      </c>
      <c r="O444" s="21">
        <f>IFERROR(N444/N446, "NA")</f>
      </c>
      <c r="P444" s="8"/>
      <c r="Q444" s="20">
        <f>IFERROR(Q434+Q435+Q436+Q437+Q438+Q439+Q440+Q441+Q442, "NA")</f>
      </c>
      <c r="R444" s="21">
        <f>IFERROR(Q444/Q446, "NA")</f>
      </c>
      <c r="S444" s="8"/>
      <c r="T444" s="20">
        <f>IFERROR(T434+T435+T436+T437+T438+T439+T440+T441+T442, "NA")</f>
      </c>
      <c r="U444" s="21">
        <f>IFERROR(T444/T446, "NA")</f>
      </c>
      <c r="V444" s="8"/>
      <c r="W444" s="20">
        <f>IFERROR(-(Q444-T444), "NA")</f>
      </c>
      <c r="X444" s="21">
        <f>IFERROR(W444/W446, "NA")</f>
      </c>
      <c r="Y444" s="8"/>
      <c r="Z444" s="20">
        <f>IFERROR(Z434+Z435+Z436+Z437+Z438+Z439+Z440+Z441+Z442, "NA")</f>
      </c>
      <c r="AA444" s="21">
        <f>IFERROR(Z444/Z446, "NA")</f>
      </c>
      <c r="AB444" s="8"/>
      <c r="AC444" s="20">
        <f>IFERROR(-(Q444-Z444), "NA")</f>
      </c>
      <c r="AD444" s="21">
        <f>IFERROR(AC444/AC446, "NA")</f>
      </c>
    </row>
    <row r="445" ht="16.5" customHeight="1">
      <c t="s" r="A445" s="28">
        <v>409</v>
      </c>
      <c r="B445" s="29">
        <f>IFERROR(B405-B431-B444, "NA")</f>
      </c>
      <c r="C445" s="30">
        <f>IFERROR(B445/B446, "NA")</f>
      </c>
      <c r="D445" s="31"/>
      <c r="E445" s="29">
        <f>IFERROR(E405-E431-E444, "NA")</f>
      </c>
      <c r="F445" s="30">
        <f>IFERROR(E445/E446, "NA")</f>
      </c>
      <c r="G445" s="31"/>
      <c r="H445" s="29">
        <f>IFERROR(B445-E445, "NA")</f>
      </c>
      <c r="I445" s="30">
        <f>IFERROR(H445/H446, "NA")</f>
      </c>
      <c r="J445" s="31"/>
      <c r="K445" s="29">
        <f>IFERROR(K405-K431-K444, "NA")</f>
      </c>
      <c r="L445" s="30">
        <f>IFERROR(K445/K446, "NA")</f>
      </c>
      <c r="M445" s="31"/>
      <c r="N445" s="29">
        <f>IFERROR(B445-K445, "NA")</f>
      </c>
      <c r="O445" s="30">
        <f>IFERROR(N445/N446, "NA")</f>
      </c>
      <c r="P445" s="31"/>
      <c r="Q445" s="29">
        <f>IFERROR(Q405-Q431-Q444, "NA")</f>
      </c>
      <c r="R445" s="30">
        <f>IFERROR(Q445/Q446, "NA")</f>
      </c>
      <c r="S445" s="31"/>
      <c r="T445" s="29">
        <f>IFERROR(T405-T431-T444, "NA")</f>
      </c>
      <c r="U445" s="30">
        <f>IFERROR(T445/T446, "NA")</f>
      </c>
      <c r="V445" s="31"/>
      <c r="W445" s="29">
        <f>IFERROR(Q445-T445, "NA")</f>
      </c>
      <c r="X445" s="30">
        <f>IFERROR(W445/W446, "NA")</f>
      </c>
      <c r="Y445" s="31"/>
      <c r="Z445" s="29">
        <f>IFERROR(Z405-Z431-Z444, "NA")</f>
      </c>
      <c r="AA445" s="30">
        <f>IFERROR(Z445/Z446, "NA")</f>
      </c>
      <c r="AB445" s="31"/>
      <c r="AC445" s="29">
        <f>IFERROR(Q445-Z445, "NA")</f>
      </c>
      <c r="AD445" s="30">
        <f>IFERROR(AC445/AC446, "NA")</f>
      </c>
    </row>
    <row r="446" hidden="1">
      <c t="s" r="A446" s="32">
        <v>117</v>
      </c>
      <c r="B446" s="13">
        <v>90959.490000000005</v>
      </c>
      <c r="C446" s="33"/>
      <c r="D446" s="15"/>
      <c r="E446" s="13">
        <v>97113.979999999996</v>
      </c>
      <c r="F446" s="33"/>
      <c r="G446" s="15"/>
      <c r="H446" s="16">
        <f>IFERROR(B446-E446, "NA")</f>
      </c>
      <c r="I446" s="33"/>
      <c r="J446" s="15"/>
      <c r="K446" s="13">
        <v>95490.639999999999</v>
      </c>
      <c r="L446" s="33"/>
      <c r="M446" s="15"/>
      <c r="N446" s="16">
        <f>IFERROR(B446-K446, "NA")</f>
      </c>
      <c r="O446" s="33"/>
      <c r="P446" s="15"/>
      <c r="Q446" s="13">
        <v>90959.490000000005</v>
      </c>
      <c r="R446" s="33"/>
      <c r="S446" s="15"/>
      <c r="T446" s="13">
        <v>97113.979999999996</v>
      </c>
      <c r="U446" s="33"/>
      <c r="V446" s="15"/>
      <c r="W446" s="16">
        <f>IFERROR(Q446-T446, "NA")</f>
      </c>
      <c r="X446" s="33"/>
      <c r="Y446" s="15"/>
      <c r="Z446" s="13">
        <v>95490.639999999999</v>
      </c>
      <c r="AA446" s="33"/>
      <c r="AB446" s="15"/>
      <c r="AC446" s="16">
        <f>IFERROR(Q446-Z446, "NA")</f>
      </c>
      <c r="AD446" s="33"/>
    </row>
    <row r="447"/>
    <row r="448"/>
    <row r="449">
      <c t="s" r="A449" s="34">
        <v>410</v>
      </c>
    </row>
    <row r="450">
      <c t="s" r="A450" s="34">
        <v>411</v>
      </c>
    </row>
    <row r="451">
      <c t="s" r="A451" s="34">
        <v>412</v>
      </c>
    </row>
  </sheetData>
  <mergeCells count="23">
    <mergeCell ref="A1:AD1"/>
    <mergeCell ref="A2:AD2"/>
    <mergeCell ref="A3:AD3"/>
    <mergeCell ref="A5:A5"/>
    <mergeCell ref="B5:C5"/>
    <mergeCell ref="D5:D5"/>
    <mergeCell ref="E5:F5"/>
    <mergeCell ref="G5:G5"/>
    <mergeCell ref="H5:I5"/>
    <mergeCell ref="J5:J5"/>
    <mergeCell ref="K5:L5"/>
    <mergeCell ref="M5:M5"/>
    <mergeCell ref="N5:O5"/>
    <mergeCell ref="P5:P5"/>
    <mergeCell ref="Q5:R5"/>
    <mergeCell ref="S5:S5"/>
    <mergeCell ref="T5:U5"/>
    <mergeCell ref="V5:V5"/>
    <mergeCell ref="W5:X5"/>
    <mergeCell ref="Y5:Y5"/>
    <mergeCell ref="Z5:AA5"/>
    <mergeCell ref="AB5:AB5"/>
    <mergeCell ref="AC5:AD5"/>
  </mergeCells>
  <ignoredErrors>
    <ignoredError sqref="A1:AD451" numberStoredAsText="1"/>
  </ignoredErrors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2026-07-23T15:28:35Z</dcterms:created>
  <dcterms:modified xsi:type="dcterms:W3CDTF">2026-07-23T15:28:35Z</dcterms:modified>
</cp:coreProperties>
</file>